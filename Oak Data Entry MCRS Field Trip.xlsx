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Meta-data" sheetId="2" r:id="rId6"/>
    <sheet state="visible" name="Seedling Heights" sheetId="3" r:id="rId7"/>
    <sheet state="visible" name="LICOR" sheetId="4" r:id="rId8"/>
    <sheet state="visible" name="Soil Moisture" sheetId="5" r:id="rId9"/>
    <sheet state="visible" name="SPAD" sheetId="6" r:id="rId10"/>
    <sheet state="visible" name="Teams" sheetId="7" r:id="rId11"/>
    <sheet state="visible" name="ALL_Licor_Ignore" sheetId="8" r:id="rId12"/>
  </sheets>
  <definedNames/>
  <calcPr/>
</workbook>
</file>

<file path=xl/sharedStrings.xml><?xml version="1.0" encoding="utf-8"?>
<sst xmlns="http://schemas.openxmlformats.org/spreadsheetml/2006/main" count="27439" uniqueCount="6750">
  <si>
    <t>SYS</t>
  </si>
  <si>
    <t>Date</t>
  </si>
  <si>
    <t>DIRECTIONS FOR DATA ENTRY</t>
  </si>
  <si>
    <t>Oaks Data Sheet</t>
  </si>
  <si>
    <t>Team</t>
  </si>
  <si>
    <t>USERDEF</t>
  </si>
  <si>
    <t>Data_Entered_By</t>
  </si>
  <si>
    <t>Block</t>
  </si>
  <si>
    <t>OAKS ASSIGNMENTS</t>
  </si>
  <si>
    <t>Tag_Num</t>
  </si>
  <si>
    <t>Time_Datasheet</t>
  </si>
  <si>
    <t>Goals: survey eight blocks in Limestone Canyon, CA for oak saplings growing under different treatments collecting data on licor, height, hydrosense, and SPAD.</t>
  </si>
  <si>
    <t>Treatment</t>
  </si>
  <si>
    <t>Entered_By</t>
  </si>
  <si>
    <t>Sapling_AB_etc</t>
  </si>
  <si>
    <t>Seedling_Ht_cm</t>
  </si>
  <si>
    <t>Dead_Alive</t>
  </si>
  <si>
    <t>Notes</t>
  </si>
  <si>
    <t>Date/Time: 10.8.26, 8:00-12:00</t>
  </si>
  <si>
    <t>QAQC_By</t>
  </si>
  <si>
    <t>notes</t>
  </si>
  <si>
    <t xml:space="preserve">Scanned data sheets: </t>
  </si>
  <si>
    <t>QAQC_Seedling_Ht_cm</t>
  </si>
  <si>
    <t>----------------------</t>
  </si>
  <si>
    <t>QAQC_Dead_Alive</t>
  </si>
  <si>
    <t>Seedling Heights</t>
  </si>
  <si>
    <t>FLAG</t>
  </si>
  <si>
    <t>date</t>
  </si>
  <si>
    <t>Block Number</t>
  </si>
  <si>
    <t>date in YYYY-MM-DD format</t>
  </si>
  <si>
    <t>Tag Number</t>
  </si>
  <si>
    <t>Time</t>
  </si>
  <si>
    <t>team</t>
  </si>
  <si>
    <t>Due 10/14</t>
  </si>
  <si>
    <t>letter of team who collected the data</t>
  </si>
  <si>
    <t>Due 10/16</t>
  </si>
  <si>
    <t>1. Download data sheets</t>
  </si>
  <si>
    <t>entered_by</t>
  </si>
  <si>
    <t>initials of team member who entered the data</t>
  </si>
  <si>
    <t>block</t>
  </si>
  <si>
    <t>number of the block, three digits (e.g., 002)</t>
  </si>
  <si>
    <t>tag_num</t>
  </si>
  <si>
    <t>DATA</t>
  </si>
  <si>
    <t>tag number of the plot, three digits</t>
  </si>
  <si>
    <t>DATA ENTRY</t>
  </si>
  <si>
    <t>QA/QC</t>
  </si>
  <si>
    <t>treatment</t>
  </si>
  <si>
    <t>2. Enter data following the directions below</t>
  </si>
  <si>
    <t>two letter abbreviation for treatment. AC = adult canopy, DT = dead tree, OS = open space, NR = natural recruits</t>
  </si>
  <si>
    <t>LICOR blocks 1-4</t>
  </si>
  <si>
    <t>sapling_AB_ect</t>
  </si>
  <si>
    <t>letter identifier of sapling in the plot if there were multiples</t>
  </si>
  <si>
    <t>Natalie B.</t>
  </si>
  <si>
    <t>seedling _ht_cm</t>
  </si>
  <si>
    <t>height in centimeters, to one decimal place (e.g., 5.3)</t>
  </si>
  <si>
    <t>N/A</t>
  </si>
  <si>
    <t>dead_alive</t>
  </si>
  <si>
    <t>survial status of the oak sapling, either Dead or Alive</t>
  </si>
  <si>
    <t>** for all data entry and QAQC: refer to the Meta-data tab for further clarification on what should go in each cell</t>
  </si>
  <si>
    <t>Height blocks 1-4</t>
  </si>
  <si>
    <t>qaqc_by</t>
  </si>
  <si>
    <t>Kristen</t>
  </si>
  <si>
    <t>initials of team member who checked the data</t>
  </si>
  <si>
    <t>Ashlee</t>
  </si>
  <si>
    <t>F</t>
  </si>
  <si>
    <t>qaqc_seedling_ht_cm</t>
  </si>
  <si>
    <t>value entered by QAQC checker</t>
  </si>
  <si>
    <t>KB</t>
  </si>
  <si>
    <t>Soil Moisture blocks 1-4</t>
  </si>
  <si>
    <t>Natalie C.</t>
  </si>
  <si>
    <t>qaqc_dead_alive</t>
  </si>
  <si>
    <t>Teo</t>
  </si>
  <si>
    <t>Entering height data instructions:</t>
  </si>
  <si>
    <t>SPAD blocks 1-4</t>
  </si>
  <si>
    <t>Max</t>
  </si>
  <si>
    <t>Kelsey</t>
  </si>
  <si>
    <t>LICOR</t>
  </si>
  <si>
    <t xml:space="preserve">1. Scroll down to the rows with the corresponding color to your team assignments; you will enter data for these rows. </t>
  </si>
  <si>
    <t>001</t>
  </si>
  <si>
    <t xml:space="preserve">date in YYYY-MM-DD format from LICOR </t>
  </si>
  <si>
    <t>293</t>
  </si>
  <si>
    <t>Teams blocks 1-4</t>
  </si>
  <si>
    <t>block number</t>
  </si>
  <si>
    <t>David</t>
  </si>
  <si>
    <t>number of the block from LICOR</t>
  </si>
  <si>
    <t>tag number</t>
  </si>
  <si>
    <t>2. Complete the date, team, block, tag, treatment, and sapling information</t>
  </si>
  <si>
    <t>tag number of the plot from LICOR</t>
  </si>
  <si>
    <t>time</t>
  </si>
  <si>
    <t>time from LICOR in HHMMSS</t>
  </si>
  <si>
    <t>YYYYMMDD</t>
  </si>
  <si>
    <t>HHMMSS</t>
  </si>
  <si>
    <t>time_datasheet</t>
  </si>
  <si>
    <t>time from datasheet in HHMM</t>
  </si>
  <si>
    <t>3. Use one row per sampling and enter the shell height in the seedling_ht_cm column and indicate whether the sapling was dead or alive</t>
  </si>
  <si>
    <t>2026-10-08</t>
  </si>
  <si>
    <t>09:29:48</t>
  </si>
  <si>
    <t>NB</t>
  </si>
  <si>
    <t>AC</t>
  </si>
  <si>
    <t>A</t>
  </si>
  <si>
    <t>Alive</t>
  </si>
  <si>
    <t>09:34:06</t>
  </si>
  <si>
    <t>Soil Moisture</t>
  </si>
  <si>
    <r>
      <rPr>
        <rFont val="Arial"/>
        <color theme="1"/>
        <sz val="10.0"/>
      </rPr>
      <t xml:space="preserve">4. Fill in your initials in the </t>
    </r>
    <r>
      <rPr>
        <rFont val="Arial"/>
        <i/>
        <color theme="1"/>
        <sz val="10.0"/>
      </rPr>
      <t>entered_by</t>
    </r>
    <r>
      <rPr>
        <rFont val="Arial"/>
        <color theme="1"/>
        <sz val="10.0"/>
      </rPr>
      <t xml:space="preserve"> column for all rows that you input</t>
    </r>
  </si>
  <si>
    <t>B</t>
  </si>
  <si>
    <t>09:38:11</t>
  </si>
  <si>
    <t xml:space="preserve"> ** The data for blocks 5-8 will not be available this week</t>
  </si>
  <si>
    <t xml:space="preserve">5. Notify the assigned QAQC person for your datasheets that it is ready to be checked. </t>
  </si>
  <si>
    <t>VWC1_perc</t>
  </si>
  <si>
    <t>LICOR blocks 5-8</t>
  </si>
  <si>
    <t>volumetric water content measurement in percent, reading 1</t>
  </si>
  <si>
    <t>Jeremy</t>
  </si>
  <si>
    <t>PER1_ms</t>
  </si>
  <si>
    <t>period in micro-seconds, reading 1</t>
  </si>
  <si>
    <t>007</t>
  </si>
  <si>
    <t>09:45:34</t>
  </si>
  <si>
    <t>VWC2_perc</t>
  </si>
  <si>
    <t>volumetric water content measurement in percent, reading 2</t>
  </si>
  <si>
    <t xml:space="preserve">6. Submit the "Oaks Data Entry" assignment on Canvas. No files need to be uploaded, only note which data (Height, Soil Moisture, SPAD, or Teams either blocks 1-4 or 5-8) are entered. </t>
  </si>
  <si>
    <t>PER2_ms</t>
  </si>
  <si>
    <t>period in micro-seconds, reading 2</t>
  </si>
  <si>
    <t>OS</t>
  </si>
  <si>
    <t>Height blocks 5-8</t>
  </si>
  <si>
    <t>VWC3_perc</t>
  </si>
  <si>
    <t>Danelle</t>
  </si>
  <si>
    <t>volumetric water content measurement in percent, reading 3</t>
  </si>
  <si>
    <t>Jahat</t>
  </si>
  <si>
    <t>PER3_ms</t>
  </si>
  <si>
    <t>period in micro-seconds, reading 3</t>
  </si>
  <si>
    <t>larger sapling A, growing near laurel sumac, shortpod mustard, Avena sp.</t>
  </si>
  <si>
    <t>09:47:01</t>
  </si>
  <si>
    <t>Soil Moisture blocks 5-8</t>
  </si>
  <si>
    <t>Paige</t>
  </si>
  <si>
    <t>Ryan</t>
  </si>
  <si>
    <t>Entering LICOR data instructions</t>
  </si>
  <si>
    <t>qaqc_VWC1_perc</t>
  </si>
  <si>
    <t>SPAD blocks 5-6</t>
  </si>
  <si>
    <t>Alex</t>
  </si>
  <si>
    <t>09:47:43</t>
  </si>
  <si>
    <t>Kaitlyn</t>
  </si>
  <si>
    <t>qaqc_PER1_ms</t>
  </si>
  <si>
    <t>1. The data from the LICOR device has already been inputted</t>
  </si>
  <si>
    <t>qaqc_VWC2_perc</t>
  </si>
  <si>
    <t>qaqc_PER2_ms</t>
  </si>
  <si>
    <t>qaqc_VWC3_perc</t>
  </si>
  <si>
    <t>2. Add the time, treatment, team, sapling and survial information from the datasheet in their respective columns</t>
  </si>
  <si>
    <t>qaqc_PER3_ms</t>
  </si>
  <si>
    <t>3. Please make a note in the notes column if you have a datapoint that does not seem to match up well</t>
  </si>
  <si>
    <t>SPAD</t>
  </si>
  <si>
    <r>
      <rPr>
        <rFont val="Arial"/>
        <color theme="1"/>
        <sz val="10.0"/>
      </rPr>
      <t xml:space="preserve">4. Fill in your initials in the </t>
    </r>
    <r>
      <rPr>
        <rFont val="Arial"/>
        <i/>
        <color theme="1"/>
        <sz val="10.0"/>
      </rPr>
      <t>entered_by</t>
    </r>
    <r>
      <rPr>
        <rFont val="Arial"/>
        <color theme="1"/>
        <sz val="10.0"/>
      </rPr>
      <t xml:space="preserve"> column for all rows that you input</t>
    </r>
  </si>
  <si>
    <t>Dead</t>
  </si>
  <si>
    <t xml:space="preserve">5. Submit the "Oaks Data Entry" assignment on Canvas. No files need to be uploaded, only note which data (Height, Soil Moisture, SPAD, or Teams either blocks 1-4 or 5-8) are entered. </t>
  </si>
  <si>
    <t>297</t>
  </si>
  <si>
    <t>09:54:43</t>
  </si>
  <si>
    <t>leaf1</t>
  </si>
  <si>
    <t>relative chlorophyll content of leaf 1 to one decimal point</t>
  </si>
  <si>
    <t>Entering Soil Moisure data instructions</t>
  </si>
  <si>
    <t>leaf2</t>
  </si>
  <si>
    <t>relative chlorophyll content of leaf 2 to one decimal point</t>
  </si>
  <si>
    <t>leaf3</t>
  </si>
  <si>
    <t>1. Complete the date, team, block, and treatment information</t>
  </si>
  <si>
    <t>relative chlorophyll content of leaf 3 to one decimal point</t>
  </si>
  <si>
    <t>09:55:17</t>
  </si>
  <si>
    <t>leaf4</t>
  </si>
  <si>
    <t>relative chlorophyll content of leaf 4 to one decimal point</t>
  </si>
  <si>
    <t>leaf5</t>
  </si>
  <si>
    <t>2. Fill in the VWC and period readings in their respective columns. Use one row per treatment.</t>
  </si>
  <si>
    <t>relative chlorophyll content of leaf 5 to one decimal point</t>
  </si>
  <si>
    <t>leaf6</t>
  </si>
  <si>
    <t>relative chlorophyll content of leaf 6 to one decimal point</t>
  </si>
  <si>
    <t>num_leaves</t>
  </si>
  <si>
    <t>number of leaves on the sapling, integer</t>
  </si>
  <si>
    <r>
      <rPr>
        <rFont val="Arial"/>
        <color theme="1"/>
        <sz val="10.0"/>
      </rPr>
      <t xml:space="preserve">3. Fill in your initials in the </t>
    </r>
    <r>
      <rPr>
        <rFont val="Arial"/>
        <i/>
        <color theme="1"/>
        <sz val="10.0"/>
      </rPr>
      <t>entered_by</t>
    </r>
    <r>
      <rPr>
        <rFont val="Arial"/>
        <color theme="1"/>
        <sz val="10.0"/>
      </rPr>
      <t xml:space="preserve"> column for all rows that you input</t>
    </r>
  </si>
  <si>
    <t>09:55:59</t>
  </si>
  <si>
    <t>qaqc_leaf1</t>
  </si>
  <si>
    <t xml:space="preserve">4. Notify the assigned QAQC person for your datasheets that it is ready to be checked. </t>
  </si>
  <si>
    <t>qaqc_leaf2</t>
  </si>
  <si>
    <t>qaqc_leaf3</t>
  </si>
  <si>
    <t>qaqc_leaf4</t>
  </si>
  <si>
    <t>qaqc_leaf5</t>
  </si>
  <si>
    <t>qaqc_leaf6</t>
  </si>
  <si>
    <t>qaqc_num_leaf</t>
  </si>
  <si>
    <t>Entering SPAD data instructions</t>
  </si>
  <si>
    <t>Teams</t>
  </si>
  <si>
    <t>1. Complete the date, team, block, tag, and treatment information</t>
  </si>
  <si>
    <t>long_team_name</t>
  </si>
  <si>
    <t>full name of the team</t>
  </si>
  <si>
    <t>2. Use one row per sapling and input whether it was dead or alive, how many green leaves it had, and the leaf chlorophyl values for as many leaves as are recorded</t>
  </si>
  <si>
    <t>290</t>
  </si>
  <si>
    <t>student_names</t>
  </si>
  <si>
    <t>10:01:20</t>
  </si>
  <si>
    <t>all names of the students on the team</t>
  </si>
  <si>
    <t>E</t>
  </si>
  <si>
    <r>
      <rPr>
        <rFont val="Arial"/>
        <color theme="1"/>
        <sz val="10.0"/>
      </rPr>
      <t xml:space="preserve">3. Fill in your initials in the </t>
    </r>
    <r>
      <rPr>
        <rFont val="Arial"/>
        <i/>
        <color theme="1"/>
        <sz val="10.0"/>
      </rPr>
      <t>entered_by</t>
    </r>
    <r>
      <rPr>
        <rFont val="Arial"/>
        <color theme="1"/>
        <sz val="10.0"/>
      </rPr>
      <t xml:space="preserve"> column for all rows that you input</t>
    </r>
  </si>
  <si>
    <t>DT</t>
  </si>
  <si>
    <t>tool</t>
  </si>
  <si>
    <t>which tool was used to collect the data</t>
  </si>
  <si>
    <t>10:06:33</t>
  </si>
  <si>
    <t>Entering Teams data instructions</t>
  </si>
  <si>
    <t>10:07:11</t>
  </si>
  <si>
    <t>1. Enter the team name (both abbreviated and long form), team member names, and their block/treatement/tool assignments</t>
  </si>
  <si>
    <r>
      <rPr>
        <rFont val="Arial"/>
        <color theme="1"/>
        <sz val="10.0"/>
      </rPr>
      <t xml:space="preserve">2. Fill in your initials in the </t>
    </r>
    <r>
      <rPr>
        <rFont val="Arial"/>
        <i/>
        <color theme="1"/>
        <sz val="10.0"/>
      </rPr>
      <t>entered_by</t>
    </r>
    <r>
      <rPr>
        <rFont val="Arial"/>
        <color theme="1"/>
        <sz val="10.0"/>
      </rPr>
      <t xml:space="preserve"> column for all rows that you input</t>
    </r>
  </si>
  <si>
    <t>003</t>
  </si>
  <si>
    <t>026</t>
  </si>
  <si>
    <t>10:16:58</t>
  </si>
  <si>
    <t xml:space="preserve">3. Submit the "Oaks Data Entry" assignment on Canvas. No files need to be uploaded, only note which data (Height, Soil Moisture, SPAD, or Teams either blocks 1-4 or 5-8) are entered. </t>
  </si>
  <si>
    <t>missing data</t>
  </si>
  <si>
    <t>QA/QC Instructions</t>
  </si>
  <si>
    <t>10:20:48</t>
  </si>
  <si>
    <t>C</t>
  </si>
  <si>
    <t>1. Referring to the datasheets, confirm general information: date, team, block, tag, and treatment</t>
  </si>
  <si>
    <t>2. Use the origional datsheets to enter the data again for all of the QAQC_"variable name" columns for your assigned portion</t>
  </si>
  <si>
    <t>10:21:51</t>
  </si>
  <si>
    <t xml:space="preserve">3. Check the FLAG column, any mismatched rows will be flagged. Refer back to the origional datasheets to reconcile any errors. </t>
  </si>
  <si>
    <r>
      <rPr>
        <rFont val="Arial"/>
        <color theme="1"/>
      </rPr>
      <t xml:space="preserve">4. Enter your initials in the </t>
    </r>
    <r>
      <rPr>
        <rFont val="Arial"/>
        <i/>
        <color theme="1"/>
      </rPr>
      <t>qaqc_by</t>
    </r>
    <r>
      <rPr>
        <rFont val="Arial"/>
        <color theme="1"/>
      </rPr>
      <t xml:space="preserve"> column for all rows you have checked. </t>
    </r>
  </si>
  <si>
    <t>smaller second sabling B, growing near laurel sumac, shortpod mustard, Avena sp.</t>
  </si>
  <si>
    <t>10:22:54</t>
  </si>
  <si>
    <t xml:space="preserve">5. Submit the "Oaks Data Entry" assignment on Canvas. No files need to be uploaded, only note which data (Height, Soil Moisture, SPAD, or Teams either blocks 1-4 or 5-8) are ready for analysis. </t>
  </si>
  <si>
    <t>*QA/QC = Quality Assurance &amp; Quality control</t>
  </si>
  <si>
    <t>leaves feel dry, slightly wilting at top</t>
  </si>
  <si>
    <t>298</t>
  </si>
  <si>
    <t>no sapling / dead</t>
  </si>
  <si>
    <t>only sapling</t>
  </si>
  <si>
    <t>296</t>
  </si>
  <si>
    <t>sapling dead</t>
  </si>
  <si>
    <t>285</t>
  </si>
  <si>
    <t>10:29:20</t>
  </si>
  <si>
    <t>004</t>
  </si>
  <si>
    <t>271</t>
  </si>
  <si>
    <t>10:30:39</t>
  </si>
  <si>
    <t>10:30:56</t>
  </si>
  <si>
    <t>197</t>
  </si>
  <si>
    <t>10:33:58</t>
  </si>
  <si>
    <t>dry, crunchy leaves</t>
  </si>
  <si>
    <t>D</t>
  </si>
  <si>
    <t>NR</t>
  </si>
  <si>
    <t>10:35:04</t>
  </si>
  <si>
    <t>270</t>
  </si>
  <si>
    <t>10:36:07</t>
  </si>
  <si>
    <t>269</t>
  </si>
  <si>
    <t>10:36:27</t>
  </si>
  <si>
    <t>sapling B (smaller)</t>
  </si>
  <si>
    <t>198</t>
  </si>
  <si>
    <t>10:37:26</t>
  </si>
  <si>
    <t>10:37:51</t>
  </si>
  <si>
    <t>sapling A</t>
  </si>
  <si>
    <t>10:38:23</t>
  </si>
  <si>
    <t>079</t>
  </si>
  <si>
    <t>226</t>
  </si>
  <si>
    <t>10:39:11</t>
  </si>
  <si>
    <t>10:39:33</t>
  </si>
  <si>
    <t>10:39:58</t>
  </si>
  <si>
    <t>281</t>
  </si>
  <si>
    <t>196</t>
  </si>
  <si>
    <t>10:42:16</t>
  </si>
  <si>
    <t>QAQC_VWC1</t>
  </si>
  <si>
    <t>QAQC_PER1</t>
  </si>
  <si>
    <t>QAQC_VWC2</t>
  </si>
  <si>
    <t>QAQC_PER2</t>
  </si>
  <si>
    <t>10:42:38</t>
  </si>
  <si>
    <t>QAQC_VWC3</t>
  </si>
  <si>
    <t>QAQC_PER3</t>
  </si>
  <si>
    <t>282</t>
  </si>
  <si>
    <t>10:42:53</t>
  </si>
  <si>
    <t>10:43:22</t>
  </si>
  <si>
    <t>10:43:38</t>
  </si>
  <si>
    <t>NC</t>
  </si>
  <si>
    <t>10:43:50</t>
  </si>
  <si>
    <t>middle of CA sage brush bushes, slope, canopy</t>
  </si>
  <si>
    <t>10:44:27</t>
  </si>
  <si>
    <t>TC</t>
  </si>
  <si>
    <t>10:44:38</t>
  </si>
  <si>
    <t>"little diseased", black spots, canopy</t>
  </si>
  <si>
    <t>10:44:52</t>
  </si>
  <si>
    <t>283</t>
  </si>
  <si>
    <t>10:45:34</t>
  </si>
  <si>
    <t>underneath bigger oak</t>
  </si>
  <si>
    <t>10:45:47</t>
  </si>
  <si>
    <t>289</t>
  </si>
  <si>
    <t>no tree</t>
  </si>
  <si>
    <t>10:46:04</t>
  </si>
  <si>
    <t>002</t>
  </si>
  <si>
    <t>273</t>
  </si>
  <si>
    <t>10:54:54</t>
  </si>
  <si>
    <t>608</t>
  </si>
  <si>
    <t>279</t>
  </si>
  <si>
    <t>10:58:53</t>
  </si>
  <si>
    <t>10:59:50</t>
  </si>
  <si>
    <t>11:00:16</t>
  </si>
  <si>
    <t>NA</t>
  </si>
  <si>
    <t>278</t>
  </si>
  <si>
    <t>11:02:17</t>
  </si>
  <si>
    <t>287</t>
  </si>
  <si>
    <t>11:03:10</t>
  </si>
  <si>
    <t>044</t>
  </si>
  <si>
    <t>11:03:31</t>
  </si>
  <si>
    <t>070</t>
  </si>
  <si>
    <t>11:05:07</t>
  </si>
  <si>
    <t>284</t>
  </si>
  <si>
    <t>11:05:40</t>
  </si>
  <si>
    <t>11:05:54</t>
  </si>
  <si>
    <t>11:08:23</t>
  </si>
  <si>
    <t>growing closest to edge of cage, closest to adult tree</t>
  </si>
  <si>
    <t>277</t>
  </si>
  <si>
    <t>11:12:35</t>
  </si>
  <si>
    <t>11:15:07</t>
  </si>
  <si>
    <t>11:15:29</t>
  </si>
  <si>
    <t>276</t>
  </si>
  <si>
    <t>11:16:51</t>
  </si>
  <si>
    <t>256</t>
  </si>
  <si>
    <t>11:17:09</t>
  </si>
  <si>
    <t>11:17:26</t>
  </si>
  <si>
    <t>11:17:45</t>
  </si>
  <si>
    <t>11:17:55</t>
  </si>
  <si>
    <t>11:18:05</t>
  </si>
  <si>
    <t>275</t>
  </si>
  <si>
    <t>11:18:19</t>
  </si>
  <si>
    <t>11:18:34</t>
  </si>
  <si>
    <t>11:18:45</t>
  </si>
  <si>
    <t>could be useful later, SPAD in the 30s</t>
  </si>
  <si>
    <t>263</t>
  </si>
  <si>
    <t>11:27:42</t>
  </si>
  <si>
    <t>11:29:40</t>
  </si>
  <si>
    <t>11:30:01</t>
  </si>
  <si>
    <t>261</t>
  </si>
  <si>
    <t>11:32:19</t>
  </si>
  <si>
    <t>Leaf1</t>
  </si>
  <si>
    <t>Leaf2</t>
  </si>
  <si>
    <t>11:32:39</t>
  </si>
  <si>
    <t>Leaf3</t>
  </si>
  <si>
    <t>Leaf4</t>
  </si>
  <si>
    <t>Leaf5</t>
  </si>
  <si>
    <t>Leaf6</t>
  </si>
  <si>
    <t>Num_leaves</t>
  </si>
  <si>
    <t>11:33:04</t>
  </si>
  <si>
    <t>QAQC_Leaf1</t>
  </si>
  <si>
    <t>RK</t>
  </si>
  <si>
    <t>QAQC_Leaf2</t>
  </si>
  <si>
    <t>006</t>
  </si>
  <si>
    <t>QAQC_Leaf3</t>
  </si>
  <si>
    <t>QAQC_Leaf4</t>
  </si>
  <si>
    <t>11:37:52</t>
  </si>
  <si>
    <t>Team members are HH, TL, AD, DN - no name or letter identifier available</t>
  </si>
  <si>
    <t>QAQC_Leaf5</t>
  </si>
  <si>
    <t>QAQC_Leaf6</t>
  </si>
  <si>
    <t>QAQC_Num_leaves</t>
  </si>
  <si>
    <t>11:38:39</t>
  </si>
  <si>
    <t>11:39:09</t>
  </si>
  <si>
    <t>MF</t>
  </si>
  <si>
    <t>11:39:43</t>
  </si>
  <si>
    <t>005</t>
  </si>
  <si>
    <t>265</t>
  </si>
  <si>
    <t>11:39:59</t>
  </si>
  <si>
    <t>KD</t>
  </si>
  <si>
    <t>dead</t>
  </si>
  <si>
    <t>11:44:26</t>
  </si>
  <si>
    <t>292</t>
  </si>
  <si>
    <t>11:44:52</t>
  </si>
  <si>
    <t>11:45:37</t>
  </si>
  <si>
    <t>291</t>
  </si>
  <si>
    <t>11:45:51</t>
  </si>
  <si>
    <t>11:46:06</t>
  </si>
  <si>
    <t>11:46:18</t>
  </si>
  <si>
    <t>Team info on datasheets doesn't meet requirements in column</t>
  </si>
  <si>
    <t>008</t>
  </si>
  <si>
    <t>262</t>
  </si>
  <si>
    <t>2026-10-15</t>
  </si>
  <si>
    <t>129</t>
  </si>
  <si>
    <t>09:34:35</t>
  </si>
  <si>
    <t>JF</t>
  </si>
  <si>
    <t>missing tag#, SPAD values for brown leaves, Num_leaves are green leaves</t>
  </si>
  <si>
    <t>09:35:21</t>
  </si>
  <si>
    <t>268</t>
  </si>
  <si>
    <t>09:36:27</t>
  </si>
  <si>
    <t>247</t>
  </si>
  <si>
    <t>09:47:32</t>
  </si>
  <si>
    <t>264</t>
  </si>
  <si>
    <t>09:48:15</t>
  </si>
  <si>
    <t>267</t>
  </si>
  <si>
    <t>09:48:36</t>
  </si>
  <si>
    <t xml:space="preserve">missing tag# </t>
  </si>
  <si>
    <t>09:49:01</t>
  </si>
  <si>
    <t>272</t>
  </si>
  <si>
    <t>most plants are dead, mustard, turkey mullein, bromes (dead), crotonsetiger</t>
  </si>
  <si>
    <t>127</t>
  </si>
  <si>
    <t>09:50:20</t>
  </si>
  <si>
    <t>missing tag#</t>
  </si>
  <si>
    <t>started 9:50 but data collected 9:56</t>
  </si>
  <si>
    <t>09:53:17</t>
  </si>
  <si>
    <t>09:57:26</t>
  </si>
  <si>
    <t>274</t>
  </si>
  <si>
    <t>09:58:15</t>
  </si>
  <si>
    <t>09:58:37</t>
  </si>
  <si>
    <t>70</t>
  </si>
  <si>
    <t>09:59:33</t>
  </si>
  <si>
    <t>10:00:05</t>
  </si>
  <si>
    <t>10:00:31</t>
  </si>
  <si>
    <t>250</t>
  </si>
  <si>
    <t>10:08:55</t>
  </si>
  <si>
    <t>A1</t>
  </si>
  <si>
    <t>10:09:10</t>
  </si>
  <si>
    <t>10:09:30</t>
  </si>
  <si>
    <t>280</t>
  </si>
  <si>
    <t>mulefat near stream bed</t>
  </si>
  <si>
    <t>248</t>
  </si>
  <si>
    <t>10:11:35</t>
  </si>
  <si>
    <t>10:11:48</t>
  </si>
  <si>
    <t>HH, TL, AD, DN</t>
  </si>
  <si>
    <t>10:12:05</t>
  </si>
  <si>
    <t>DG</t>
  </si>
  <si>
    <t>260</t>
  </si>
  <si>
    <t>JG</t>
  </si>
  <si>
    <t>10:15:25</t>
  </si>
  <si>
    <t>A2</t>
  </si>
  <si>
    <t>10:15:35</t>
  </si>
  <si>
    <t>10:15:58</t>
  </si>
  <si>
    <t>225</t>
  </si>
  <si>
    <t>10:18:44</t>
  </si>
  <si>
    <t>253</t>
  </si>
  <si>
    <t>10:18:50</t>
  </si>
  <si>
    <t>10:19:05</t>
  </si>
  <si>
    <t>259</t>
  </si>
  <si>
    <t>251</t>
  </si>
  <si>
    <t>032</t>
  </si>
  <si>
    <t>10:34:08</t>
  </si>
  <si>
    <t>missing treatment</t>
  </si>
  <si>
    <t>10:34:17</t>
  </si>
  <si>
    <t>258</t>
  </si>
  <si>
    <t>10:34:35</t>
  </si>
  <si>
    <t>10:35:28</t>
  </si>
  <si>
    <t>10:35:38</t>
  </si>
  <si>
    <t>10:35:47</t>
  </si>
  <si>
    <t>106</t>
  </si>
  <si>
    <t>10:36:48</t>
  </si>
  <si>
    <t>10:36:55</t>
  </si>
  <si>
    <t>252</t>
  </si>
  <si>
    <t>OA</t>
  </si>
  <si>
    <t>10:37:10</t>
  </si>
  <si>
    <t>10:38:00</t>
  </si>
  <si>
    <t>AKH</t>
  </si>
  <si>
    <t>??</t>
  </si>
  <si>
    <t>10:38:09</t>
  </si>
  <si>
    <t>255</t>
  </si>
  <si>
    <t>10:38:20</t>
  </si>
  <si>
    <t>11:02:24</t>
  </si>
  <si>
    <t>06</t>
  </si>
  <si>
    <t>254</t>
  </si>
  <si>
    <t>11:02:41</t>
  </si>
  <si>
    <t>11:03:00</t>
  </si>
  <si>
    <t>11:06:26</t>
  </si>
  <si>
    <t xml:space="preserve">new, untagged natural recruits </t>
  </si>
  <si>
    <t>11:06:44</t>
  </si>
  <si>
    <t>11:07:06</t>
  </si>
  <si>
    <t>A3</t>
  </si>
  <si>
    <t>11:08:26</t>
  </si>
  <si>
    <t>257</t>
  </si>
  <si>
    <t>11:08:40</t>
  </si>
  <si>
    <t>11:09:03</t>
  </si>
  <si>
    <t>11:11:29</t>
  </si>
  <si>
    <t>11:11:42</t>
  </si>
  <si>
    <t>266</t>
  </si>
  <si>
    <t>11:11:59</t>
  </si>
  <si>
    <t>11:19:35</t>
  </si>
  <si>
    <t>152</t>
  </si>
  <si>
    <t>11:20:05</t>
  </si>
  <si>
    <t>11:20:38</t>
  </si>
  <si>
    <t>238</t>
  </si>
  <si>
    <t>11:21:23</t>
  </si>
  <si>
    <t>11:21:37</t>
  </si>
  <si>
    <t>11:21:55</t>
  </si>
  <si>
    <t>219</t>
  </si>
  <si>
    <t>11:23:39</t>
  </si>
  <si>
    <t>"NR 226" also on tag</t>
  </si>
  <si>
    <t>11:24:03</t>
  </si>
  <si>
    <t>149</t>
  </si>
  <si>
    <t>11:24:17</t>
  </si>
  <si>
    <t>no seedlings</t>
  </si>
  <si>
    <t>11:58:37</t>
  </si>
  <si>
    <t>241</t>
  </si>
  <si>
    <t>11:58:51</t>
  </si>
  <si>
    <t>11:59:54</t>
  </si>
  <si>
    <t>12:01:13</t>
  </si>
  <si>
    <t>202</t>
  </si>
  <si>
    <t>295</t>
  </si>
  <si>
    <t>12:01:39</t>
  </si>
  <si>
    <t>12:01:57</t>
  </si>
  <si>
    <t>294</t>
  </si>
  <si>
    <t>12:09:05</t>
  </si>
  <si>
    <t>239</t>
  </si>
  <si>
    <t>Dead. A1</t>
  </si>
  <si>
    <t>also 126</t>
  </si>
  <si>
    <t>12:09:22</t>
  </si>
  <si>
    <t>12:09:59</t>
  </si>
  <si>
    <t>240</t>
  </si>
  <si>
    <t>218</t>
  </si>
  <si>
    <t>12:10:45</t>
  </si>
  <si>
    <t>12:11:01</t>
  </si>
  <si>
    <t>220</t>
  </si>
  <si>
    <t>12:11:17</t>
  </si>
  <si>
    <t>204</t>
  </si>
  <si>
    <t>12:14:16</t>
  </si>
  <si>
    <t>237</t>
  </si>
  <si>
    <t>12:14:30</t>
  </si>
  <si>
    <t>12:14:45</t>
  </si>
  <si>
    <t>245</t>
  </si>
  <si>
    <t>242</t>
  </si>
  <si>
    <t>12:16:15</t>
  </si>
  <si>
    <t>no living seedlings</t>
  </si>
  <si>
    <t>12:16:36</t>
  </si>
  <si>
    <t>12:16:47</t>
  </si>
  <si>
    <t>also A2, 43</t>
  </si>
  <si>
    <t>12:17:15</t>
  </si>
  <si>
    <t>12:17:26</t>
  </si>
  <si>
    <t>12:17:38</t>
  </si>
  <si>
    <t>271A</t>
  </si>
  <si>
    <t>159</t>
  </si>
  <si>
    <t>12:19:14</t>
  </si>
  <si>
    <t>12:19:41</t>
  </si>
  <si>
    <t>271B</t>
  </si>
  <si>
    <t>12:20:07</t>
  </si>
  <si>
    <t>12:20:39</t>
  </si>
  <si>
    <t>only 1 leaf</t>
  </si>
  <si>
    <t>12:21:22</t>
  </si>
  <si>
    <t>12:21:33</t>
  </si>
  <si>
    <t>249</t>
  </si>
  <si>
    <t>12:21:46</t>
  </si>
  <si>
    <t>269A</t>
  </si>
  <si>
    <t>222</t>
  </si>
  <si>
    <t>12:23:06</t>
  </si>
  <si>
    <t>12:23:32</t>
  </si>
  <si>
    <t xml:space="preserve">Treatment - naturally occuring </t>
  </si>
  <si>
    <t>269B</t>
  </si>
  <si>
    <t>12:23:43</t>
  </si>
  <si>
    <t>243</t>
  </si>
  <si>
    <t>123</t>
  </si>
  <si>
    <t>12:25:18</t>
  </si>
  <si>
    <t>12:25:37</t>
  </si>
  <si>
    <t>269C</t>
  </si>
  <si>
    <t>12:25:51</t>
  </si>
  <si>
    <t>12:29:01</t>
  </si>
  <si>
    <t>122</t>
  </si>
  <si>
    <t>12:29:23</t>
  </si>
  <si>
    <t>12:29:34</t>
  </si>
  <si>
    <t>224</t>
  </si>
  <si>
    <t>12:30:28</t>
  </si>
  <si>
    <t>12:30:48</t>
  </si>
  <si>
    <t>276A</t>
  </si>
  <si>
    <t>135</t>
  </si>
  <si>
    <t>12:31:01</t>
  </si>
  <si>
    <t>229</t>
  </si>
  <si>
    <t>13:14:45</t>
  </si>
  <si>
    <t>276B</t>
  </si>
  <si>
    <t>13:15:38</t>
  </si>
  <si>
    <t>13:16:10</t>
  </si>
  <si>
    <t>276C</t>
  </si>
  <si>
    <t>232</t>
  </si>
  <si>
    <t>13:22:16</t>
  </si>
  <si>
    <t>13:22:48</t>
  </si>
  <si>
    <t>13:23:26</t>
  </si>
  <si>
    <t>231</t>
  </si>
  <si>
    <t>13:24:31</t>
  </si>
  <si>
    <t>13:25:02</t>
  </si>
  <si>
    <t>138</t>
  </si>
  <si>
    <t>13:25:15</t>
  </si>
  <si>
    <t>233</t>
  </si>
  <si>
    <t>13:27:49</t>
  </si>
  <si>
    <t>199</t>
  </si>
  <si>
    <t>13:28:08</t>
  </si>
  <si>
    <t>13:28:26</t>
  </si>
  <si>
    <t>179</t>
  </si>
  <si>
    <t>215</t>
  </si>
  <si>
    <t>13:33:17</t>
  </si>
  <si>
    <t>flagged fast measurement</t>
  </si>
  <si>
    <t>13:34:20</t>
  </si>
  <si>
    <t>13:34:30</t>
  </si>
  <si>
    <t>13:34:41</t>
  </si>
  <si>
    <t>207</t>
  </si>
  <si>
    <t>13:35:39</t>
  </si>
  <si>
    <t>13:35:56</t>
  </si>
  <si>
    <t>230</t>
  </si>
  <si>
    <t>13:36:12</t>
  </si>
  <si>
    <t>211</t>
  </si>
  <si>
    <t>13:36:55</t>
  </si>
  <si>
    <t>169</t>
  </si>
  <si>
    <t>13:37:11</t>
  </si>
  <si>
    <t>13:37:27</t>
  </si>
  <si>
    <t>209</t>
  </si>
  <si>
    <t>AL</t>
  </si>
  <si>
    <t>13:38:06</t>
  </si>
  <si>
    <t>KL</t>
  </si>
  <si>
    <t>13:38:22</t>
  </si>
  <si>
    <t>13:38:53</t>
  </si>
  <si>
    <t>234</t>
  </si>
  <si>
    <t>214</t>
  </si>
  <si>
    <t>13:40:05</t>
  </si>
  <si>
    <t>235</t>
  </si>
  <si>
    <t>13:40:31</t>
  </si>
  <si>
    <t>127A</t>
  </si>
  <si>
    <t>13:41:15</t>
  </si>
  <si>
    <t>182</t>
  </si>
  <si>
    <t>212</t>
  </si>
  <si>
    <t>13:42:38</t>
  </si>
  <si>
    <t>127B</t>
  </si>
  <si>
    <t>13:42:50</t>
  </si>
  <si>
    <t>236</t>
  </si>
  <si>
    <t>13:43:11</t>
  </si>
  <si>
    <t>213</t>
  </si>
  <si>
    <t>13:45:05</t>
  </si>
  <si>
    <t>13:45:27</t>
  </si>
  <si>
    <t>156</t>
  </si>
  <si>
    <t>13:45:41</t>
  </si>
  <si>
    <t>252A2</t>
  </si>
  <si>
    <t>244</t>
  </si>
  <si>
    <t>217</t>
  </si>
  <si>
    <t>13:49:01</t>
  </si>
  <si>
    <t>measurements 1:48 to 1:53 are same plant</t>
  </si>
  <si>
    <t>13:49:17</t>
  </si>
  <si>
    <t>13:49:28</t>
  </si>
  <si>
    <t>13:53:30</t>
  </si>
  <si>
    <t>158</t>
  </si>
  <si>
    <t>13:53:58</t>
  </si>
  <si>
    <t>13:54:14</t>
  </si>
  <si>
    <t>14:08:04</t>
  </si>
  <si>
    <t>14:08:21</t>
  </si>
  <si>
    <t>14:08:31</t>
  </si>
  <si>
    <t>216</t>
  </si>
  <si>
    <t>14:09:25</t>
  </si>
  <si>
    <t>162</t>
  </si>
  <si>
    <t>14:09:45</t>
  </si>
  <si>
    <t>14:09:53</t>
  </si>
  <si>
    <t>14:27:39</t>
  </si>
  <si>
    <t>14:28:03</t>
  </si>
  <si>
    <t>14:28:15</t>
  </si>
  <si>
    <t>14:28:52</t>
  </si>
  <si>
    <t>14:29:08</t>
  </si>
  <si>
    <t>14:29:19</t>
  </si>
  <si>
    <t>also 55 on tag. A1</t>
  </si>
  <si>
    <t>also 52 on tag. A2</t>
  </si>
  <si>
    <t>also 49 on tag. A3</t>
  </si>
  <si>
    <t>NR 217 also on tag</t>
  </si>
  <si>
    <t>221</t>
  </si>
  <si>
    <t>257A2</t>
  </si>
  <si>
    <t>227</t>
  </si>
  <si>
    <t>265A1</t>
  </si>
  <si>
    <t>190</t>
  </si>
  <si>
    <t>250A1</t>
  </si>
  <si>
    <t>228</t>
  </si>
  <si>
    <t>248A1</t>
  </si>
  <si>
    <t>187</t>
  </si>
  <si>
    <t>248A2</t>
  </si>
  <si>
    <t>192</t>
  </si>
  <si>
    <t>258A1</t>
  </si>
  <si>
    <t>258A2</t>
  </si>
  <si>
    <t>246</t>
  </si>
  <si>
    <t>no sapling</t>
  </si>
  <si>
    <t>256A1</t>
  </si>
  <si>
    <t>A. taller one, no tag, third seedling dead</t>
  </si>
  <si>
    <t>254A1</t>
  </si>
  <si>
    <t>B. no tag</t>
  </si>
  <si>
    <t>254A2</t>
  </si>
  <si>
    <t>201</t>
  </si>
  <si>
    <t>dead, in open area</t>
  </si>
  <si>
    <t>254A3</t>
  </si>
  <si>
    <t>200</t>
  </si>
  <si>
    <t>238A1</t>
  </si>
  <si>
    <t>partially eaten leaves</t>
  </si>
  <si>
    <t>152A1</t>
  </si>
  <si>
    <t>surrounded by many large saplings</t>
  </si>
  <si>
    <t>dark spots on leaves</t>
  </si>
  <si>
    <t>healthy</t>
  </si>
  <si>
    <t>healthy, next to large untagged sap</t>
  </si>
  <si>
    <t>180</t>
  </si>
  <si>
    <t>243A3</t>
  </si>
  <si>
    <t>SA</t>
  </si>
  <si>
    <t>181</t>
  </si>
  <si>
    <t>242A3</t>
  </si>
  <si>
    <t xml:space="preserve">entire SA area overtaken with hatch </t>
  </si>
  <si>
    <t>185</t>
  </si>
  <si>
    <t>242A2</t>
  </si>
  <si>
    <t>hatch covered</t>
  </si>
  <si>
    <t>183</t>
  </si>
  <si>
    <t xml:space="preserve">hatch </t>
  </si>
  <si>
    <t>242A1</t>
  </si>
  <si>
    <t>159A1</t>
  </si>
  <si>
    <t>partially eaten leaves, black spots. couldn't find 210 NR sec 8</t>
  </si>
  <si>
    <t>159A3</t>
  </si>
  <si>
    <t>159A2</t>
  </si>
  <si>
    <t>Long_Team_Name</t>
  </si>
  <si>
    <t>Student_Names</t>
  </si>
  <si>
    <t>Tool</t>
  </si>
  <si>
    <t>Fortuitous Falcons</t>
  </si>
  <si>
    <t>Paige, Ryan, Kristen</t>
  </si>
  <si>
    <t>Licor + Height</t>
  </si>
  <si>
    <t>DF</t>
  </si>
  <si>
    <t>Hydrosense</t>
  </si>
  <si>
    <t>Dazzling Dingos</t>
  </si>
  <si>
    <t>Max, Nat, Teo</t>
  </si>
  <si>
    <t>Charming Cormorants</t>
  </si>
  <si>
    <t>Alex L., Alexandra T., Natalie C.</t>
  </si>
  <si>
    <t>Auspicious Anenomes</t>
  </si>
  <si>
    <t>Jaz, Kaitlyn, Ashlee, Jahat</t>
  </si>
  <si>
    <t>Extraordinary Emus</t>
  </si>
  <si>
    <t>David F., Ren M., Jeremy F.</t>
  </si>
  <si>
    <t>Brilliant Belugas</t>
  </si>
  <si>
    <t>Jessica, Emily, Alvaro</t>
  </si>
  <si>
    <t>PORO</t>
  </si>
  <si>
    <t>FLUORO</t>
  </si>
  <si>
    <t>SENSOR</t>
  </si>
  <si>
    <t>MATCH</t>
  </si>
  <si>
    <t>STABILITY</t>
  </si>
  <si>
    <t>P_CONFIG</t>
  </si>
  <si>
    <t>FL_CONFIG</t>
  </si>
  <si>
    <t>SENSOR_V</t>
  </si>
  <si>
    <t>USERCAL</t>
  </si>
  <si>
    <t>META</t>
  </si>
  <si>
    <t>Obs#</t>
  </si>
  <si>
    <t>configName</t>
  </si>
  <si>
    <t>configAuthor</t>
  </si>
  <si>
    <t>remark</t>
  </si>
  <si>
    <t>gsw</t>
  </si>
  <si>
    <t>gbw</t>
  </si>
  <si>
    <t>gtw</t>
  </si>
  <si>
    <t>E_apparent</t>
  </si>
  <si>
    <t>VPcham</t>
  </si>
  <si>
    <t>VPref</t>
  </si>
  <si>
    <t>VPleaf</t>
  </si>
  <si>
    <t>VPDleaf</t>
  </si>
  <si>
    <t>H2O_r</t>
  </si>
  <si>
    <t>H2O_s</t>
  </si>
  <si>
    <t>H2O_leaf</t>
  </si>
  <si>
    <t>leaf_area</t>
  </si>
  <si>
    <t>leaf_width</t>
  </si>
  <si>
    <t>flashID</t>
  </si>
  <si>
    <t>Fo</t>
  </si>
  <si>
    <t>Fm</t>
  </si>
  <si>
    <t>Fv/Fm</t>
  </si>
  <si>
    <t>Fs</t>
  </si>
  <si>
    <t>Fm'</t>
  </si>
  <si>
    <t>PhiPS2</t>
  </si>
  <si>
    <t>PS2/1</t>
  </si>
  <si>
    <t>abs</t>
  </si>
  <si>
    <t>ETR</t>
  </si>
  <si>
    <t>TRANS</t>
  </si>
  <si>
    <t>rh_s</t>
  </si>
  <si>
    <t>rh_r</t>
  </si>
  <si>
    <t>Tref</t>
  </si>
  <si>
    <t>Tmeas</t>
  </si>
  <si>
    <t>Tleaf</t>
  </si>
  <si>
    <t>P_atm</t>
  </si>
  <si>
    <t>flow</t>
  </si>
  <si>
    <t>flow_s</t>
  </si>
  <si>
    <t>leak_pct</t>
  </si>
  <si>
    <t>Qamb</t>
  </si>
  <si>
    <t>batt</t>
  </si>
  <si>
    <t>match_time</t>
  </si>
  <si>
    <t>match_date</t>
  </si>
  <si>
    <t>rh_adj</t>
  </si>
  <si>
    <t>type</t>
  </si>
  <si>
    <t>gsw1sec</t>
  </si>
  <si>
    <t>gsw2sec</t>
  </si>
  <si>
    <t>gsw4sec</t>
  </si>
  <si>
    <t>flr1sec</t>
  </si>
  <si>
    <t>flr2sec</t>
  </si>
  <si>
    <t>flr4sec</t>
  </si>
  <si>
    <t>auto</t>
  </si>
  <si>
    <t>flow_set</t>
  </si>
  <si>
    <t>gsw_limit</t>
  </si>
  <si>
    <t>gsw_period</t>
  </si>
  <si>
    <t>aw</t>
  </si>
  <si>
    <t>Bla</t>
  </si>
  <si>
    <t>Blb</t>
  </si>
  <si>
    <t>Blc</t>
  </si>
  <si>
    <t>Bld</t>
  </si>
  <si>
    <t>Ble</t>
  </si>
  <si>
    <t>chamber</t>
  </si>
  <si>
    <t>dark</t>
  </si>
  <si>
    <t>flash_type</t>
  </si>
  <si>
    <t>flash_intensity</t>
  </si>
  <si>
    <t>modrate</t>
  </si>
  <si>
    <t>flr_limit</t>
  </si>
  <si>
    <t>flr_period</t>
  </si>
  <si>
    <t>P1_dur</t>
  </si>
  <si>
    <t>P2_dur</t>
  </si>
  <si>
    <t>P3_dur</t>
  </si>
  <si>
    <t>P1_Fmax</t>
  </si>
  <si>
    <t>P2_ramp</t>
  </si>
  <si>
    <t>P2_slp</t>
  </si>
  <si>
    <t>P3_Fmax</t>
  </si>
  <si>
    <t>P3_Pred</t>
  </si>
  <si>
    <t>P3_DeltaF</t>
  </si>
  <si>
    <t>v_humA</t>
  </si>
  <si>
    <t>v_humB</t>
  </si>
  <si>
    <t>v_flowIn</t>
  </si>
  <si>
    <t>v_flowOut</t>
  </si>
  <si>
    <t>v_temp</t>
  </si>
  <si>
    <t>v_irt</t>
  </si>
  <si>
    <t>v_pres</t>
  </si>
  <si>
    <t>v_par</t>
  </si>
  <si>
    <t>v_F</t>
  </si>
  <si>
    <t>i_LED</t>
  </si>
  <si>
    <t>b_rhr</t>
  </si>
  <si>
    <t>m_rhr</t>
  </si>
  <si>
    <t>span_rhr</t>
  </si>
  <si>
    <t>b_rhs</t>
  </si>
  <si>
    <t>m_rhs</t>
  </si>
  <si>
    <t>span_rhs</t>
  </si>
  <si>
    <t>z_flowIn</t>
  </si>
  <si>
    <t>z_flowOut</t>
  </si>
  <si>
    <t>z_quantum</t>
  </si>
  <si>
    <t>z_flr</t>
  </si>
  <si>
    <t>flashId</t>
  </si>
  <si>
    <t>lciSerNum</t>
  </si>
  <si>
    <t>lcpSerNum</t>
  </si>
  <si>
    <t>lcfSerNum</t>
  </si>
  <si>
    <t>lcrhSerNum</t>
  </si>
  <si>
    <t>version</t>
  </si>
  <si>
    <t>configUpdatedAt</t>
  </si>
  <si>
    <t>mol+1m-2s-1</t>
  </si>
  <si>
    <t>mmol+1m-2s-1</t>
  </si>
  <si>
    <t>kPa</t>
  </si>
  <si>
    <t>mmol+1mol-1</t>
  </si>
  <si>
    <t>cm+2</t>
  </si>
  <si>
    <t>mm</t>
  </si>
  <si>
    <t>umol+1m-2s-1</t>
  </si>
  <si>
    <t>%</t>
  </si>
  <si>
    <t>umol+1sec-1</t>
  </si>
  <si>
    <t>V</t>
  </si>
  <si>
    <t>(umol+1m-2s-1)s-1</t>
  </si>
  <si>
    <t>s</t>
  </si>
  <si>
    <t>Hz</t>
  </si>
  <si>
    <t>s-1</t>
  </si>
  <si>
    <t>ms</t>
  </si>
  <si>
    <t>1</t>
  </si>
  <si>
    <t>\"Fall 2026 OAKS \"</t>
  </si>
  <si>
    <t>Haley</t>
  </si>
  <si>
    <t>1.355740</t>
  </si>
  <si>
    <t>1.463086</t>
  </si>
  <si>
    <t>14.914834</t>
  </si>
  <si>
    <t>13.820540</t>
  </si>
  <si>
    <t>7.500000</t>
  </si>
  <si>
    <t>PSF-01608_20261008092948_b50</t>
  </si>
  <si>
    <t>0.000000</t>
  </si>
  <si>
    <t>107.333420</t>
  </si>
  <si>
    <t>370.002869</t>
  </si>
  <si>
    <t>0.709912</t>
  </si>
  <si>
    <t>0.5</t>
  </si>
  <si>
    <t>0.80</t>
  </si>
  <si>
    <t>1.000000</t>
  </si>
  <si>
    <t>41.48</t>
  </si>
  <si>
    <t>44.76</t>
  </si>
  <si>
    <t>25.46</t>
  </si>
  <si>
    <t>26.02</t>
  </si>
  <si>
    <t>98.10</t>
  </si>
  <si>
    <t>156.4</t>
  </si>
  <si>
    <t>19.3</t>
  </si>
  <si>
    <t>87.6</t>
  </si>
  <si>
    <t>43</t>
  </si>
  <si>
    <t>3.995</t>
  </si>
  <si>
    <t>09:27:09</t>
  </si>
  <si>
    <t>-2.74</t>
  </si>
  <si>
    <t>0.003</t>
  </si>
  <si>
    <t>0.005</t>
  </si>
  <si>
    <t>0.017</t>
  </si>
  <si>
    <t>0.285</t>
  </si>
  <si>
    <t>0.693</t>
  </si>
  <si>
    <t>1.643</t>
  </si>
  <si>
    <t>0</t>
  </si>
  <si>
    <t>150</t>
  </si>
  <si>
    <t>-9999.000</t>
  </si>
  <si>
    <t>-9999.000000</t>
  </si>
  <si>
    <t>0.058905</t>
  </si>
  <si>
    <t>0.029230</t>
  </si>
  <si>
    <t>-0.000068</t>
  </si>
  <si>
    <t>standard</t>
  </si>
  <si>
    <t>rectangular</t>
  </si>
  <si>
    <t>7000</t>
  </si>
  <si>
    <t>500</t>
  </si>
  <si>
    <t>55537</t>
  </si>
  <si>
    <t>-9999</t>
  </si>
  <si>
    <t>2.507117</t>
  </si>
  <si>
    <t>2.511028</t>
  </si>
  <si>
    <t>1.669879</t>
  </si>
  <si>
    <t>0.636642</t>
  </si>
  <si>
    <t>0.267745</t>
  </si>
  <si>
    <t>0.007069</t>
  </si>
  <si>
    <t>0.066310</t>
  </si>
  <si>
    <t>0.146215</t>
  </si>
  <si>
    <t>0.000370</t>
  </si>
  <si>
    <t>2.429250</t>
  </si>
  <si>
    <t>2.432306</t>
  </si>
  <si>
    <t>0.000003</t>
  </si>
  <si>
    <t>0.601181</t>
  </si>
  <si>
    <t>0.600469</t>
  </si>
  <si>
    <t>0.106552</t>
  </si>
  <si>
    <t>PFA-01404</t>
  </si>
  <si>
    <t>PSA-01494</t>
  </si>
  <si>
    <t>PSF-01608</t>
  </si>
  <si>
    <t>RHS-02318</t>
  </si>
  <si>
    <t>3.0.0</t>
  </si>
  <si>
    <t>2026-10-07T18:58:03.791Z</t>
  </si>
  <si>
    <t>2</t>
  </si>
  <si>
    <t>1.393384</t>
  </si>
  <si>
    <t>1.552184</t>
  </si>
  <si>
    <t>15.820414</t>
  </si>
  <si>
    <t>14.201860</t>
  </si>
  <si>
    <t>PSF-01608_20261008093406_da9</t>
  </si>
  <si>
    <t>88.576912</t>
  </si>
  <si>
    <t>365.481384</t>
  </si>
  <si>
    <t>0.757643</t>
  </si>
  <si>
    <t>36.94</t>
  </si>
  <si>
    <t>41.15</t>
  </si>
  <si>
    <t>27.90</t>
  </si>
  <si>
    <t>28.00</t>
  </si>
  <si>
    <t>98.11</t>
  </si>
  <si>
    <t>156.6</t>
  </si>
  <si>
    <t>11.5</t>
  </si>
  <si>
    <t>92.7</t>
  </si>
  <si>
    <t>31</t>
  </si>
  <si>
    <t>3.989</t>
  </si>
  <si>
    <t>0.004</t>
  </si>
  <si>
    <t>0.009</t>
  </si>
  <si>
    <t>0.029</t>
  </si>
  <si>
    <t>0.057</t>
  </si>
  <si>
    <t>0.007</t>
  </si>
  <si>
    <t>0.027</t>
  </si>
  <si>
    <t>2.501237</t>
  </si>
  <si>
    <t>2.503523</t>
  </si>
  <si>
    <t>1.671425</t>
  </si>
  <si>
    <t>0.621822</t>
  </si>
  <si>
    <t>0.243057</t>
  </si>
  <si>
    <t>0.002062</t>
  </si>
  <si>
    <t>0.104229</t>
  </si>
  <si>
    <t>0.135277</t>
  </si>
  <si>
    <t>0.000379</t>
  </si>
  <si>
    <t>3</t>
  </si>
  <si>
    <t>1.486874</t>
  </si>
  <si>
    <t>1.578795</t>
  </si>
  <si>
    <t>16.094177</t>
  </si>
  <si>
    <t>15.157146</t>
  </si>
  <si>
    <t>PSF-01608_20261008093811_a03</t>
  </si>
  <si>
    <t>109.851120</t>
  </si>
  <si>
    <t>430.376160</t>
  </si>
  <si>
    <t>0.744756</t>
  </si>
  <si>
    <t>35.29</t>
  </si>
  <si>
    <t>37.47</t>
  </si>
  <si>
    <t>29.81</t>
  </si>
  <si>
    <t>29.83</t>
  </si>
  <si>
    <t>129.7</t>
  </si>
  <si>
    <t>17.2</t>
  </si>
  <si>
    <t>47</t>
  </si>
  <si>
    <t>3.976</t>
  </si>
  <si>
    <t>09:37:49</t>
  </si>
  <si>
    <t>0.51</t>
  </si>
  <si>
    <t>0.011</t>
  </si>
  <si>
    <t>0.030</t>
  </si>
  <si>
    <t>0.056</t>
  </si>
  <si>
    <t>0.035</t>
  </si>
  <si>
    <t>0.129</t>
  </si>
  <si>
    <t>10.609</t>
  </si>
  <si>
    <t>2.495327</t>
  </si>
  <si>
    <t>2.495487</t>
  </si>
  <si>
    <t>1.671709</t>
  </si>
  <si>
    <t>0.868939</t>
  </si>
  <si>
    <t>0.225381</t>
  </si>
  <si>
    <t>0.001132</t>
  </si>
  <si>
    <t>0.136344</t>
  </si>
  <si>
    <t>0.150161</t>
  </si>
  <si>
    <t>0.000376</t>
  </si>
  <si>
    <t>4</t>
  </si>
  <si>
    <t>1.451962</t>
  </si>
  <si>
    <t>1.545840</t>
  </si>
  <si>
    <t>15.753779</t>
  </si>
  <si>
    <t>14.797071</t>
  </si>
  <si>
    <t>PSF-01608_20261008094534_86d</t>
  </si>
  <si>
    <t>43.332336</t>
  </si>
  <si>
    <t>49.112679</t>
  </si>
  <si>
    <t>0.117696</t>
  </si>
  <si>
    <t>29.94</t>
  </si>
  <si>
    <t>31.87</t>
  </si>
  <si>
    <t>32.28</t>
  </si>
  <si>
    <t>33.56</t>
  </si>
  <si>
    <t>98.12</t>
  </si>
  <si>
    <t>109.0</t>
  </si>
  <si>
    <t>30.3</t>
  </si>
  <si>
    <t>1061</t>
  </si>
  <si>
    <t>3.973</t>
  </si>
  <si>
    <t>0.134</t>
  </si>
  <si>
    <t>2.486318</t>
  </si>
  <si>
    <t>2.486571</t>
  </si>
  <si>
    <t>1.670030</t>
  </si>
  <si>
    <t>0.821058</t>
  </si>
  <si>
    <t>0.204519</t>
  </si>
  <si>
    <t>0.015765</t>
  </si>
  <si>
    <t>0.188481</t>
  </si>
  <si>
    <t>1.085655</t>
  </si>
  <si>
    <t>43.325188</t>
  </si>
  <si>
    <t>0.000383</t>
  </si>
  <si>
    <t>5</t>
  </si>
  <si>
    <t>1.632722</t>
  </si>
  <si>
    <t>1.671509</t>
  </si>
  <si>
    <t>17.034922</t>
  </si>
  <si>
    <t>16.639631</t>
  </si>
  <si>
    <t>PSF-01608_20261008094701_2a2</t>
  </si>
  <si>
    <t>60.334682</t>
  </si>
  <si>
    <t>72.657104</t>
  </si>
  <si>
    <t>0.169597</t>
  </si>
  <si>
    <t>32.67</t>
  </si>
  <si>
    <t>33.45</t>
  </si>
  <si>
    <t>32.81</t>
  </si>
  <si>
    <t>156.3</t>
  </si>
  <si>
    <t>15.5</t>
  </si>
  <si>
    <t>90.1</t>
  </si>
  <si>
    <t>1078</t>
  </si>
  <si>
    <t>3.970</t>
  </si>
  <si>
    <t>-0.013</t>
  </si>
  <si>
    <t>-0.014</t>
  </si>
  <si>
    <t>-0.009</t>
  </si>
  <si>
    <t>-0.069</t>
  </si>
  <si>
    <t>-0.024</t>
  </si>
  <si>
    <t>0.053</t>
  </si>
  <si>
    <t>2.488711</t>
  </si>
  <si>
    <t>2.490926</t>
  </si>
  <si>
    <t>1.668711</t>
  </si>
  <si>
    <t>0.629497</t>
  </si>
  <si>
    <t>0.200310</t>
  </si>
  <si>
    <t>0.000811</t>
  </si>
  <si>
    <t>0.198244</t>
  </si>
  <si>
    <t>1.100654</t>
  </si>
  <si>
    <t>0.000391</t>
  </si>
  <si>
    <t>6</t>
  </si>
  <si>
    <t>1.554834</t>
  </si>
  <si>
    <t>1.677541</t>
  </si>
  <si>
    <t>17.095566</t>
  </si>
  <si>
    <t>15.845079</t>
  </si>
  <si>
    <t>PSF-01608_20261008094743_455</t>
  </si>
  <si>
    <t>60.899734</t>
  </si>
  <si>
    <t>63.269733</t>
  </si>
  <si>
    <t>0.037459</t>
  </si>
  <si>
    <t>30.68</t>
  </si>
  <si>
    <t>33.10</t>
  </si>
  <si>
    <t>33.06</t>
  </si>
  <si>
    <t>36.48</t>
  </si>
  <si>
    <t>98.13</t>
  </si>
  <si>
    <t>153.2</t>
  </si>
  <si>
    <t>2.1</t>
  </si>
  <si>
    <t>1210</t>
  </si>
  <si>
    <t>3.961</t>
  </si>
  <si>
    <t>0.006</t>
  </si>
  <si>
    <t>-0.046</t>
  </si>
  <si>
    <t>2.488137</t>
  </si>
  <si>
    <t>2.487687</t>
  </si>
  <si>
    <t>1.671051</t>
  </si>
  <si>
    <t>0.925958</t>
  </si>
  <si>
    <t>0.198351</t>
  </si>
  <si>
    <t>0.041460</t>
  </si>
  <si>
    <t>0.202878</t>
  </si>
  <si>
    <t>1.222362</t>
  </si>
  <si>
    <t>0.000377</t>
  </si>
  <si>
    <t>7</t>
  </si>
  <si>
    <t>1.469967</t>
  </si>
  <si>
    <t>1.517062</t>
  </si>
  <si>
    <t>15.457704</t>
  </si>
  <si>
    <t>14.977849</t>
  </si>
  <si>
    <t>PSF-01608_20261008095443_6da</t>
  </si>
  <si>
    <t>134.480957</t>
  </si>
  <si>
    <t>317.368256</t>
  </si>
  <si>
    <t>0.576262</t>
  </si>
  <si>
    <t>25.77</t>
  </si>
  <si>
    <t>26.60</t>
  </si>
  <si>
    <t>35.18</t>
  </si>
  <si>
    <t>35.53</t>
  </si>
  <si>
    <t>98.14</t>
  </si>
  <si>
    <t>156.5</t>
  </si>
  <si>
    <t>33.2</t>
  </si>
  <si>
    <t>78.8</t>
  </si>
  <si>
    <t>1820</t>
  </si>
  <si>
    <t>3.959</t>
  </si>
  <si>
    <t>09:54:16</t>
  </si>
  <si>
    <t>1.31</t>
  </si>
  <si>
    <t>0.015</t>
  </si>
  <si>
    <t>0.026</t>
  </si>
  <si>
    <t>0.020</t>
  </si>
  <si>
    <t>1.284</t>
  </si>
  <si>
    <t>29.927</t>
  </si>
  <si>
    <t>119.014</t>
  </si>
  <si>
    <t>2.477669</t>
  </si>
  <si>
    <t>2.478152</t>
  </si>
  <si>
    <t>1.670737</t>
  </si>
  <si>
    <t>0.663287</t>
  </si>
  <si>
    <t>0.182637</t>
  </si>
  <si>
    <t>0.005023</t>
  </si>
  <si>
    <t>0.246477</t>
  </si>
  <si>
    <t>1.785456</t>
  </si>
  <si>
    <t>0.000388</t>
  </si>
  <si>
    <t>8</t>
  </si>
  <si>
    <t>1.594629</t>
  </si>
  <si>
    <t>1.613732</t>
  </si>
  <si>
    <t>16.443922</t>
  </si>
  <si>
    <t>16.249258</t>
  </si>
  <si>
    <t>PSF-01608_20261008095517_a61</t>
  </si>
  <si>
    <t>91.109276</t>
  </si>
  <si>
    <t>177.473541</t>
  </si>
  <si>
    <t>0.486632</t>
  </si>
  <si>
    <t>27.75</t>
  </si>
  <si>
    <t>28.08</t>
  </si>
  <si>
    <t>35.31</t>
  </si>
  <si>
    <t>35.93</t>
  </si>
  <si>
    <t>110.4</t>
  </si>
  <si>
    <t>29.5</t>
  </si>
  <si>
    <t>573</t>
  </si>
  <si>
    <t>0.460</t>
  </si>
  <si>
    <t>2.480017</t>
  </si>
  <si>
    <t>2.481400</t>
  </si>
  <si>
    <t>1.671631</t>
  </si>
  <si>
    <t>0.824270</t>
  </si>
  <si>
    <t>0.181672</t>
  </si>
  <si>
    <t>0.008103</t>
  </si>
  <si>
    <t>0.249828</t>
  </si>
  <si>
    <t>0.634886</t>
  </si>
  <si>
    <t>0.000389</t>
  </si>
  <si>
    <t>9</t>
  </si>
  <si>
    <t>1.606350</t>
  </si>
  <si>
    <t>1.606091</t>
  </si>
  <si>
    <t>16.365925</t>
  </si>
  <si>
    <t>16.368570</t>
  </si>
  <si>
    <t>PSF-01608_20261008095559_7c2</t>
  </si>
  <si>
    <t>100.765587</t>
  </si>
  <si>
    <t>262.162323</t>
  </si>
  <si>
    <t>0.615637</t>
  </si>
  <si>
    <t>27.72</t>
  </si>
  <si>
    <t>35.46</t>
  </si>
  <si>
    <t>35.07</t>
  </si>
  <si>
    <t>99.2</t>
  </si>
  <si>
    <t>36.7</t>
  </si>
  <si>
    <t>111</t>
  </si>
  <si>
    <t>3.951</t>
  </si>
  <si>
    <t>0.173</t>
  </si>
  <si>
    <t>0.566</t>
  </si>
  <si>
    <t>2.479423</t>
  </si>
  <si>
    <t>2.481340</t>
  </si>
  <si>
    <t>1.671583</t>
  </si>
  <si>
    <t>0.799174</t>
  </si>
  <si>
    <t>0.180611</t>
  </si>
  <si>
    <t>-0.003875</t>
  </si>
  <si>
    <t>0.253891</t>
  </si>
  <si>
    <t>0.208577</t>
  </si>
  <si>
    <t>10</t>
  </si>
  <si>
    <t>1.738229</t>
  </si>
  <si>
    <t>1.727420</t>
  </si>
  <si>
    <t>17.600967</t>
  </si>
  <si>
    <t>17.711094</t>
  </si>
  <si>
    <t>PSF-01608_20261008100120_f33</t>
  </si>
  <si>
    <t>104.379059</t>
  </si>
  <si>
    <t>119.508148</t>
  </si>
  <si>
    <t>0.126595</t>
  </si>
  <si>
    <t>28.38</t>
  </si>
  <si>
    <t>28.21</t>
  </si>
  <si>
    <t>36.47</t>
  </si>
  <si>
    <t>39.76</t>
  </si>
  <si>
    <t>156.7</t>
  </si>
  <si>
    <t>57.7</t>
  </si>
  <si>
    <t>63.2</t>
  </si>
  <si>
    <t>1622</t>
  </si>
  <si>
    <t>3.943</t>
  </si>
  <si>
    <t>0.002</t>
  </si>
  <si>
    <t>-0.089</t>
  </si>
  <si>
    <t>-0.212</t>
  </si>
  <si>
    <t>-0.842</t>
  </si>
  <si>
    <t>2.480101</t>
  </si>
  <si>
    <t>2.482330</t>
  </si>
  <si>
    <t>1.671868</t>
  </si>
  <si>
    <t>0.711718</t>
  </si>
  <si>
    <t>0.173709</t>
  </si>
  <si>
    <t>0.041244</t>
  </si>
  <si>
    <t>0.284001</t>
  </si>
  <si>
    <t>1.603161</t>
  </si>
  <si>
    <t>0.000385</t>
  </si>
  <si>
    <t>11</t>
  </si>
  <si>
    <t>1.589732</t>
  </si>
  <si>
    <t>1.631555</t>
  </si>
  <si>
    <t>16.623968</t>
  </si>
  <si>
    <t>16.197832</t>
  </si>
  <si>
    <t>PSF-01608_20261008100633_df5</t>
  </si>
  <si>
    <t>100.039246</t>
  </si>
  <si>
    <t>205.843445</t>
  </si>
  <si>
    <t>0.514003</t>
  </si>
  <si>
    <t>24.67</t>
  </si>
  <si>
    <t>25.31</t>
  </si>
  <si>
    <t>37.40</t>
  </si>
  <si>
    <t>37.04</t>
  </si>
  <si>
    <t>20.8</t>
  </si>
  <si>
    <t>86.7</t>
  </si>
  <si>
    <t>84</t>
  </si>
  <si>
    <t>10:06:25</t>
  </si>
  <si>
    <t>1.21</t>
  </si>
  <si>
    <t>-0.006</t>
  </si>
  <si>
    <t>-0.026</t>
  </si>
  <si>
    <t>0.138</t>
  </si>
  <si>
    <t>27.866</t>
  </si>
  <si>
    <t>83.447</t>
  </si>
  <si>
    <t>2.475415</t>
  </si>
  <si>
    <t>2.476299</t>
  </si>
  <si>
    <t>1.670439</t>
  </si>
  <si>
    <t>0.639538</t>
  </si>
  <si>
    <t>0.167552</t>
  </si>
  <si>
    <t>-0.003591</t>
  </si>
  <si>
    <t>0.311797</t>
  </si>
  <si>
    <t>0.184306</t>
  </si>
  <si>
    <t>0.000401</t>
  </si>
  <si>
    <t>12</t>
  </si>
  <si>
    <t>1.594910</t>
  </si>
  <si>
    <t>1.612552</t>
  </si>
  <si>
    <t>16.430508</t>
  </si>
  <si>
    <t>16.250750</t>
  </si>
  <si>
    <t>PSF-01608_20261008100711_157</t>
  </si>
  <si>
    <t>123.893379</t>
  </si>
  <si>
    <t>343.063477</t>
  </si>
  <si>
    <t>0.638862</t>
  </si>
  <si>
    <t>24.68</t>
  </si>
  <si>
    <t>24.95</t>
  </si>
  <si>
    <t>37.45</t>
  </si>
  <si>
    <t>36.65</t>
  </si>
  <si>
    <t>71.0</t>
  </si>
  <si>
    <t>54.7</t>
  </si>
  <si>
    <t>78</t>
  </si>
  <si>
    <t>3.930</t>
  </si>
  <si>
    <t>-0.002</t>
  </si>
  <si>
    <t>0.119</t>
  </si>
  <si>
    <t>0.215</t>
  </si>
  <si>
    <t>2.474831</t>
  </si>
  <si>
    <t>2.476319</t>
  </si>
  <si>
    <t>1.672009</t>
  </si>
  <si>
    <t>0.738924</t>
  </si>
  <si>
    <t>0.167235</t>
  </si>
  <si>
    <t>-0.008883</t>
  </si>
  <si>
    <t>0.314806</t>
  </si>
  <si>
    <t>0.178563</t>
  </si>
  <si>
    <t>13</t>
  </si>
  <si>
    <t>1.402041</t>
  </si>
  <si>
    <t>1.427041</t>
  </si>
  <si>
    <t>14.544092</t>
  </si>
  <si>
    <t>14.289300</t>
  </si>
  <si>
    <t>PSF-01608_20261008101658_7b1</t>
  </si>
  <si>
    <t>1.961231</t>
  </si>
  <si>
    <t>2.034903</t>
  </si>
  <si>
    <t>0.036204</t>
  </si>
  <si>
    <t>22.43</t>
  </si>
  <si>
    <t>22.83</t>
  </si>
  <si>
    <t>36.85</t>
  </si>
  <si>
    <t>23.29</t>
  </si>
  <si>
    <t>-20.5</t>
  </si>
  <si>
    <t>113.1</t>
  </si>
  <si>
    <t>957</t>
  </si>
  <si>
    <t>3.925</t>
  </si>
  <si>
    <t>10:16:45</t>
  </si>
  <si>
    <t>1.06</t>
  </si>
  <si>
    <t>-0.047</t>
  </si>
  <si>
    <t>0.096</t>
  </si>
  <si>
    <t>-0.070</t>
  </si>
  <si>
    <t>-0.025</t>
  </si>
  <si>
    <t>2.471434</t>
  </si>
  <si>
    <t>2.472847</t>
  </si>
  <si>
    <t>1.671021</t>
  </si>
  <si>
    <t>0.562966</t>
  </si>
  <si>
    <t>0.171197</t>
  </si>
  <si>
    <t>-0.152842</t>
  </si>
  <si>
    <t>0.360955</t>
  </si>
  <si>
    <t>0.989209</t>
  </si>
  <si>
    <t>1.520806</t>
  </si>
  <si>
    <t>1.427571</t>
  </si>
  <si>
    <t>14.550237</t>
  </si>
  <si>
    <t>15.500512</t>
  </si>
  <si>
    <t>PSF-01608_20261008102048_b33</t>
  </si>
  <si>
    <t>96.179008</t>
  </si>
  <si>
    <t>361.348267</t>
  </si>
  <si>
    <t>0.733833</t>
  </si>
  <si>
    <t>24.31</t>
  </si>
  <si>
    <t>22.82</t>
  </si>
  <si>
    <t>36.86</t>
  </si>
  <si>
    <t>35.55</t>
  </si>
  <si>
    <t>18.2</t>
  </si>
  <si>
    <t>88.3</t>
  </si>
  <si>
    <t>146</t>
  </si>
  <si>
    <t>3.919</t>
  </si>
  <si>
    <t>10:20:03</t>
  </si>
  <si>
    <t>1.10</t>
  </si>
  <si>
    <t>0.001</t>
  </si>
  <si>
    <t>-0.004</t>
  </si>
  <si>
    <t>0.155</t>
  </si>
  <si>
    <t>-0.028</t>
  </si>
  <si>
    <t>0.187</t>
  </si>
  <si>
    <t>2.471425</t>
  </si>
  <si>
    <t>2.475931</t>
  </si>
  <si>
    <t>1.670479</t>
  </si>
  <si>
    <t>0.634603</t>
  </si>
  <si>
    <t>0.171127</t>
  </si>
  <si>
    <t>-0.014957</t>
  </si>
  <si>
    <t>0.302543</t>
  </si>
  <si>
    <t>0.241244</t>
  </si>
  <si>
    <t>0.000380</t>
  </si>
  <si>
    <t>1.714178</t>
  </si>
  <si>
    <t>1.597602</t>
  </si>
  <si>
    <t>16.283871</t>
  </si>
  <si>
    <t>17.472088</t>
  </si>
  <si>
    <t>PSF-01608_20261008102151_da2</t>
  </si>
  <si>
    <t>32.854557</t>
  </si>
  <si>
    <t>70.538162</t>
  </si>
  <si>
    <t>0.534230</t>
  </si>
  <si>
    <t>27.22</t>
  </si>
  <si>
    <t>25.37</t>
  </si>
  <si>
    <t>36.98</t>
  </si>
  <si>
    <t>46.4</t>
  </si>
  <si>
    <t>70.4</t>
  </si>
  <si>
    <t>137</t>
  </si>
  <si>
    <t>-0.602</t>
  </si>
  <si>
    <t>-0.145</t>
  </si>
  <si>
    <t>2.475545</t>
  </si>
  <si>
    <t>2.480730</t>
  </si>
  <si>
    <t>1.671030</t>
  </si>
  <si>
    <t>0.689034</t>
  </si>
  <si>
    <t>0.170342</t>
  </si>
  <si>
    <t>-0.011789</t>
  </si>
  <si>
    <t>0.310071</t>
  </si>
  <si>
    <t>0.232614</t>
  </si>
  <si>
    <t>0.000386</t>
  </si>
  <si>
    <t>1.764095</t>
  </si>
  <si>
    <t>1.502995</t>
  </si>
  <si>
    <t>15.318667</t>
  </si>
  <si>
    <t>17.979822</t>
  </si>
  <si>
    <t>PSF-01608_20261008102254_7f2</t>
  </si>
  <si>
    <t>55.562496</t>
  </si>
  <si>
    <t>60.600044</t>
  </si>
  <si>
    <t>0.083128</t>
  </si>
  <si>
    <t>27.78</t>
  </si>
  <si>
    <t>23.67</t>
  </si>
  <si>
    <t>37.13</t>
  </si>
  <si>
    <t>40.17</t>
  </si>
  <si>
    <t>156.8</t>
  </si>
  <si>
    <t>31.6</t>
  </si>
  <si>
    <t>79.8</t>
  </si>
  <si>
    <t>1877</t>
  </si>
  <si>
    <t>3.909</t>
  </si>
  <si>
    <t>-0.001</t>
  </si>
  <si>
    <t>0.131</t>
  </si>
  <si>
    <t>-0.156</t>
  </si>
  <si>
    <t>-0.215</t>
  </si>
  <si>
    <t>2.472779</t>
  </si>
  <si>
    <t>2.481618</t>
  </si>
  <si>
    <t>1.673101</t>
  </si>
  <si>
    <t>0.660213</t>
  </si>
  <si>
    <t>0.169306</t>
  </si>
  <si>
    <t>0.038238</t>
  </si>
  <si>
    <t>0.317538</t>
  </si>
  <si>
    <t>1.838015</t>
  </si>
  <si>
    <t>0.000378</t>
  </si>
  <si>
    <t>1.381849</t>
  </si>
  <si>
    <t>1.362184</t>
  </si>
  <si>
    <t>13.888956</t>
  </si>
  <si>
    <t>14.089465</t>
  </si>
  <si>
    <t>PSF-01608_20261008102920_8cf</t>
  </si>
  <si>
    <t>108.275055</t>
  </si>
  <si>
    <t>172.697067</t>
  </si>
  <si>
    <t>0.373035</t>
  </si>
  <si>
    <t>21.82</t>
  </si>
  <si>
    <t>21.51</t>
  </si>
  <si>
    <t>37.08</t>
  </si>
  <si>
    <t>36.44</t>
  </si>
  <si>
    <t>98.08</t>
  </si>
  <si>
    <t>47.8</t>
  </si>
  <si>
    <t>69.5</t>
  </si>
  <si>
    <t>53</t>
  </si>
  <si>
    <t>3.908</t>
  </si>
  <si>
    <t>0.010</t>
  </si>
  <si>
    <t>-1.544</t>
  </si>
  <si>
    <t>-7.977</t>
  </si>
  <si>
    <t>2.469255</t>
  </si>
  <si>
    <t>2.471725</t>
  </si>
  <si>
    <t>1.671713</t>
  </si>
  <si>
    <t>0.691912</t>
  </si>
  <si>
    <t>0.169634</t>
  </si>
  <si>
    <t>-0.006942</t>
  </si>
  <si>
    <t>0.353597</t>
  </si>
  <si>
    <t>0.155313</t>
  </si>
  <si>
    <t>108.059052</t>
  </si>
  <si>
    <t>0.000399</t>
  </si>
  <si>
    <t>1.377341</t>
  </si>
  <si>
    <t>1.372695</t>
  </si>
  <si>
    <t>13.998166</t>
  </si>
  <si>
    <t>14.045543</t>
  </si>
  <si>
    <t>PSF-01608_20261008103039_d30</t>
  </si>
  <si>
    <t>79.777481</t>
  </si>
  <si>
    <t>162.876251</t>
  </si>
  <si>
    <t>0.510196</t>
  </si>
  <si>
    <t>21.86</t>
  </si>
  <si>
    <t>21.79</t>
  </si>
  <si>
    <t>36.06</t>
  </si>
  <si>
    <t>98.06</t>
  </si>
  <si>
    <t>55.7</t>
  </si>
  <si>
    <t>64.5</t>
  </si>
  <si>
    <t>22</t>
  </si>
  <si>
    <t>3.907</t>
  </si>
  <si>
    <t>10:30:32</t>
  </si>
  <si>
    <t>1.02</t>
  </si>
  <si>
    <t>-0.003</t>
  </si>
  <si>
    <t>71.456</t>
  </si>
  <si>
    <t>35.831</t>
  </si>
  <si>
    <t>17.062</t>
  </si>
  <si>
    <t>2.469728</t>
  </si>
  <si>
    <t>2.471962</t>
  </si>
  <si>
    <t>1.671755</t>
  </si>
  <si>
    <t>0.707561</t>
  </si>
  <si>
    <t>0.170284</t>
  </si>
  <si>
    <t>-0.010392</t>
  </si>
  <si>
    <t>0.359574</t>
  </si>
  <si>
    <t>0.126467</t>
  </si>
  <si>
    <t>0.000387</t>
  </si>
  <si>
    <t>1.381376</t>
  </si>
  <si>
    <t>1.383410</t>
  </si>
  <si>
    <t>14.107181</t>
  </si>
  <si>
    <t>14.086433</t>
  </si>
  <si>
    <t>PSF-01608_20261008103056_316</t>
  </si>
  <si>
    <t>104.803207</t>
  </si>
  <si>
    <t>211.726425</t>
  </si>
  <si>
    <t>0.505006</t>
  </si>
  <si>
    <t>21.94</t>
  </si>
  <si>
    <t>21.97</t>
  </si>
  <si>
    <t>36.97</t>
  </si>
  <si>
    <t>35.98</t>
  </si>
  <si>
    <t>-16.5</t>
  </si>
  <si>
    <t>110.6</t>
  </si>
  <si>
    <t>521</t>
  </si>
  <si>
    <t>3.904</t>
  </si>
  <si>
    <t>-2.443</t>
  </si>
  <si>
    <t>2.470029</t>
  </si>
  <si>
    <t>2.472092</t>
  </si>
  <si>
    <t>1.670566</t>
  </si>
  <si>
    <t>0.570129</t>
  </si>
  <si>
    <t>0.170351</t>
  </si>
  <si>
    <t>-0.011146</t>
  </si>
  <si>
    <t>0.360847</t>
  </si>
  <si>
    <t>0.586721</t>
  </si>
  <si>
    <t>Flag</t>
  </si>
  <si>
    <t>1.388050</t>
  </si>
  <si>
    <t>1.374940</t>
  </si>
  <si>
    <t>14.015306</t>
  </si>
  <si>
    <t>14.148940</t>
  </si>
  <si>
    <t>PSF-01608_20261008103358_ec7</t>
  </si>
  <si>
    <t>96.822380</t>
  </si>
  <si>
    <t>261.665588</t>
  </si>
  <si>
    <t>0.629977</t>
  </si>
  <si>
    <t>22.32</t>
  </si>
  <si>
    <t>22.11</t>
  </si>
  <si>
    <t>36.75</t>
  </si>
  <si>
    <t>35.35</t>
  </si>
  <si>
    <t>-9.4</t>
  </si>
  <si>
    <t>106.0</t>
  </si>
  <si>
    <t>3.901</t>
  </si>
  <si>
    <t>0.008</t>
  </si>
  <si>
    <t>-0.242</t>
  </si>
  <si>
    <t>47.454</t>
  </si>
  <si>
    <t>67.224</t>
  </si>
  <si>
    <t>2.470274</t>
  </si>
  <si>
    <t>2.472753</t>
  </si>
  <si>
    <t>1.671119</t>
  </si>
  <si>
    <t>0.583091</t>
  </si>
  <si>
    <t>0.171857</t>
  </si>
  <si>
    <t>-0.015909</t>
  </si>
  <si>
    <t>0.375354</t>
  </si>
  <si>
    <t>0.335116</t>
  </si>
  <si>
    <t>1.518971</t>
  </si>
  <si>
    <t>1.428690</t>
  </si>
  <si>
    <t>14.563201</t>
  </si>
  <si>
    <t>15.483467</t>
  </si>
  <si>
    <t>PSF-01608_20261008103504_200</t>
  </si>
  <si>
    <t>103.611946</t>
  </si>
  <si>
    <t>315.855865</t>
  </si>
  <si>
    <t>0.671964</t>
  </si>
  <si>
    <t>24.44</t>
  </si>
  <si>
    <t>22.99</t>
  </si>
  <si>
    <t>36.73</t>
  </si>
  <si>
    <t>36.31</t>
  </si>
  <si>
    <t>-4.7</t>
  </si>
  <si>
    <t>103.0</t>
  </si>
  <si>
    <t>347</t>
  </si>
  <si>
    <t>3.899</t>
  </si>
  <si>
    <t>4.220</t>
  </si>
  <si>
    <t>18.685</t>
  </si>
  <si>
    <t>-11.209</t>
  </si>
  <si>
    <t>2.471713</t>
  </si>
  <si>
    <t>2.476310</t>
  </si>
  <si>
    <t>1.671044</t>
  </si>
  <si>
    <t>0.591793</t>
  </si>
  <si>
    <t>0.171935</t>
  </si>
  <si>
    <t>-0.004359</t>
  </si>
  <si>
    <t>0.381021</t>
  </si>
  <si>
    <t>0.426830</t>
  </si>
  <si>
    <t>0.000382</t>
  </si>
  <si>
    <t>1.393105</t>
  </si>
  <si>
    <t>1.442058</t>
  </si>
  <si>
    <t>14.700106</t>
  </si>
  <si>
    <t>14.201086</t>
  </si>
  <si>
    <t>PSF-01608_20261008103607_0fe</t>
  </si>
  <si>
    <t>78.516129</t>
  </si>
  <si>
    <t>172.179932</t>
  </si>
  <si>
    <t>0.543988</t>
  </si>
  <si>
    <t>22.35</t>
  </si>
  <si>
    <t>23.14</t>
  </si>
  <si>
    <t>36.79</t>
  </si>
  <si>
    <t>36.41</t>
  </si>
  <si>
    <t>-7.3</t>
  </si>
  <si>
    <t>104.7</t>
  </si>
  <si>
    <t>550</t>
  </si>
  <si>
    <t>3.898</t>
  </si>
  <si>
    <t>-0.011</t>
  </si>
  <si>
    <t>-0.021</t>
  </si>
  <si>
    <t>28.511</t>
  </si>
  <si>
    <t>-9.095</t>
  </si>
  <si>
    <t>-6.137</t>
  </si>
  <si>
    <t>2.471945</t>
  </si>
  <si>
    <t>2.472797</t>
  </si>
  <si>
    <t>1.671950</t>
  </si>
  <si>
    <t>0.587026</t>
  </si>
  <si>
    <t>0.171566</t>
  </si>
  <si>
    <t>-0.003777</t>
  </si>
  <si>
    <t>0.386817</t>
  </si>
  <si>
    <t>0.613805</t>
  </si>
  <si>
    <t>0.000394</t>
  </si>
  <si>
    <t>1.434867</t>
  </si>
  <si>
    <t>1.423775</t>
  </si>
  <si>
    <t>14.513768</t>
  </si>
  <si>
    <t>14.626840</t>
  </si>
  <si>
    <t>PSF-01608_20261008103627_d25</t>
  </si>
  <si>
    <t>73.804024</t>
  </si>
  <si>
    <t>123.482826</t>
  </si>
  <si>
    <t>0.402313</t>
  </si>
  <si>
    <t>22.81</t>
  </si>
  <si>
    <t>36.82</t>
  </si>
  <si>
    <t>37.11</t>
  </si>
  <si>
    <t>-3.3</t>
  </si>
  <si>
    <t>102.1</t>
  </si>
  <si>
    <t>633</t>
  </si>
  <si>
    <t>3.896</t>
  </si>
  <si>
    <t>-0.000</t>
  </si>
  <si>
    <t>0.000</t>
  </si>
  <si>
    <t>1.225</t>
  </si>
  <si>
    <t>2.567</t>
  </si>
  <si>
    <t>2.471410</t>
  </si>
  <si>
    <t>2.473867</t>
  </si>
  <si>
    <t>1.671486</t>
  </si>
  <si>
    <t>0.594468</t>
  </si>
  <si>
    <t>0.171389</t>
  </si>
  <si>
    <t>0.004357</t>
  </si>
  <si>
    <t>0.388595</t>
  </si>
  <si>
    <t>0.690113</t>
  </si>
  <si>
    <t>72.632072</t>
  </si>
  <si>
    <t>1.472876</t>
  </si>
  <si>
    <t>1.463208</t>
  </si>
  <si>
    <t>14.917978</t>
  </si>
  <si>
    <t>15.016554</t>
  </si>
  <si>
    <t>PSF-01608_20261008103726_536</t>
  </si>
  <si>
    <t>90.103622</t>
  </si>
  <si>
    <t>357.445465</t>
  </si>
  <si>
    <t>0.747923</t>
  </si>
  <si>
    <t>23.49</t>
  </si>
  <si>
    <t>23.34</t>
  </si>
  <si>
    <t>36.90</t>
  </si>
  <si>
    <t>35.49</t>
  </si>
  <si>
    <t>-11.6</t>
  </si>
  <si>
    <t>107.4</t>
  </si>
  <si>
    <t>56</t>
  </si>
  <si>
    <t>0.019</t>
  </si>
  <si>
    <t>-0.096</t>
  </si>
  <si>
    <t>-0.135</t>
  </si>
  <si>
    <t>2.472261</t>
  </si>
  <si>
    <t>2.474705</t>
  </si>
  <si>
    <t>1.672011</t>
  </si>
  <si>
    <t>0.579177</t>
  </si>
  <si>
    <t>0.170845</t>
  </si>
  <si>
    <t>-0.016143</t>
  </si>
  <si>
    <t>0.393860</t>
  </si>
  <si>
    <t>0.157783</t>
  </si>
  <si>
    <t>0.000393</t>
  </si>
  <si>
    <t>1.469425</t>
  </si>
  <si>
    <t>1.436339</t>
  </si>
  <si>
    <t>14.643674</t>
  </si>
  <si>
    <t>14.980986</t>
  </si>
  <si>
    <t>PSF-01608_20261008103751_d2a</t>
  </si>
  <si>
    <t>109.694839</t>
  </si>
  <si>
    <t>372.525940</t>
  </si>
  <si>
    <t>0.705538</t>
  </si>
  <si>
    <t>23.43</t>
  </si>
  <si>
    <t>22.90</t>
  </si>
  <si>
    <t>34.42</t>
  </si>
  <si>
    <t>98.09</t>
  </si>
  <si>
    <t>-17.9</t>
  </si>
  <si>
    <t>111.4</t>
  </si>
  <si>
    <t>57</t>
  </si>
  <si>
    <t>3.895</t>
  </si>
  <si>
    <t>-0.005</t>
  </si>
  <si>
    <t>0.191</t>
  </si>
  <si>
    <t>2.471560</t>
  </si>
  <si>
    <t>2.474609</t>
  </si>
  <si>
    <t>1.671328</t>
  </si>
  <si>
    <t>0.567737</t>
  </si>
  <si>
    <t>0.170834</t>
  </si>
  <si>
    <t>-0.028850</t>
  </si>
  <si>
    <t>0.395823</t>
  </si>
  <si>
    <t>0.159087</t>
  </si>
  <si>
    <t>109.442352</t>
  </si>
  <si>
    <t>0.000396</t>
  </si>
  <si>
    <t>1.515185</t>
  </si>
  <si>
    <t>1.500645</t>
  </si>
  <si>
    <t>15.300330</t>
  </si>
  <si>
    <t>15.448585</t>
  </si>
  <si>
    <t>PSF-01608_20261008103823_33b</t>
  </si>
  <si>
    <t>106.968643</t>
  </si>
  <si>
    <t>364.503967</t>
  </si>
  <si>
    <t>0.706536</t>
  </si>
  <si>
    <t>24.17</t>
  </si>
  <si>
    <t>23.94</t>
  </si>
  <si>
    <t>36.89</t>
  </si>
  <si>
    <t>35.00</t>
  </si>
  <si>
    <t>14.1</t>
  </si>
  <si>
    <t>91.0</t>
  </si>
  <si>
    <t>87</t>
  </si>
  <si>
    <t>3.893</t>
  </si>
  <si>
    <t>-0.049</t>
  </si>
  <si>
    <t>2.473246</t>
  </si>
  <si>
    <t>2.475848</t>
  </si>
  <si>
    <t>1.670246</t>
  </si>
  <si>
    <t>0.626837</t>
  </si>
  <si>
    <t>0.170891</t>
  </si>
  <si>
    <t>-0.021918</t>
  </si>
  <si>
    <t>0.398151</t>
  </si>
  <si>
    <t>0.186553</t>
  </si>
  <si>
    <t>106.925369</t>
  </si>
  <si>
    <t>14</t>
  </si>
  <si>
    <t>1.529966</t>
  </si>
  <si>
    <t>1.499884</t>
  </si>
  <si>
    <t>15.290424</t>
  </si>
  <si>
    <t>15.597098</t>
  </si>
  <si>
    <t>PSF-01608_20261008103911_d32</t>
  </si>
  <si>
    <t>64.937355</t>
  </si>
  <si>
    <t>79.729202</t>
  </si>
  <si>
    <t>0.185526</t>
  </si>
  <si>
    <t>24.42</t>
  </si>
  <si>
    <t>37.83</t>
  </si>
  <si>
    <t>7.1</t>
  </si>
  <si>
    <t>95.5</t>
  </si>
  <si>
    <t>1304</t>
  </si>
  <si>
    <t>3.892</t>
  </si>
  <si>
    <t>-0.585</t>
  </si>
  <si>
    <t>5.896</t>
  </si>
  <si>
    <t>2.473238</t>
  </si>
  <si>
    <t>2.476253</t>
  </si>
  <si>
    <t>1.670569</t>
  </si>
  <si>
    <t>0.613654</t>
  </si>
  <si>
    <t>0.170926</t>
  </si>
  <si>
    <t>0.012325</t>
  </si>
  <si>
    <t>0.401789</t>
  </si>
  <si>
    <t>1.309326</t>
  </si>
  <si>
    <t>15</t>
  </si>
  <si>
    <t>1.564097</t>
  </si>
  <si>
    <t>1.480309</t>
  </si>
  <si>
    <t>15.092372</t>
  </si>
  <si>
    <t>15.946629</t>
  </si>
  <si>
    <t>PSF-01608_20261008103933_16c</t>
  </si>
  <si>
    <t>82.417488</t>
  </si>
  <si>
    <t>100.551369</t>
  </si>
  <si>
    <t>0.180344</t>
  </si>
  <si>
    <t>24.93</t>
  </si>
  <si>
    <t>23.60</t>
  </si>
  <si>
    <t>36.91</t>
  </si>
  <si>
    <t>38.87</t>
  </si>
  <si>
    <t>19.9</t>
  </si>
  <si>
    <t>87.3</t>
  </si>
  <si>
    <t>1706</t>
  </si>
  <si>
    <t>1.220</t>
  </si>
  <si>
    <t>-5.787</t>
  </si>
  <si>
    <t>2.472687</t>
  </si>
  <si>
    <t>2.477110</t>
  </si>
  <si>
    <t>1.670593</t>
  </si>
  <si>
    <t>0.637785</t>
  </si>
  <si>
    <t>0.170792</t>
  </si>
  <si>
    <t>0.024825</t>
  </si>
  <si>
    <t>0.403416</t>
  </si>
  <si>
    <t>1.680209</t>
  </si>
  <si>
    <t>16</t>
  </si>
  <si>
    <t>1.479340</t>
  </si>
  <si>
    <t>1.463196</t>
  </si>
  <si>
    <t>14.917711</t>
  </si>
  <si>
    <t>15.082300</t>
  </si>
  <si>
    <t>PSF-01608_20261008103958_57b</t>
  </si>
  <si>
    <t>71.056366</t>
  </si>
  <si>
    <t>147.840851</t>
  </si>
  <si>
    <t>0.519373</t>
  </si>
  <si>
    <t>23.55</t>
  </si>
  <si>
    <t>36.93</t>
  </si>
  <si>
    <t>36.92</t>
  </si>
  <si>
    <t>31.2</t>
  </si>
  <si>
    <t>80.1</t>
  </si>
  <si>
    <t>1715</t>
  </si>
  <si>
    <t>3.890</t>
  </si>
  <si>
    <t>11.055</t>
  </si>
  <si>
    <t>4.666</t>
  </si>
  <si>
    <t>2.472185</t>
  </si>
  <si>
    <t>2.474799</t>
  </si>
  <si>
    <t>1.671955</t>
  </si>
  <si>
    <t>0.659327</t>
  </si>
  <si>
    <t>0.170612</t>
  </si>
  <si>
    <t>0.000586</t>
  </si>
  <si>
    <t>0.405532</t>
  </si>
  <si>
    <t>1.688386</t>
  </si>
  <si>
    <t>17</t>
  </si>
  <si>
    <t>1.317979</t>
  </si>
  <si>
    <t>1.366457</t>
  </si>
  <si>
    <t>13.929334</t>
  </si>
  <si>
    <t>13.435157</t>
  </si>
  <si>
    <t>PSF-01608_20261008104216_e7d</t>
  </si>
  <si>
    <t>123.862267</t>
  </si>
  <si>
    <t>445.254913</t>
  </si>
  <si>
    <t>0.721817</t>
  </si>
  <si>
    <t>20.78</t>
  </si>
  <si>
    <t>21.55</t>
  </si>
  <si>
    <t>35.30</t>
  </si>
  <si>
    <t>-2.3</t>
  </si>
  <si>
    <t>101.5</t>
  </si>
  <si>
    <t>20</t>
  </si>
  <si>
    <t>3.889</t>
  </si>
  <si>
    <t>10:42:04</t>
  </si>
  <si>
    <t>1.00</t>
  </si>
  <si>
    <t>0.245</t>
  </si>
  <si>
    <t>121.540</t>
  </si>
  <si>
    <t>61.260</t>
  </si>
  <si>
    <t>2.469316</t>
  </si>
  <si>
    <t>2.470144</t>
  </si>
  <si>
    <t>1.670387</t>
  </si>
  <si>
    <t>0.596204</t>
  </si>
  <si>
    <t>0.169472</t>
  </si>
  <si>
    <t>-0.020938</t>
  </si>
  <si>
    <t>0.416766</t>
  </si>
  <si>
    <t>0.125070</t>
  </si>
  <si>
    <t>0.000395</t>
  </si>
  <si>
    <t>18</t>
  </si>
  <si>
    <t>1.372671</t>
  </si>
  <si>
    <t>1.398000</t>
  </si>
  <si>
    <t>14.250724</t>
  </si>
  <si>
    <t>13.992534</t>
  </si>
  <si>
    <t>PSF-01608_20261008104238_f51</t>
  </si>
  <si>
    <t>115.846039</t>
  </si>
  <si>
    <t>381.700165</t>
  </si>
  <si>
    <t>0.696500</t>
  </si>
  <si>
    <t>21.64</t>
  </si>
  <si>
    <t>22.04</t>
  </si>
  <si>
    <t>36.09</t>
  </si>
  <si>
    <t>43.1</t>
  </si>
  <si>
    <t>72.4</t>
  </si>
  <si>
    <t>3.888</t>
  </si>
  <si>
    <t>-0.068</t>
  </si>
  <si>
    <t>2.470122</t>
  </si>
  <si>
    <t>2.471599</t>
  </si>
  <si>
    <t>1.670547</t>
  </si>
  <si>
    <t>0.682608</t>
  </si>
  <si>
    <t>0.169434</t>
  </si>
  <si>
    <t>-0.011614</t>
  </si>
  <si>
    <t>0.418353</t>
  </si>
  <si>
    <t>0.125457</t>
  </si>
  <si>
    <t>19</t>
  </si>
  <si>
    <t>1.412357</t>
  </si>
  <si>
    <t>1.426730</t>
  </si>
  <si>
    <t>14.543962</t>
  </si>
  <si>
    <t>14.397450</t>
  </si>
  <si>
    <t>PSF-01608_20261008104253_d11</t>
  </si>
  <si>
    <t>85.220215</t>
  </si>
  <si>
    <t>197.224258</t>
  </si>
  <si>
    <t>0.567902</t>
  </si>
  <si>
    <t>22.27</t>
  </si>
  <si>
    <t>22.50</t>
  </si>
  <si>
    <t>37.10</t>
  </si>
  <si>
    <t>36.30</t>
  </si>
  <si>
    <t>114.1</t>
  </si>
  <si>
    <t>27.1</t>
  </si>
  <si>
    <t>26</t>
  </si>
  <si>
    <t>3.887</t>
  </si>
  <si>
    <t>-0.010</t>
  </si>
  <si>
    <t>0.438</t>
  </si>
  <si>
    <t>1.102</t>
  </si>
  <si>
    <t>2.112</t>
  </si>
  <si>
    <t>2.470886</t>
  </si>
  <si>
    <t>2.472680</t>
  </si>
  <si>
    <t>1.670497</t>
  </si>
  <si>
    <t>0.832686</t>
  </si>
  <si>
    <t>0.169504</t>
  </si>
  <si>
    <t>-0.008853</t>
  </si>
  <si>
    <t>0.419338</t>
  </si>
  <si>
    <t>0.130446</t>
  </si>
  <si>
    <t>1.443791</t>
  </si>
  <si>
    <t>1.474301</t>
  </si>
  <si>
    <t>15.025638</t>
  </si>
  <si>
    <t>14.714697</t>
  </si>
  <si>
    <t>PSF-01608_20261008104322_d88</t>
  </si>
  <si>
    <t>131.026627</t>
  </si>
  <si>
    <t>476.998688</t>
  </si>
  <si>
    <t>0.725310</t>
  </si>
  <si>
    <t>22.79</t>
  </si>
  <si>
    <t>23.27</t>
  </si>
  <si>
    <t>37.09</t>
  </si>
  <si>
    <t>35.95</t>
  </si>
  <si>
    <t>44.4</t>
  </si>
  <si>
    <t>71.7</t>
  </si>
  <si>
    <t>36</t>
  </si>
  <si>
    <t>-0.873</t>
  </si>
  <si>
    <t>-0.541</t>
  </si>
  <si>
    <t>2.472137</t>
  </si>
  <si>
    <t>2.473543</t>
  </si>
  <si>
    <t>1.672191</t>
  </si>
  <si>
    <t>0.685141</t>
  </si>
  <si>
    <t>0.169588</t>
  </si>
  <si>
    <t>-0.012920</t>
  </si>
  <si>
    <t>0.421378</t>
  </si>
  <si>
    <t>0.139944</t>
  </si>
  <si>
    <t>21</t>
  </si>
  <si>
    <t>1.544400</t>
  </si>
  <si>
    <t>1.532628</t>
  </si>
  <si>
    <t>15.620377</t>
  </si>
  <si>
    <t>15.740350</t>
  </si>
  <si>
    <t>PSF-01608_20261008104338_0c8</t>
  </si>
  <si>
    <t>120.453003</t>
  </si>
  <si>
    <t>457.010498</t>
  </si>
  <si>
    <t>0.736433</t>
  </si>
  <si>
    <t>24.39</t>
  </si>
  <si>
    <t>24.20</t>
  </si>
  <si>
    <t>35.73</t>
  </si>
  <si>
    <t>58.0</t>
  </si>
  <si>
    <t>62.9</t>
  </si>
  <si>
    <t>38</t>
  </si>
  <si>
    <t>3.886</t>
  </si>
  <si>
    <t>-1.773</t>
  </si>
  <si>
    <t>2.473650</t>
  </si>
  <si>
    <t>2.476221</t>
  </si>
  <si>
    <t>1.669948</t>
  </si>
  <si>
    <t>0.712236</t>
  </si>
  <si>
    <t>0.169650</t>
  </si>
  <si>
    <t>-0.015525</t>
  </si>
  <si>
    <t>0.422514</t>
  </si>
  <si>
    <t>0.141174</t>
  </si>
  <si>
    <t>1.552140</t>
  </si>
  <si>
    <t>1.518838</t>
  </si>
  <si>
    <t>15.479470</t>
  </si>
  <si>
    <t>15.818870</t>
  </si>
  <si>
    <t>PSF-01608_20261008104350_384</t>
  </si>
  <si>
    <t>126.287697</t>
  </si>
  <si>
    <t>446.029175</t>
  </si>
  <si>
    <t>0.716862</t>
  </si>
  <si>
    <t>24.52</t>
  </si>
  <si>
    <t>23.99</t>
  </si>
  <si>
    <t>37.07</t>
  </si>
  <si>
    <t>35.92</t>
  </si>
  <si>
    <t>111.0</t>
  </si>
  <si>
    <t>29.2</t>
  </si>
  <si>
    <t>35</t>
  </si>
  <si>
    <t>1.023</t>
  </si>
  <si>
    <t>2.473317</t>
  </si>
  <si>
    <t>2.476443</t>
  </si>
  <si>
    <t>1.672151</t>
  </si>
  <si>
    <t>0.825481</t>
  </si>
  <si>
    <t>0.169705</t>
  </si>
  <si>
    <t>-0.013095</t>
  </si>
  <si>
    <t>0.423235</t>
  </si>
  <si>
    <t>0.139242</t>
  </si>
  <si>
    <t>23</t>
  </si>
  <si>
    <t>1.523053</t>
  </si>
  <si>
    <t>1.500940</t>
  </si>
  <si>
    <t>15.296395</t>
  </si>
  <si>
    <t>15.521759</t>
  </si>
  <si>
    <t>PSF-01608_20261008104427_2b0</t>
  </si>
  <si>
    <t>63.275455</t>
  </si>
  <si>
    <t>167.626266</t>
  </si>
  <si>
    <t>0.622521</t>
  </si>
  <si>
    <t>24.06</t>
  </si>
  <si>
    <t>23.71</t>
  </si>
  <si>
    <t>45.2</t>
  </si>
  <si>
    <t>71.1</t>
  </si>
  <si>
    <t>-9.190</t>
  </si>
  <si>
    <t>36.538</t>
  </si>
  <si>
    <t>2.472863</t>
  </si>
  <si>
    <t>2.475682</t>
  </si>
  <si>
    <t>1.671853</t>
  </si>
  <si>
    <t>0.686740</t>
  </si>
  <si>
    <t>0.169718</t>
  </si>
  <si>
    <t>-0.000785</t>
  </si>
  <si>
    <t>0.425851</t>
  </si>
  <si>
    <t>0.302117</t>
  </si>
  <si>
    <t>0.000392</t>
  </si>
  <si>
    <t>24</t>
  </si>
  <si>
    <t>1.486182</t>
  </si>
  <si>
    <t>1.464287</t>
  </si>
  <si>
    <t>14.923470</t>
  </si>
  <si>
    <t>15.146616</t>
  </si>
  <si>
    <t>PSF-01608_20261008104438_a37</t>
  </si>
  <si>
    <t>91.080307</t>
  </si>
  <si>
    <t>219.634293</t>
  </si>
  <si>
    <t>0.585309</t>
  </si>
  <si>
    <t>23.47</t>
  </si>
  <si>
    <t>23.13</t>
  </si>
  <si>
    <t>36.74</t>
  </si>
  <si>
    <t>7.2</t>
  </si>
  <si>
    <t>95.4</t>
  </si>
  <si>
    <t>3.885</t>
  </si>
  <si>
    <t>0.403</t>
  </si>
  <si>
    <t>-9.470</t>
  </si>
  <si>
    <t>2.471911</t>
  </si>
  <si>
    <t>2.474698</t>
  </si>
  <si>
    <t>1.671074</t>
  </si>
  <si>
    <t>0.613879</t>
  </si>
  <si>
    <t>0.169684</t>
  </si>
  <si>
    <t>-0.003218</t>
  </si>
  <si>
    <t>0.426637</t>
  </si>
  <si>
    <t>0.369339</t>
  </si>
  <si>
    <t>25</t>
  </si>
  <si>
    <t>1.514295</t>
  </si>
  <si>
    <t>1.468407</t>
  </si>
  <si>
    <t>14.965378</t>
  </si>
  <si>
    <t>15.433058</t>
  </si>
  <si>
    <t>PSF-01608_20261008104452_d92</t>
  </si>
  <si>
    <t>238.590363</t>
  </si>
  <si>
    <t>327.554230</t>
  </si>
  <si>
    <t>0.271600</t>
  </si>
  <si>
    <t>23.91</t>
  </si>
  <si>
    <t>23.18</t>
  </si>
  <si>
    <t>37.00</t>
  </si>
  <si>
    <t>65.4</t>
  </si>
  <si>
    <t>58.3</t>
  </si>
  <si>
    <t>186</t>
  </si>
  <si>
    <t>-20.414</t>
  </si>
  <si>
    <t>2.471998</t>
  </si>
  <si>
    <t>2.475420</t>
  </si>
  <si>
    <t>1.671858</t>
  </si>
  <si>
    <t>0.727333</t>
  </si>
  <si>
    <t>0.169626</t>
  </si>
  <si>
    <t>-0.000182</t>
  </si>
  <si>
    <t>0.427626</t>
  </si>
  <si>
    <t>0.277998</t>
  </si>
  <si>
    <t>0.000408</t>
  </si>
  <si>
    <t>1.620930</t>
  </si>
  <si>
    <t>1.550686</t>
  </si>
  <si>
    <t>15.803609</t>
  </si>
  <si>
    <t>16.519491</t>
  </si>
  <si>
    <t>PSF-01608_20261008104534_695</t>
  </si>
  <si>
    <t>126.770493</t>
  </si>
  <si>
    <t>136.565567</t>
  </si>
  <si>
    <t>0.071724</t>
  </si>
  <si>
    <t>25.47</t>
  </si>
  <si>
    <t>24.36</t>
  </si>
  <si>
    <t>37.17</t>
  </si>
  <si>
    <t>39.13</t>
  </si>
  <si>
    <t>76.5</t>
  </si>
  <si>
    <t>1539</t>
  </si>
  <si>
    <t>-4.253</t>
  </si>
  <si>
    <t>76.123</t>
  </si>
  <si>
    <t>-23.026</t>
  </si>
  <si>
    <t>2.473907</t>
  </si>
  <si>
    <t>2.478006</t>
  </si>
  <si>
    <t>1.671707</t>
  </si>
  <si>
    <t>0.670088</t>
  </si>
  <si>
    <t>0.169055</t>
  </si>
  <si>
    <t>0.024852</t>
  </si>
  <si>
    <t>0.430945</t>
  </si>
  <si>
    <t>1.525810</t>
  </si>
  <si>
    <t>132.417084</t>
  </si>
  <si>
    <t>27</t>
  </si>
  <si>
    <t>1.596221</t>
  </si>
  <si>
    <t>1.555234</t>
  </si>
  <si>
    <t>15.850246</t>
  </si>
  <si>
    <t>16.267965</t>
  </si>
  <si>
    <t>PSF-01608_20261008104547_15b</t>
  </si>
  <si>
    <t>116.860985</t>
  </si>
  <si>
    <t>125.134705</t>
  </si>
  <si>
    <t>0.066119</t>
  </si>
  <si>
    <t>25.04</t>
  </si>
  <si>
    <t>24.40</t>
  </si>
  <si>
    <t>37.20</t>
  </si>
  <si>
    <t>39.55</t>
  </si>
  <si>
    <t>91.5</t>
  </si>
  <si>
    <t>41.6</t>
  </si>
  <si>
    <t>999</t>
  </si>
  <si>
    <t>3.884</t>
  </si>
  <si>
    <t>-2.967</t>
  </si>
  <si>
    <t>-1.152</t>
  </si>
  <si>
    <t>2.473957</t>
  </si>
  <si>
    <t>2.477294</t>
  </si>
  <si>
    <t>1.670947</t>
  </si>
  <si>
    <t>0.782328</t>
  </si>
  <si>
    <t>0.168861</t>
  </si>
  <si>
    <t>0.029746</t>
  </si>
  <si>
    <t>0.431878</t>
  </si>
  <si>
    <t>1.027684</t>
  </si>
  <si>
    <t>0.000381</t>
  </si>
  <si>
    <t>28</t>
  </si>
  <si>
    <t>1.594240</t>
  </si>
  <si>
    <t>1.544268</t>
  </si>
  <si>
    <t>15.738366</t>
  </si>
  <si>
    <t>16.247654</t>
  </si>
  <si>
    <t>PSF-01608_20261008104604_a1d</t>
  </si>
  <si>
    <t>115.904327</t>
  </si>
  <si>
    <t>154.323227</t>
  </si>
  <si>
    <t>0.248951</t>
  </si>
  <si>
    <t>37.24</t>
  </si>
  <si>
    <t>39.00</t>
  </si>
  <si>
    <t>34.1</t>
  </si>
  <si>
    <t>78.2</t>
  </si>
  <si>
    <t>1105</t>
  </si>
  <si>
    <t>3.877</t>
  </si>
  <si>
    <t>-12.268</t>
  </si>
  <si>
    <t>2.473586</t>
  </si>
  <si>
    <t>2.477145</t>
  </si>
  <si>
    <t>1.672193</t>
  </si>
  <si>
    <t>0.665020</t>
  </si>
  <si>
    <t>0.168587</t>
  </si>
  <si>
    <t>0.022317</t>
  </si>
  <si>
    <t>0.433159</t>
  </si>
  <si>
    <t>1.125493</t>
  </si>
  <si>
    <t>29</t>
  </si>
  <si>
    <t>1.573908</t>
  </si>
  <si>
    <t>1.556201</t>
  </si>
  <si>
    <t>15.857235</t>
  </si>
  <si>
    <t>16.037663</t>
  </si>
  <si>
    <t>PSF-01608_20261008105454_6a4</t>
  </si>
  <si>
    <t>103.313324</t>
  </si>
  <si>
    <t>173.160553</t>
  </si>
  <si>
    <t>0.403367</t>
  </si>
  <si>
    <t>23.66</t>
  </si>
  <si>
    <t>23.39</t>
  </si>
  <si>
    <t>37.99</t>
  </si>
  <si>
    <t>37.97</t>
  </si>
  <si>
    <t>1770</t>
  </si>
  <si>
    <t>3.866</t>
  </si>
  <si>
    <t>-0.007</t>
  </si>
  <si>
    <t>0.770</t>
  </si>
  <si>
    <t>1.083</t>
  </si>
  <si>
    <t>1.402</t>
  </si>
  <si>
    <t>2.472265</t>
  </si>
  <si>
    <t>2.474936</t>
  </si>
  <si>
    <t>1.671413</t>
  </si>
  <si>
    <t>0.594293</t>
  </si>
  <si>
    <t>0.163818</t>
  </si>
  <si>
    <t>0.000576</t>
  </si>
  <si>
    <t>0.469497</t>
  </si>
  <si>
    <t>1.739435</t>
  </si>
  <si>
    <t>103.345154</t>
  </si>
  <si>
    <t>30</t>
  </si>
  <si>
    <t>1.369553</t>
  </si>
  <si>
    <t>1.374736</t>
  </si>
  <si>
    <t>14.010550</t>
  </si>
  <si>
    <t>13.957722</t>
  </si>
  <si>
    <t>PSF-01608_20261008105853_4c3</t>
  </si>
  <si>
    <t>102.364540</t>
  </si>
  <si>
    <t>311.377991</t>
  </si>
  <si>
    <t>0.671253</t>
  </si>
  <si>
    <t>20.05</t>
  </si>
  <si>
    <t>20.13</t>
  </si>
  <si>
    <t>38.48</t>
  </si>
  <si>
    <t>36.28</t>
  </si>
  <si>
    <t>98.6</t>
  </si>
  <si>
    <t>37.1</t>
  </si>
  <si>
    <t>34</t>
  </si>
  <si>
    <t>3.864</t>
  </si>
  <si>
    <t>10:58:28</t>
  </si>
  <si>
    <t>0.73</t>
  </si>
  <si>
    <t>1.032</t>
  </si>
  <si>
    <t>1.917</t>
  </si>
  <si>
    <t>27.886</t>
  </si>
  <si>
    <t>2.466878</t>
  </si>
  <si>
    <t>2.469264</t>
  </si>
  <si>
    <t>1.673000</t>
  </si>
  <si>
    <t>0.797858</t>
  </si>
  <si>
    <t>0.160782</t>
  </si>
  <si>
    <t>-0.025932</t>
  </si>
  <si>
    <t>0.482965</t>
  </si>
  <si>
    <t>0.138143</t>
  </si>
  <si>
    <t>1.331762</t>
  </si>
  <si>
    <t>1.371841</t>
  </si>
  <si>
    <t>13.978734</t>
  </si>
  <si>
    <t>13.570332</t>
  </si>
  <si>
    <t>PSF-01608_20261008105950_59b</t>
  </si>
  <si>
    <t>94.713806</t>
  </si>
  <si>
    <t>318.593872</t>
  </si>
  <si>
    <t>0.702713</t>
  </si>
  <si>
    <t>19.64</t>
  </si>
  <si>
    <t>20.23</t>
  </si>
  <si>
    <t>38.34</t>
  </si>
  <si>
    <t>36.20</t>
  </si>
  <si>
    <t>-2.7</t>
  </si>
  <si>
    <t>101.7</t>
  </si>
  <si>
    <t>3.863</t>
  </si>
  <si>
    <t>0.466</t>
  </si>
  <si>
    <t>1.133</t>
  </si>
  <si>
    <t>2.467056</t>
  </si>
  <si>
    <t>2.468564</t>
  </si>
  <si>
    <t>1.671483</t>
  </si>
  <si>
    <t>0.595518</t>
  </si>
  <si>
    <t>0.161602</t>
  </si>
  <si>
    <t>-0.025202</t>
  </si>
  <si>
    <t>0.485309</t>
  </si>
  <si>
    <t>0.133108</t>
  </si>
  <si>
    <t>32</t>
  </si>
  <si>
    <t>1.313764</t>
  </si>
  <si>
    <t>1.363846</t>
  </si>
  <si>
    <t>13.897369</t>
  </si>
  <si>
    <t>13.387037</t>
  </si>
  <si>
    <t>PSF-01608_20261008110016_f6a</t>
  </si>
  <si>
    <t>104.223129</t>
  </si>
  <si>
    <t>352.182281</t>
  </si>
  <si>
    <t>0.704065</t>
  </si>
  <si>
    <t>19.45</t>
  </si>
  <si>
    <t>20.19</t>
  </si>
  <si>
    <t>38.27</t>
  </si>
  <si>
    <t>-15.6</t>
  </si>
  <si>
    <t>109.9</t>
  </si>
  <si>
    <t>3.860</t>
  </si>
  <si>
    <t>0.614</t>
  </si>
  <si>
    <t>2.466996</t>
  </si>
  <si>
    <t>2.468244</t>
  </si>
  <si>
    <t>1.671930</t>
  </si>
  <si>
    <t>0.571930</t>
  </si>
  <si>
    <t>0.162052</t>
  </si>
  <si>
    <t>-0.016044</t>
  </si>
  <si>
    <t>0.486355</t>
  </si>
  <si>
    <t>0.130772</t>
  </si>
  <si>
    <t>33</t>
  </si>
  <si>
    <t>1.454906</t>
  </si>
  <si>
    <t>1.417763</t>
  </si>
  <si>
    <t>14.449386</t>
  </si>
  <si>
    <t>14.827935</t>
  </si>
  <si>
    <t>PSF-01608_20261008110217_e0e</t>
  </si>
  <si>
    <t>118.759628</t>
  </si>
  <si>
    <t>193.144440</t>
  </si>
  <si>
    <t>0.385125</t>
  </si>
  <si>
    <t>21.84</t>
  </si>
  <si>
    <t>21.28</t>
  </si>
  <si>
    <t>38.01</t>
  </si>
  <si>
    <t>37.49</t>
  </si>
  <si>
    <t>80.7</t>
  </si>
  <si>
    <t>48.5</t>
  </si>
  <si>
    <t>63</t>
  </si>
  <si>
    <t>3.857</t>
  </si>
  <si>
    <t>-2.010</t>
  </si>
  <si>
    <t>-1.629</t>
  </si>
  <si>
    <t>-3.466</t>
  </si>
  <si>
    <t>2.468816</t>
  </si>
  <si>
    <t>2.472324</t>
  </si>
  <si>
    <t>1.672098</t>
  </si>
  <si>
    <t>0.759163</t>
  </si>
  <si>
    <t>0.163656</t>
  </si>
  <si>
    <t>-0.005535</t>
  </si>
  <si>
    <t>0.492170</t>
  </si>
  <si>
    <t>0.164684</t>
  </si>
  <si>
    <t>1.389337</t>
  </si>
  <si>
    <t>1.389130</t>
  </si>
  <si>
    <t>14.157349</t>
  </si>
  <si>
    <t>14.159459</t>
  </si>
  <si>
    <t>PSF-01608_20261008110310_d31</t>
  </si>
  <si>
    <t>102.743622</t>
  </si>
  <si>
    <t>173.241013</t>
  </si>
  <si>
    <t>0.406932</t>
  </si>
  <si>
    <t>20.96</t>
  </si>
  <si>
    <t>37.92</t>
  </si>
  <si>
    <t>37.12</t>
  </si>
  <si>
    <t>39.1</t>
  </si>
  <si>
    <t>426</t>
  </si>
  <si>
    <t>3.858</t>
  </si>
  <si>
    <t>0.338</t>
  </si>
  <si>
    <t>-5.054</t>
  </si>
  <si>
    <t>2.468295</t>
  </si>
  <si>
    <t>2.470851</t>
  </si>
  <si>
    <t>1.672259</t>
  </si>
  <si>
    <t>0.790732</t>
  </si>
  <si>
    <t>0.164267</t>
  </si>
  <si>
    <t>-0.008854</t>
  </si>
  <si>
    <t>0.494959</t>
  </si>
  <si>
    <t>0.499355</t>
  </si>
  <si>
    <t>1.446793</t>
  </si>
  <si>
    <t>1.460760</t>
  </si>
  <si>
    <t>14.887299</t>
  </si>
  <si>
    <t>14.744950</t>
  </si>
  <si>
    <t>PSF-01608_20261008110331_60f</t>
  </si>
  <si>
    <t>111.482979</t>
  </si>
  <si>
    <t>163.679474</t>
  </si>
  <si>
    <t>0.318895</t>
  </si>
  <si>
    <t>21.88</t>
  </si>
  <si>
    <t>22.09</t>
  </si>
  <si>
    <t>37.87</t>
  </si>
  <si>
    <t>38.00</t>
  </si>
  <si>
    <t>47.0</t>
  </si>
  <si>
    <t>70.0</t>
  </si>
  <si>
    <t>48</t>
  </si>
  <si>
    <t>40.251</t>
  </si>
  <si>
    <t>2.470162</t>
  </si>
  <si>
    <t>2.472411</t>
  </si>
  <si>
    <t>1.670747</t>
  </si>
  <si>
    <t>0.690214</t>
  </si>
  <si>
    <t>0.164550</t>
  </si>
  <si>
    <t>0.002360</t>
  </si>
  <si>
    <t>0.496047</t>
  </si>
  <si>
    <t>0.150890</t>
  </si>
  <si>
    <t>0.000400</t>
  </si>
  <si>
    <t>1.456839</t>
  </si>
  <si>
    <t>1.443501</t>
  </si>
  <si>
    <t>14.711589</t>
  </si>
  <si>
    <t>14.847520</t>
  </si>
  <si>
    <t>PSF-01608_20261008110507_db4</t>
  </si>
  <si>
    <t>124.640823</t>
  </si>
  <si>
    <t>218.680862</t>
  </si>
  <si>
    <t>0.430033</t>
  </si>
  <si>
    <t>22.07</t>
  </si>
  <si>
    <t>37.68</t>
  </si>
  <si>
    <t>37.16</t>
  </si>
  <si>
    <t>55.3</t>
  </si>
  <si>
    <t>50</t>
  </si>
  <si>
    <t>3.856</t>
  </si>
  <si>
    <t>-2.355</t>
  </si>
  <si>
    <t>-6.711</t>
  </si>
  <si>
    <t>-13.132</t>
  </si>
  <si>
    <t>2.470132</t>
  </si>
  <si>
    <t>2.473077</t>
  </si>
  <si>
    <t>1.672413</t>
  </si>
  <si>
    <t>0.736782</t>
  </si>
  <si>
    <t>0.165798</t>
  </si>
  <si>
    <t>-0.005489</t>
  </si>
  <si>
    <t>0.500734</t>
  </si>
  <si>
    <t>0.153068</t>
  </si>
  <si>
    <t>0.000384</t>
  </si>
  <si>
    <t>37</t>
  </si>
  <si>
    <t>1.452053</t>
  </si>
  <si>
    <t>1.443305</t>
  </si>
  <si>
    <t>14.711131</t>
  </si>
  <si>
    <t>14.800294</t>
  </si>
  <si>
    <t>PSF-01608_20261008110540_0f1</t>
  </si>
  <si>
    <t>88.043686</t>
  </si>
  <si>
    <t>175.557739</t>
  </si>
  <si>
    <t>0.498492</t>
  </si>
  <si>
    <t>22.29</t>
  </si>
  <si>
    <t>22.16</t>
  </si>
  <si>
    <t>37.60</t>
  </si>
  <si>
    <t>37.06</t>
  </si>
  <si>
    <t>71.4</t>
  </si>
  <si>
    <t>54.4</t>
  </si>
  <si>
    <t>46</t>
  </si>
  <si>
    <t>3.855</t>
  </si>
  <si>
    <t>1.580</t>
  </si>
  <si>
    <t>3.131</t>
  </si>
  <si>
    <t>-1.606</t>
  </si>
  <si>
    <t>2.470284</t>
  </si>
  <si>
    <t>2.473115</t>
  </si>
  <si>
    <t>1.672449</t>
  </si>
  <si>
    <t>0.739794</t>
  </si>
  <si>
    <t>0.166288</t>
  </si>
  <si>
    <t>-0.005777</t>
  </si>
  <si>
    <t>0.502343</t>
  </si>
  <si>
    <t>0.148621</t>
  </si>
  <si>
    <t>1.446140</t>
  </si>
  <si>
    <t>1.457968</t>
  </si>
  <si>
    <t>14.859561</t>
  </si>
  <si>
    <t>14.739007</t>
  </si>
  <si>
    <t>PSF-01608_20261008110554_edd</t>
  </si>
  <si>
    <t>125.788094</t>
  </si>
  <si>
    <t>218.962677</t>
  </si>
  <si>
    <t>0.425527</t>
  </si>
  <si>
    <t>22.24</t>
  </si>
  <si>
    <t>22.42</t>
  </si>
  <si>
    <t>37.57</t>
  </si>
  <si>
    <t>36.27</t>
  </si>
  <si>
    <t>101.9</t>
  </si>
  <si>
    <t>35.0</t>
  </si>
  <si>
    <t>40</t>
  </si>
  <si>
    <t>3.852</t>
  </si>
  <si>
    <t>0.109</t>
  </si>
  <si>
    <t>2.470714</t>
  </si>
  <si>
    <t>2.473026</t>
  </si>
  <si>
    <t>1.671828</t>
  </si>
  <si>
    <t>0.805044</t>
  </si>
  <si>
    <t>0.166482</t>
  </si>
  <si>
    <t>-0.014985</t>
  </si>
  <si>
    <t>0.502981</t>
  </si>
  <si>
    <t>0.143115</t>
  </si>
  <si>
    <t>39</t>
  </si>
  <si>
    <t>1.453955</t>
  </si>
  <si>
    <t>1.464424</t>
  </si>
  <si>
    <t>14.924672</t>
  </si>
  <si>
    <t>14.817976</t>
  </si>
  <si>
    <t>PSF-01608_20261008110823_e18</t>
  </si>
  <si>
    <t>105.250237</t>
  </si>
  <si>
    <t>259.256958</t>
  </si>
  <si>
    <t>0.594031</t>
  </si>
  <si>
    <t>22.77</t>
  </si>
  <si>
    <t>22.93</t>
  </si>
  <si>
    <t>37.23</t>
  </si>
  <si>
    <t>36.52</t>
  </si>
  <si>
    <t>48.0</t>
  </si>
  <si>
    <t>69.3</t>
  </si>
  <si>
    <t>42</t>
  </si>
  <si>
    <t>3.847</t>
  </si>
  <si>
    <t>0.785</t>
  </si>
  <si>
    <t>1.137</t>
  </si>
  <si>
    <t>2.560</t>
  </si>
  <si>
    <t>2.471578</t>
  </si>
  <si>
    <t>2.473943</t>
  </si>
  <si>
    <t>1.669341</t>
  </si>
  <si>
    <t>0.692173</t>
  </si>
  <si>
    <t>0.168650</t>
  </si>
  <si>
    <t>-0.007811</t>
  </si>
  <si>
    <t>0.510843</t>
  </si>
  <si>
    <t>0.145298</t>
  </si>
  <si>
    <t>1.572030</t>
  </si>
  <si>
    <t>1.538874</t>
  </si>
  <si>
    <t>15.682914</t>
  </si>
  <si>
    <t>16.020807</t>
  </si>
  <si>
    <t>PSF-01608_20261008111235_3a5</t>
  </si>
  <si>
    <t>1.381874</t>
  </si>
  <si>
    <t>1.541376</t>
  </si>
  <si>
    <t>0.103480</t>
  </si>
  <si>
    <t>24.38</t>
  </si>
  <si>
    <t>23.87</t>
  </si>
  <si>
    <t>37.41</t>
  </si>
  <si>
    <t>32.58</t>
  </si>
  <si>
    <t>-20.6</t>
  </si>
  <si>
    <t>113.2</t>
  </si>
  <si>
    <t>853</t>
  </si>
  <si>
    <t>3.841</t>
  </si>
  <si>
    <t>11:12:20</t>
  </si>
  <si>
    <t>0.32</t>
  </si>
  <si>
    <t>0.014</t>
  </si>
  <si>
    <t>-0.286</t>
  </si>
  <si>
    <t>-98.957</t>
  </si>
  <si>
    <t>-52.679</t>
  </si>
  <si>
    <t>2.473087</t>
  </si>
  <si>
    <t>2.477306</t>
  </si>
  <si>
    <t>1.672046</t>
  </si>
  <si>
    <t>0.562758</t>
  </si>
  <si>
    <t>0.167516</t>
  </si>
  <si>
    <t>-0.056510</t>
  </si>
  <si>
    <t>0.396185</t>
  </si>
  <si>
    <t>0.893134</t>
  </si>
  <si>
    <t>0.000375</t>
  </si>
  <si>
    <t>1.556363</t>
  </si>
  <si>
    <t>1.540637</t>
  </si>
  <si>
    <t>15.701034</t>
  </si>
  <si>
    <t>15.861310</t>
  </si>
  <si>
    <t>PSF-01608_20261008111507_b0c</t>
  </si>
  <si>
    <t>99.765305</t>
  </si>
  <si>
    <t>123.531105</t>
  </si>
  <si>
    <t>0.192387</t>
  </si>
  <si>
    <t>23.40</t>
  </si>
  <si>
    <t>23.17</t>
  </si>
  <si>
    <t>37.98</t>
  </si>
  <si>
    <t>38.96</t>
  </si>
  <si>
    <t>53.0</t>
  </si>
  <si>
    <t>66.2</t>
  </si>
  <si>
    <t>1579</t>
  </si>
  <si>
    <t>3.838</t>
  </si>
  <si>
    <t>1.314</t>
  </si>
  <si>
    <t>2.474</t>
  </si>
  <si>
    <t>1.789</t>
  </si>
  <si>
    <t>2.471902</t>
  </si>
  <si>
    <t>2.475636</t>
  </si>
  <si>
    <t>1.673388</t>
  </si>
  <si>
    <t>0.702241</t>
  </si>
  <si>
    <t>0.163869</t>
  </si>
  <si>
    <t>0.012863</t>
  </si>
  <si>
    <t>0.419752</t>
  </si>
  <si>
    <t>1.563071</t>
  </si>
  <si>
    <t>1.511791</t>
  </si>
  <si>
    <t>1.519357</t>
  </si>
  <si>
    <t>15.482514</t>
  </si>
  <si>
    <t>15.405414</t>
  </si>
  <si>
    <t>PSF-01608_20261008111529_283</t>
  </si>
  <si>
    <t>102.613808</t>
  </si>
  <si>
    <t>122.890945</t>
  </si>
  <si>
    <t>0.165001</t>
  </si>
  <si>
    <t>22.65</t>
  </si>
  <si>
    <t>22.76</t>
  </si>
  <si>
    <t>38.05</t>
  </si>
  <si>
    <t>39.56</t>
  </si>
  <si>
    <t>28.3</t>
  </si>
  <si>
    <t>81.9</t>
  </si>
  <si>
    <t>1493</t>
  </si>
  <si>
    <t>3.836</t>
  </si>
  <si>
    <t>0.012</t>
  </si>
  <si>
    <t>0.507</t>
  </si>
  <si>
    <t>-0.971</t>
  </si>
  <si>
    <t>102.619</t>
  </si>
  <si>
    <t>2.471235</t>
  </si>
  <si>
    <t>2.474369</t>
  </si>
  <si>
    <t>1.671849</t>
  </si>
  <si>
    <t>0.653762</t>
  </si>
  <si>
    <t>0.163424</t>
  </si>
  <si>
    <t>0.019432</t>
  </si>
  <si>
    <t>0.422485</t>
  </si>
  <si>
    <t>1.483826</t>
  </si>
  <si>
    <t>1.480047</t>
  </si>
  <si>
    <t>1.565490</t>
  </si>
  <si>
    <t>15.950382</t>
  </si>
  <si>
    <t>15.079823</t>
  </si>
  <si>
    <t>PSF-01608_20261008111651_f58</t>
  </si>
  <si>
    <t>96.667885</t>
  </si>
  <si>
    <t>341.502441</t>
  </si>
  <si>
    <t>0.716934</t>
  </si>
  <si>
    <t>21.92</t>
  </si>
  <si>
    <t>23.19</t>
  </si>
  <si>
    <t>38.26</t>
  </si>
  <si>
    <t>98.15</t>
  </si>
  <si>
    <t>28.9</t>
  </si>
  <si>
    <t>81.5</t>
  </si>
  <si>
    <t>91</t>
  </si>
  <si>
    <t>-0.016</t>
  </si>
  <si>
    <t>0.163</t>
  </si>
  <si>
    <t>48.231</t>
  </si>
  <si>
    <t>72.195</t>
  </si>
  <si>
    <t>2.471913</t>
  </si>
  <si>
    <t>2.473139</t>
  </si>
  <si>
    <t>1.670935</t>
  </si>
  <si>
    <t>0.654920</t>
  </si>
  <si>
    <t>0.162115</t>
  </si>
  <si>
    <t>-0.013465</t>
  </si>
  <si>
    <t>0.430182</t>
  </si>
  <si>
    <t>0.190671</t>
  </si>
  <si>
    <t>1.529035</t>
  </si>
  <si>
    <t>1.511690</t>
  </si>
  <si>
    <t>15.403010</t>
  </si>
  <si>
    <t>15.579742</t>
  </si>
  <si>
    <t>PSF-01608_20261008111709_83c</t>
  </si>
  <si>
    <t>99.233505</t>
  </si>
  <si>
    <t>373.370636</t>
  </si>
  <si>
    <t>0.734223</t>
  </si>
  <si>
    <t>22.61</t>
  </si>
  <si>
    <t>38.29</t>
  </si>
  <si>
    <t>37.36</t>
  </si>
  <si>
    <t>70.3</t>
  </si>
  <si>
    <t>55.1</t>
  </si>
  <si>
    <t>98</t>
  </si>
  <si>
    <t>-0.054</t>
  </si>
  <si>
    <t>2.470558</t>
  </si>
  <si>
    <t>2.474294</t>
  </si>
  <si>
    <t>1.671822</t>
  </si>
  <si>
    <t>0.737372</t>
  </si>
  <si>
    <t>0.161938</t>
  </si>
  <si>
    <t>-0.010559</t>
  </si>
  <si>
    <t>0.431630</t>
  </si>
  <si>
    <t>0.196833</t>
  </si>
  <si>
    <t>99.103333</t>
  </si>
  <si>
    <t>1.528855</t>
  </si>
  <si>
    <t>1.516375</t>
  </si>
  <si>
    <t>15.450509</t>
  </si>
  <si>
    <t>15.577677</t>
  </si>
  <si>
    <t>PSF-01608_20261008111726_3ac</t>
  </si>
  <si>
    <t>106.160042</t>
  </si>
  <si>
    <t>364.842285</t>
  </si>
  <si>
    <t>0.709025</t>
  </si>
  <si>
    <t>22.58</t>
  </si>
  <si>
    <t>22.39</t>
  </si>
  <si>
    <t>38.32</t>
  </si>
  <si>
    <t>37.50</t>
  </si>
  <si>
    <t>40.5</t>
  </si>
  <si>
    <t>74.1</t>
  </si>
  <si>
    <t>82</t>
  </si>
  <si>
    <t>3.835</t>
  </si>
  <si>
    <t>0.174</t>
  </si>
  <si>
    <t>0.397</t>
  </si>
  <si>
    <t>2.470616</t>
  </si>
  <si>
    <t>2.474232</t>
  </si>
  <si>
    <t>1.671269</t>
  </si>
  <si>
    <t>0.677463</t>
  </si>
  <si>
    <t>0.161769</t>
  </si>
  <si>
    <t>-0.009115</t>
  </si>
  <si>
    <t>0.432891</t>
  </si>
  <si>
    <t>0.182578</t>
  </si>
  <si>
    <t>1.478447</t>
  </si>
  <si>
    <t>1.516484</t>
  </si>
  <si>
    <t>15.451269</t>
  </si>
  <si>
    <t>15.063717</t>
  </si>
  <si>
    <t>PSF-01608_20261008111745_ce3</t>
  </si>
  <si>
    <t>99.455597</t>
  </si>
  <si>
    <t>289.990082</t>
  </si>
  <si>
    <t>0.657038</t>
  </si>
  <si>
    <t>22.36</t>
  </si>
  <si>
    <t>38.35</t>
  </si>
  <si>
    <t>37.43</t>
  </si>
  <si>
    <t>54.1</t>
  </si>
  <si>
    <t>65.5</t>
  </si>
  <si>
    <t>0.022</t>
  </si>
  <si>
    <t>2.470555</t>
  </si>
  <si>
    <t>2.472922</t>
  </si>
  <si>
    <t>1.671951</t>
  </si>
  <si>
    <t>0.704407</t>
  </si>
  <si>
    <t>0.161577</t>
  </si>
  <si>
    <t>-0.010364</t>
  </si>
  <si>
    <t>0.434209</t>
  </si>
  <si>
    <t>0.182296</t>
  </si>
  <si>
    <t>1.589240</t>
  </si>
  <si>
    <t>1.630286</t>
  </si>
  <si>
    <t>16.611500</t>
  </si>
  <si>
    <t>16.193272</t>
  </si>
  <si>
    <t>PSF-01608_20261008111755_aab</t>
  </si>
  <si>
    <t>115.543129</t>
  </si>
  <si>
    <t>437.901733</t>
  </si>
  <si>
    <t>0.736144</t>
  </si>
  <si>
    <t>23.41</t>
  </si>
  <si>
    <t>24.01</t>
  </si>
  <si>
    <t>38.36</t>
  </si>
  <si>
    <t>36.69</t>
  </si>
  <si>
    <t>145.1</t>
  </si>
  <si>
    <t>7.3</t>
  </si>
  <si>
    <t>76</t>
  </si>
  <si>
    <t>0.848</t>
  </si>
  <si>
    <t>2.473242</t>
  </si>
  <si>
    <t>2.475616</t>
  </si>
  <si>
    <t>1.670955</t>
  </si>
  <si>
    <t>0.905949</t>
  </si>
  <si>
    <t>0.161479</t>
  </si>
  <si>
    <t>-0.019505</t>
  </si>
  <si>
    <t>0.434891</t>
  </si>
  <si>
    <t>0.177099</t>
  </si>
  <si>
    <t>1.633022</t>
  </si>
  <si>
    <t>1.639511</t>
  </si>
  <si>
    <t>16.705240</t>
  </si>
  <si>
    <t>16.639124</t>
  </si>
  <si>
    <t>PSF-01608_20261008111805_c35</t>
  </si>
  <si>
    <t>101.895332</t>
  </si>
  <si>
    <t>360.519653</t>
  </si>
  <si>
    <t>0.717365</t>
  </si>
  <si>
    <t>24.04</t>
  </si>
  <si>
    <t>24.13</t>
  </si>
  <si>
    <t>38.38</t>
  </si>
  <si>
    <t>36.80</t>
  </si>
  <si>
    <t>58.4</t>
  </si>
  <si>
    <t>62.8</t>
  </si>
  <si>
    <t>0.506</t>
  </si>
  <si>
    <t>2.473432</t>
  </si>
  <si>
    <t>2.476655</t>
  </si>
  <si>
    <t>1.672122</t>
  </si>
  <si>
    <t>0.712998</t>
  </si>
  <si>
    <t>0.161397</t>
  </si>
  <si>
    <t>-0.018419</t>
  </si>
  <si>
    <t>0.435541</t>
  </si>
  <si>
    <t>0.178853</t>
  </si>
  <si>
    <t>1.641549</t>
  </si>
  <si>
    <t>1.702852</t>
  </si>
  <si>
    <t>17.350241</t>
  </si>
  <si>
    <t>16.725628</t>
  </si>
  <si>
    <t>PSF-01608_20261008111819_808</t>
  </si>
  <si>
    <t>104.836105</t>
  </si>
  <si>
    <t>358.224396</t>
  </si>
  <si>
    <t>0.707345</t>
  </si>
  <si>
    <t>38.40</t>
  </si>
  <si>
    <t>37.25</t>
  </si>
  <si>
    <t>107.1</t>
  </si>
  <si>
    <t>31.7</t>
  </si>
  <si>
    <t>0.317</t>
  </si>
  <si>
    <t>2.474883</t>
  </si>
  <si>
    <t>2.476817</t>
  </si>
  <si>
    <t>1.671610</t>
  </si>
  <si>
    <t>0.816636</t>
  </si>
  <si>
    <t>0.161269</t>
  </si>
  <si>
    <t>-0.013238</t>
  </si>
  <si>
    <t>0.436384</t>
  </si>
  <si>
    <t>0.183870</t>
  </si>
  <si>
    <t>1.611614</t>
  </si>
  <si>
    <t>1.653116</t>
  </si>
  <si>
    <t>16.844471</t>
  </si>
  <si>
    <t>16.421577</t>
  </si>
  <si>
    <t>PSF-01608_20261008111834_f4e</t>
  </si>
  <si>
    <t>112.914566</t>
  </si>
  <si>
    <t>392.782318</t>
  </si>
  <si>
    <t>0.712526</t>
  </si>
  <si>
    <t>24.27</t>
  </si>
  <si>
    <t>38.42</t>
  </si>
  <si>
    <t>36.81</t>
  </si>
  <si>
    <t>38.9</t>
  </si>
  <si>
    <t>75.2</t>
  </si>
  <si>
    <t>58</t>
  </si>
  <si>
    <t>0.130</t>
  </si>
  <si>
    <t>2.473658</t>
  </si>
  <si>
    <t>2.476037</t>
  </si>
  <si>
    <t>1.672403</t>
  </si>
  <si>
    <t>0.674307</t>
  </si>
  <si>
    <t>0.161125</t>
  </si>
  <si>
    <t>-0.018827</t>
  </si>
  <si>
    <t>0.437418</t>
  </si>
  <si>
    <t>0.160508</t>
  </si>
  <si>
    <t>1.596284</t>
  </si>
  <si>
    <t>1.617157</t>
  </si>
  <si>
    <t>16.477386</t>
  </si>
  <si>
    <t>16.264715</t>
  </si>
  <si>
    <t>PSF-01608_20261008111845_6b4</t>
  </si>
  <si>
    <t>110.251305</t>
  </si>
  <si>
    <t>422.440063</t>
  </si>
  <si>
    <t>0.739013</t>
  </si>
  <si>
    <t>23.42</t>
  </si>
  <si>
    <t>23.73</t>
  </si>
  <si>
    <t>38.43</t>
  </si>
  <si>
    <t>37.32</t>
  </si>
  <si>
    <t>88.5</t>
  </si>
  <si>
    <t>43.6</t>
  </si>
  <si>
    <t>96</t>
  </si>
  <si>
    <t>3.823</t>
  </si>
  <si>
    <t>0.048</t>
  </si>
  <si>
    <t>0.497</t>
  </si>
  <si>
    <t>2.472775</t>
  </si>
  <si>
    <t>2.475632</t>
  </si>
  <si>
    <t>1.672485</t>
  </si>
  <si>
    <t>0.775779</t>
  </si>
  <si>
    <t>0.161035</t>
  </si>
  <si>
    <t>-0.012801</t>
  </si>
  <si>
    <t>0.438093</t>
  </si>
  <si>
    <t>0.194800</t>
  </si>
  <si>
    <t>1.448481</t>
  </si>
  <si>
    <t>1.418192</t>
  </si>
  <si>
    <t>14.461236</t>
  </si>
  <si>
    <t>14.770092</t>
  </si>
  <si>
    <t>PSF-01608_20261008112742_831</t>
  </si>
  <si>
    <t>331.725250</t>
  </si>
  <si>
    <t>754.795410</t>
  </si>
  <si>
    <t>0.560510</t>
  </si>
  <si>
    <t>21.41</t>
  </si>
  <si>
    <t>38.30</t>
  </si>
  <si>
    <t>36.55</t>
  </si>
  <si>
    <t>98.07</t>
  </si>
  <si>
    <t>132.1</t>
  </si>
  <si>
    <t>15.7</t>
  </si>
  <si>
    <t>44</t>
  </si>
  <si>
    <t>3.820</t>
  </si>
  <si>
    <t>11:27:32</t>
  </si>
  <si>
    <t>1.34</t>
  </si>
  <si>
    <t>-1.649</t>
  </si>
  <si>
    <t>20.224</t>
  </si>
  <si>
    <t>317.803</t>
  </si>
  <si>
    <t>2.468278</t>
  </si>
  <si>
    <t>2.470564</t>
  </si>
  <si>
    <t>1.671572</t>
  </si>
  <si>
    <t>0.874477</t>
  </si>
  <si>
    <t>0.161898</t>
  </si>
  <si>
    <t>-0.020393</t>
  </si>
  <si>
    <t>0.470891</t>
  </si>
  <si>
    <t>0.147129</t>
  </si>
  <si>
    <t>1.402271</t>
  </si>
  <si>
    <t>1.404741</t>
  </si>
  <si>
    <t>14.324957</t>
  </si>
  <si>
    <t>14.299770</t>
  </si>
  <si>
    <t>PSF-01608_20261008112940_758</t>
  </si>
  <si>
    <t>136.532303</t>
  </si>
  <si>
    <t>383.297333</t>
  </si>
  <si>
    <t>0.643795</t>
  </si>
  <si>
    <t>21.23</t>
  </si>
  <si>
    <t>21.27</t>
  </si>
  <si>
    <t>37.85</t>
  </si>
  <si>
    <t>36.10</t>
  </si>
  <si>
    <t>4.0</t>
  </si>
  <si>
    <t>97.5</t>
  </si>
  <si>
    <t>0.050</t>
  </si>
  <si>
    <t>2.468814</t>
  </si>
  <si>
    <t>2.470288</t>
  </si>
  <si>
    <t>1.672287</t>
  </si>
  <si>
    <t>0.607835</t>
  </si>
  <si>
    <t>0.164689</t>
  </si>
  <si>
    <t>-0.020380</t>
  </si>
  <si>
    <t>0.476159</t>
  </si>
  <si>
    <t>0.138599</t>
  </si>
  <si>
    <t>1.391710</t>
  </si>
  <si>
    <t>1.388344</t>
  </si>
  <si>
    <t>14.158249</t>
  </si>
  <si>
    <t>14.192576</t>
  </si>
  <si>
    <t>PSF-01608_20261008113001_980</t>
  </si>
  <si>
    <t>100.738052</t>
  </si>
  <si>
    <t>305.486786</t>
  </si>
  <si>
    <t>0.670238</t>
  </si>
  <si>
    <t>21.17</t>
  </si>
  <si>
    <t>21.12</t>
  </si>
  <si>
    <t>37.77</t>
  </si>
  <si>
    <t>36.04</t>
  </si>
  <si>
    <t>-16.2</t>
  </si>
  <si>
    <t>110.3</t>
  </si>
  <si>
    <t>3.817</t>
  </si>
  <si>
    <t>-3.453</t>
  </si>
  <si>
    <t>2.468563</t>
  </si>
  <si>
    <t>2.470178</t>
  </si>
  <si>
    <t>1.669793</t>
  </si>
  <si>
    <t>0.570832</t>
  </si>
  <si>
    <t>0.165201</t>
  </si>
  <si>
    <t>-0.020153</t>
  </si>
  <si>
    <t>0.477155</t>
  </si>
  <si>
    <t>0.139071</t>
  </si>
  <si>
    <t>1.520222</t>
  </si>
  <si>
    <t>1.470537</t>
  </si>
  <si>
    <t>14.996493</t>
  </si>
  <si>
    <t>15.503172</t>
  </si>
  <si>
    <t>PSF-01608_20261008113219_bc2</t>
  </si>
  <si>
    <t>110.765221</t>
  </si>
  <si>
    <t>220.347046</t>
  </si>
  <si>
    <t>0.497315</t>
  </si>
  <si>
    <t>23.75</t>
  </si>
  <si>
    <t>22.97</t>
  </si>
  <si>
    <t>37.28</t>
  </si>
  <si>
    <t>73.6</t>
  </si>
  <si>
    <t>41</t>
  </si>
  <si>
    <t>3.816</t>
  </si>
  <si>
    <t>-0.017</t>
  </si>
  <si>
    <t>0.891</t>
  </si>
  <si>
    <t>1.815</t>
  </si>
  <si>
    <t>2.471646</t>
  </si>
  <si>
    <t>2.474574</t>
  </si>
  <si>
    <t>1.671579</t>
  </si>
  <si>
    <t>0.744220</t>
  </si>
  <si>
    <t>0.168377</t>
  </si>
  <si>
    <t>-0.013501</t>
  </si>
  <si>
    <t>0.484959</t>
  </si>
  <si>
    <t>0.143926</t>
  </si>
  <si>
    <t>1.483082</t>
  </si>
  <si>
    <t>1.427218</t>
  </si>
  <si>
    <t>14.554320</t>
  </si>
  <si>
    <t>15.124001</t>
  </si>
  <si>
    <t>PSF-01608_20261008113239_cfe</t>
  </si>
  <si>
    <t>108.019348</t>
  </si>
  <si>
    <t>203.463440</t>
  </si>
  <si>
    <t>0.469097</t>
  </si>
  <si>
    <t>23.25</t>
  </si>
  <si>
    <t>22.37</t>
  </si>
  <si>
    <t>37.22</t>
  </si>
  <si>
    <t>35.70</t>
  </si>
  <si>
    <t>33.1</t>
  </si>
  <si>
    <t>3.815</t>
  </si>
  <si>
    <t>0.482</t>
  </si>
  <si>
    <t>2.470662</t>
  </si>
  <si>
    <t>2.473729</t>
  </si>
  <si>
    <t>0.663120</t>
  </si>
  <si>
    <t>0.168759</t>
  </si>
  <si>
    <t>-0.017528</t>
  </si>
  <si>
    <t>0.486151</t>
  </si>
  <si>
    <t>0.150942</t>
  </si>
  <si>
    <t>1.403666</t>
  </si>
  <si>
    <t>1.389421</t>
  </si>
  <si>
    <t>14.168080</t>
  </si>
  <si>
    <t>14.313338</t>
  </si>
  <si>
    <t>PSF-01608_20261008113304_b3c</t>
  </si>
  <si>
    <t>117.856621</t>
  </si>
  <si>
    <t>260.442139</t>
  </si>
  <si>
    <t>0.547475</t>
  </si>
  <si>
    <t>22.10</t>
  </si>
  <si>
    <t>21.87</t>
  </si>
  <si>
    <t>37.14</t>
  </si>
  <si>
    <t>35.64</t>
  </si>
  <si>
    <t>61.1</t>
  </si>
  <si>
    <t>61.0</t>
  </si>
  <si>
    <t>3.808</t>
  </si>
  <si>
    <t>1.543</t>
  </si>
  <si>
    <t>2.469853</t>
  </si>
  <si>
    <t>2.471798</t>
  </si>
  <si>
    <t>1.670834</t>
  </si>
  <si>
    <t>0.718506</t>
  </si>
  <si>
    <t>0.169284</t>
  </si>
  <si>
    <t>-0.017286</t>
  </si>
  <si>
    <t>0.487779</t>
  </si>
  <si>
    <t>0.140967</t>
  </si>
  <si>
    <t>0.000390</t>
  </si>
  <si>
    <t>1.457450</t>
  </si>
  <si>
    <t>1.438063</t>
  </si>
  <si>
    <t>14.667712</t>
  </si>
  <si>
    <t>14.865453</t>
  </si>
  <si>
    <t>PSF-01608_20261008113752_cec</t>
  </si>
  <si>
    <t>103.567955</t>
  </si>
  <si>
    <t>348.178986</t>
  </si>
  <si>
    <t>0.702544</t>
  </si>
  <si>
    <t>23.11</t>
  </si>
  <si>
    <t>22.80</t>
  </si>
  <si>
    <t>36.29</t>
  </si>
  <si>
    <t>98.04</t>
  </si>
  <si>
    <t>95.1</t>
  </si>
  <si>
    <t>39.3</t>
  </si>
  <si>
    <t>65</t>
  </si>
  <si>
    <t>3.806</t>
  </si>
  <si>
    <t>11:37:42</t>
  </si>
  <si>
    <t>8.913</t>
  </si>
  <si>
    <t>97.712</t>
  </si>
  <si>
    <t>-29.297</t>
  </si>
  <si>
    <t>2.471386</t>
  </si>
  <si>
    <t>2.473917</t>
  </si>
  <si>
    <t>1.672357</t>
  </si>
  <si>
    <t>0.790187</t>
  </si>
  <si>
    <t>0.170154</t>
  </si>
  <si>
    <t>-0.007795</t>
  </si>
  <si>
    <t>0.509313</t>
  </si>
  <si>
    <t>0.166814</t>
  </si>
  <si>
    <t>1.526460</t>
  </si>
  <si>
    <t>1.480278</t>
  </si>
  <si>
    <t>15.097903</t>
  </si>
  <si>
    <t>15.568930</t>
  </si>
  <si>
    <t>PSF-01608_20261008113839_768</t>
  </si>
  <si>
    <t>16.272427</t>
  </si>
  <si>
    <t>46.690464</t>
  </si>
  <si>
    <t>0.651483</t>
  </si>
  <si>
    <t>23.44</t>
  </si>
  <si>
    <t>37.03</t>
  </si>
  <si>
    <t>98.05</t>
  </si>
  <si>
    <t>-16.7</t>
  </si>
  <si>
    <t>110.7</t>
  </si>
  <si>
    <t>3.805</t>
  </si>
  <si>
    <t>-0.195</t>
  </si>
  <si>
    <t>2.472416</t>
  </si>
  <si>
    <t>2.475684</t>
  </si>
  <si>
    <t>1.673245</t>
  </si>
  <si>
    <t>0.569815</t>
  </si>
  <si>
    <t>0.169972</t>
  </si>
  <si>
    <t>-0.010541</t>
  </si>
  <si>
    <t>0.513071</t>
  </si>
  <si>
    <t>0.152629</t>
  </si>
  <si>
    <t>0.000397</t>
  </si>
  <si>
    <t>1.566808</t>
  </si>
  <si>
    <t>1.541932</t>
  </si>
  <si>
    <t>15.728460</t>
  </si>
  <si>
    <t>15.982214</t>
  </si>
  <si>
    <t>PSF-01608_20261008113909_950</t>
  </si>
  <si>
    <t>108.253952</t>
  </si>
  <si>
    <t>415.841827</t>
  </si>
  <si>
    <t>0.739675</t>
  </si>
  <si>
    <t>24.80</t>
  </si>
  <si>
    <t>24.41</t>
  </si>
  <si>
    <t>98.03</t>
  </si>
  <si>
    <t>91.2</t>
  </si>
  <si>
    <t>41.8</t>
  </si>
  <si>
    <t>3.804</t>
  </si>
  <si>
    <t>0.308</t>
  </si>
  <si>
    <t>0.551</t>
  </si>
  <si>
    <t>2.473987</t>
  </si>
  <si>
    <t>2.476737</t>
  </si>
  <si>
    <t>1.671568</t>
  </si>
  <si>
    <t>0.781691</t>
  </si>
  <si>
    <t>0.169943</t>
  </si>
  <si>
    <t>-0.006720</t>
  </si>
  <si>
    <t>0.515163</t>
  </si>
  <si>
    <t>0.120010</t>
  </si>
  <si>
    <t>1.610336</t>
  </si>
  <si>
    <t>1.555963</t>
  </si>
  <si>
    <t>15.872154</t>
  </si>
  <si>
    <t>16.426802</t>
  </si>
  <si>
    <t>PSF-01608_20261008113943_068</t>
  </si>
  <si>
    <t>49.061893</t>
  </si>
  <si>
    <t>48.620941</t>
  </si>
  <si>
    <t>-0.009069</t>
  </si>
  <si>
    <t>25.50</t>
  </si>
  <si>
    <t>24.64</t>
  </si>
  <si>
    <t>-8.4</t>
  </si>
  <si>
    <t>105.3</t>
  </si>
  <si>
    <t>3.803</t>
  </si>
  <si>
    <t>-0.318</t>
  </si>
  <si>
    <t>2.474356</t>
  </si>
  <si>
    <t>2.477890</t>
  </si>
  <si>
    <t>1.672865</t>
  </si>
  <si>
    <t>0.585068</t>
  </si>
  <si>
    <t>0.169974</t>
  </si>
  <si>
    <t>-0.004972</t>
  </si>
  <si>
    <t>0.517381</t>
  </si>
  <si>
    <t>0.120090</t>
  </si>
  <si>
    <t>0.000398</t>
  </si>
  <si>
    <t>1.613640</t>
  </si>
  <si>
    <t>1.623625</t>
  </si>
  <si>
    <t>16.561602</t>
  </si>
  <si>
    <t>16.459747</t>
  </si>
  <si>
    <t>PSF-01608_20261008113959_7e3</t>
  </si>
  <si>
    <t>50.095795</t>
  </si>
  <si>
    <t>49.814701</t>
  </si>
  <si>
    <t>-0.005643</t>
  </si>
  <si>
    <t>25.55</t>
  </si>
  <si>
    <t>25.71</t>
  </si>
  <si>
    <t>36.60</t>
  </si>
  <si>
    <t>46.3</t>
  </si>
  <si>
    <t>3.798</t>
  </si>
  <si>
    <t>-0.065</t>
  </si>
  <si>
    <t>2.476080</t>
  </si>
  <si>
    <t>2.477979</t>
  </si>
  <si>
    <t>0.688950</t>
  </si>
  <si>
    <t>0.169983</t>
  </si>
  <si>
    <t>-0.004394</t>
  </si>
  <si>
    <t>0.518377</t>
  </si>
  <si>
    <t>0.118128</t>
  </si>
  <si>
    <t>1.560850</t>
  </si>
  <si>
    <t>1.572612</t>
  </si>
  <si>
    <t>16.039572</t>
  </si>
  <si>
    <t>15.919609</t>
  </si>
  <si>
    <t>PSF-01608_20261008114426_b98</t>
  </si>
  <si>
    <t>148.959869</t>
  </si>
  <si>
    <t>355.206024</t>
  </si>
  <si>
    <t>0.580638</t>
  </si>
  <si>
    <t>24.55</t>
  </si>
  <si>
    <t>24.74</t>
  </si>
  <si>
    <t>37.15</t>
  </si>
  <si>
    <t>121.0</t>
  </si>
  <si>
    <t>22.8</t>
  </si>
  <si>
    <t>-0.015</t>
  </si>
  <si>
    <t>-0.290</t>
  </si>
  <si>
    <t>2.409</t>
  </si>
  <si>
    <t>7.899</t>
  </si>
  <si>
    <t>2.474511</t>
  </si>
  <si>
    <t>2.476316</t>
  </si>
  <si>
    <t>1.672132</t>
  </si>
  <si>
    <t>0.848422</t>
  </si>
  <si>
    <t>0.169195</t>
  </si>
  <si>
    <t>-0.003557</t>
  </si>
  <si>
    <t>0.536368</t>
  </si>
  <si>
    <t>0.176952</t>
  </si>
  <si>
    <t>1.587111</t>
  </si>
  <si>
    <t>1.564126</t>
  </si>
  <si>
    <t>15.953023</t>
  </si>
  <si>
    <t>16.187452</t>
  </si>
  <si>
    <t>PSF-01608_20261008114452_bf1</t>
  </si>
  <si>
    <t>133.671646</t>
  </si>
  <si>
    <t>314.897766</t>
  </si>
  <si>
    <t>0.575508</t>
  </si>
  <si>
    <t>24.96</t>
  </si>
  <si>
    <t>24.59</t>
  </si>
  <si>
    <t>144.1</t>
  </si>
  <si>
    <t>8.0</t>
  </si>
  <si>
    <t>74</t>
  </si>
  <si>
    <t>3.797</t>
  </si>
  <si>
    <t>1.743</t>
  </si>
  <si>
    <t>2.474277</t>
  </si>
  <si>
    <t>2.476983</t>
  </si>
  <si>
    <t>1.671207</t>
  </si>
  <si>
    <t>0.903536</t>
  </si>
  <si>
    <t>0.169140</t>
  </si>
  <si>
    <t>-0.004892</t>
  </si>
  <si>
    <t>0.537980</t>
  </si>
  <si>
    <t>0.174627</t>
  </si>
  <si>
    <t>1.605076</t>
  </si>
  <si>
    <t>1.578272</t>
  </si>
  <si>
    <t>16.097422</t>
  </si>
  <si>
    <t>16.370808</t>
  </si>
  <si>
    <t>PSF-01608_20261008114537_ba7</t>
  </si>
  <si>
    <t>141.883499</t>
  </si>
  <si>
    <t>351.996674</t>
  </si>
  <si>
    <t>0.596918</t>
  </si>
  <si>
    <t>25.21</t>
  </si>
  <si>
    <t>24.79</t>
  </si>
  <si>
    <t>37.18</t>
  </si>
  <si>
    <t>125.8</t>
  </si>
  <si>
    <t>19.6</t>
  </si>
  <si>
    <t>66</t>
  </si>
  <si>
    <t>3.796</t>
  </si>
  <si>
    <t>0.861</t>
  </si>
  <si>
    <t>4.489</t>
  </si>
  <si>
    <t>2.474591</t>
  </si>
  <si>
    <t>2.477404</t>
  </si>
  <si>
    <t>1.670577</t>
  </si>
  <si>
    <t>0.859677</t>
  </si>
  <si>
    <t>0.169011</t>
  </si>
  <si>
    <t>-0.002570</t>
  </si>
  <si>
    <t>0.540883</t>
  </si>
  <si>
    <t>0.167044</t>
  </si>
  <si>
    <t>1.539978</t>
  </si>
  <si>
    <t>1.523773</t>
  </si>
  <si>
    <t>15.541327</t>
  </si>
  <si>
    <t>15.706608</t>
  </si>
  <si>
    <t>PSF-01608_20261008114551_a92</t>
  </si>
  <si>
    <t>103.496429</t>
  </si>
  <si>
    <t>333.523407</t>
  </si>
  <si>
    <t>0.689688</t>
  </si>
  <si>
    <t>24.18</t>
  </si>
  <si>
    <t>23.92</t>
  </si>
  <si>
    <t>37.19</t>
  </si>
  <si>
    <t>36.43</t>
  </si>
  <si>
    <t>86.2</t>
  </si>
  <si>
    <t>44.9</t>
  </si>
  <si>
    <t>64</t>
  </si>
  <si>
    <t>3.795</t>
  </si>
  <si>
    <t>0.699</t>
  </si>
  <si>
    <t>2.473191</t>
  </si>
  <si>
    <t>2.475687</t>
  </si>
  <si>
    <t>1.670948</t>
  </si>
  <si>
    <t>0.770894</t>
  </si>
  <si>
    <t>0.168957</t>
  </si>
  <si>
    <t>-0.008307</t>
  </si>
  <si>
    <t>0.541686</t>
  </si>
  <si>
    <t>0.165470</t>
  </si>
  <si>
    <t>1.561142</t>
  </si>
  <si>
    <t>1.564793</t>
  </si>
  <si>
    <t>15.960269</t>
  </si>
  <si>
    <t>15.923031</t>
  </si>
  <si>
    <t>PSF-01608_20261008114606_288</t>
  </si>
  <si>
    <t>107.581970</t>
  </si>
  <si>
    <t>311.123383</t>
  </si>
  <si>
    <t>0.654214</t>
  </si>
  <si>
    <t>24.50</t>
  </si>
  <si>
    <t>24.56</t>
  </si>
  <si>
    <t>36.40</t>
  </si>
  <si>
    <t>45.1</t>
  </si>
  <si>
    <t>71.2</t>
  </si>
  <si>
    <t>2.184</t>
  </si>
  <si>
    <t>2.474213</t>
  </si>
  <si>
    <t>2.476222</t>
  </si>
  <si>
    <t>1.671009</t>
  </si>
  <si>
    <t>0.686495</t>
  </si>
  <si>
    <t>0.168905</t>
  </si>
  <si>
    <t>-0.008834</t>
  </si>
  <si>
    <t>0.542518</t>
  </si>
  <si>
    <t>0.165875</t>
  </si>
  <si>
    <t>1.520204</t>
  </si>
  <si>
    <t>1.500434</t>
  </si>
  <si>
    <t>15.303596</t>
  </si>
  <si>
    <t>15.505249</t>
  </si>
  <si>
    <t>PSF-01608_20261008114618_97e</t>
  </si>
  <si>
    <t>116.903900</t>
  </si>
  <si>
    <t>406.321045</t>
  </si>
  <si>
    <t>0.712287</t>
  </si>
  <si>
    <t>23.85</t>
  </si>
  <si>
    <t>23.54</t>
  </si>
  <si>
    <t>36.34</t>
  </si>
  <si>
    <t>59</t>
  </si>
  <si>
    <t>3.790</t>
  </si>
  <si>
    <t>2.472569</t>
  </si>
  <si>
    <t>2.475140</t>
  </si>
  <si>
    <t>1.671810</t>
  </si>
  <si>
    <t>0.663131</t>
  </si>
  <si>
    <t>0.168873</t>
  </si>
  <si>
    <t>-0.009613</t>
  </si>
  <si>
    <t>0.543220</t>
  </si>
  <si>
    <t>0.161205</t>
  </si>
  <si>
    <t>117.680313</t>
  </si>
  <si>
    <t>0.937982</t>
  </si>
  <si>
    <t>1.023496</t>
  </si>
  <si>
    <t>10.393012</t>
  </si>
  <si>
    <t>9.524665</t>
  </si>
  <si>
    <t>PSF-01608_20261015093435_2eb</t>
  </si>
  <si>
    <t>95.719460</t>
  </si>
  <si>
    <t>281.260010</t>
  </si>
  <si>
    <t>0.659676</t>
  </si>
  <si>
    <t>30.88</t>
  </si>
  <si>
    <t>33.70</t>
  </si>
  <si>
    <t>24.23</t>
  </si>
  <si>
    <t>98.48</t>
  </si>
  <si>
    <t>18.5</t>
  </si>
  <si>
    <t>88.2</t>
  </si>
  <si>
    <t>09:32:51</t>
  </si>
  <si>
    <t>2.74</t>
  </si>
  <si>
    <t>0.042</t>
  </si>
  <si>
    <t>0.093</t>
  </si>
  <si>
    <t>0.457</t>
  </si>
  <si>
    <t>28.765</t>
  </si>
  <si>
    <t>2.490166</t>
  </si>
  <si>
    <t>2.485296</t>
  </si>
  <si>
    <t>1.668964</t>
  </si>
  <si>
    <t>0.635100</t>
  </si>
  <si>
    <t>0.281188</t>
  </si>
  <si>
    <t>0.001809</t>
  </si>
  <si>
    <t>0.047943</t>
  </si>
  <si>
    <t>0.158044</t>
  </si>
  <si>
    <t>0.000373</t>
  </si>
  <si>
    <t>0.851473</t>
  </si>
  <si>
    <t>1.008758</t>
  </si>
  <si>
    <t>10.244287</t>
  </si>
  <si>
    <t>8.647010</t>
  </si>
  <si>
    <t>PSF-01608_20261015093521_da3</t>
  </si>
  <si>
    <t>105.668663</t>
  </si>
  <si>
    <t>372.296692</t>
  </si>
  <si>
    <t>0.716171</t>
  </si>
  <si>
    <t>27.66</t>
  </si>
  <si>
    <t>32.77</t>
  </si>
  <si>
    <t>24.46</t>
  </si>
  <si>
    <t>98.47</t>
  </si>
  <si>
    <t>-2.2</t>
  </si>
  <si>
    <t>101.4</t>
  </si>
  <si>
    <t>62</t>
  </si>
  <si>
    <t>3.794</t>
  </si>
  <si>
    <t>0.045</t>
  </si>
  <si>
    <t>0.065</t>
  </si>
  <si>
    <t>0.149</t>
  </si>
  <si>
    <t>2.488668</t>
  </si>
  <si>
    <t>2.479838</t>
  </si>
  <si>
    <t>1.669951</t>
  </si>
  <si>
    <t>0.596345</t>
  </si>
  <si>
    <t>0.278694</t>
  </si>
  <si>
    <t>-0.004032</t>
  </si>
  <si>
    <t>0.054710</t>
  </si>
  <si>
    <t>0.163348</t>
  </si>
  <si>
    <t>0.813620</t>
  </si>
  <si>
    <t>0.979066</t>
  </si>
  <si>
    <t>9.941831</t>
  </si>
  <si>
    <t>8.261822</t>
  </si>
  <si>
    <t>PSF-01608_20261015093627_3ff</t>
  </si>
  <si>
    <t>102.203606</t>
  </si>
  <si>
    <t>299.543732</t>
  </si>
  <si>
    <t>0.658802</t>
  </si>
  <si>
    <t>25.92</t>
  </si>
  <si>
    <t>31.19</t>
  </si>
  <si>
    <t>24.78</t>
  </si>
  <si>
    <t>24.60</t>
  </si>
  <si>
    <t>-8.8</t>
  </si>
  <si>
    <t>105.6</t>
  </si>
  <si>
    <t>49</t>
  </si>
  <si>
    <t>3.793</t>
  </si>
  <si>
    <t>-0.274</t>
  </si>
  <si>
    <t>-0.301</t>
  </si>
  <si>
    <t>2.486107</t>
  </si>
  <si>
    <t>2.476829</t>
  </si>
  <si>
    <t>1.670621</t>
  </si>
  <si>
    <t>0.584359</t>
  </si>
  <si>
    <t>0.275084</t>
  </si>
  <si>
    <t>-0.000985</t>
  </si>
  <si>
    <t>0.064078</t>
  </si>
  <si>
    <t>0.151544</t>
  </si>
  <si>
    <t>102.310898</t>
  </si>
  <si>
    <t>0.000372</t>
  </si>
  <si>
    <t>0.937439</t>
  </si>
  <si>
    <t>1.047276</t>
  </si>
  <si>
    <t>10.633139</t>
  </si>
  <si>
    <t>9.517949</t>
  </si>
  <si>
    <t>PSF-01608_20261015094732_264</t>
  </si>
  <si>
    <t>113.638397</t>
  </si>
  <si>
    <t>386.750946</t>
  </si>
  <si>
    <t>0.706172</t>
  </si>
  <si>
    <t>28.07</t>
  </si>
  <si>
    <t>31.36</t>
  </si>
  <si>
    <t>25.83</t>
  </si>
  <si>
    <t>25.05</t>
  </si>
  <si>
    <t>98.49</t>
  </si>
  <si>
    <t>54.2</t>
  </si>
  <si>
    <t>09:47:15</t>
  </si>
  <si>
    <t>3.24</t>
  </si>
  <si>
    <t>0.763</t>
  </si>
  <si>
    <t>28.237</t>
  </si>
  <si>
    <t>75.327</t>
  </si>
  <si>
    <t>2.486253</t>
  </si>
  <si>
    <t>2.479558</t>
  </si>
  <si>
    <t>1.670436</t>
  </si>
  <si>
    <t>0.704529</t>
  </si>
  <si>
    <t>0.263891</t>
  </si>
  <si>
    <t>-0.007415</t>
  </si>
  <si>
    <t>0.089970</t>
  </si>
  <si>
    <t>0.154991</t>
  </si>
  <si>
    <t>0.000366</t>
  </si>
  <si>
    <t>0.967353</t>
  </si>
  <si>
    <t>1.020504</t>
  </si>
  <si>
    <t>10.363604</t>
  </si>
  <si>
    <t>9.823839</t>
  </si>
  <si>
    <t>PSF-01608_20261015094815_54e</t>
  </si>
  <si>
    <t>115.937233</t>
  </si>
  <si>
    <t>390.184174</t>
  </si>
  <si>
    <t>0.702865</t>
  </si>
  <si>
    <t>28.82</t>
  </si>
  <si>
    <t>30.40</t>
  </si>
  <si>
    <t>25.91</t>
  </si>
  <si>
    <t>25.14</t>
  </si>
  <si>
    <t>91.1</t>
  </si>
  <si>
    <t>3.792</t>
  </si>
  <si>
    <t>0.034</t>
  </si>
  <si>
    <t>-0.338</t>
  </si>
  <si>
    <t>-0.313</t>
  </si>
  <si>
    <t>2.484715</t>
  </si>
  <si>
    <t>2.480822</t>
  </si>
  <si>
    <t>1.671316</t>
  </si>
  <si>
    <t>0.781503</t>
  </si>
  <si>
    <t>0.262999</t>
  </si>
  <si>
    <t>-0.007403</t>
  </si>
  <si>
    <t>0.097244</t>
  </si>
  <si>
    <t>0.155442</t>
  </si>
  <si>
    <t>116.060616</t>
  </si>
  <si>
    <t>0.000371</t>
  </si>
  <si>
    <t>0.971268</t>
  </si>
  <si>
    <t>1.020416</t>
  </si>
  <si>
    <t>10.363178</t>
  </si>
  <si>
    <t>9.864039</t>
  </si>
  <si>
    <t>PSF-01608_20261015094836_07b</t>
  </si>
  <si>
    <t>114.292503</t>
  </si>
  <si>
    <t>360.600830</t>
  </si>
  <si>
    <t>0.683050</t>
  </si>
  <si>
    <t>28.87</t>
  </si>
  <si>
    <t>30.34</t>
  </si>
  <si>
    <t>25.95</t>
  </si>
  <si>
    <t>25.12</t>
  </si>
  <si>
    <t>13.5</t>
  </si>
  <si>
    <t>91.4</t>
  </si>
  <si>
    <t>0.016</t>
  </si>
  <si>
    <t>0.081</t>
  </si>
  <si>
    <t>2.484602</t>
  </si>
  <si>
    <t>2.480911</t>
  </si>
  <si>
    <t>1.669965</t>
  </si>
  <si>
    <t>0.625557</t>
  </si>
  <si>
    <t>0.262621</t>
  </si>
  <si>
    <t>-0.008028</t>
  </si>
  <si>
    <t>0.100511</t>
  </si>
  <si>
    <t>0.158391</t>
  </si>
  <si>
    <t>0.966613</t>
  </si>
  <si>
    <t>1.019144</t>
  </si>
  <si>
    <t>10.349662</t>
  </si>
  <si>
    <t>9.816194</t>
  </si>
  <si>
    <t>PSF-01608_20261015094901_07b</t>
  </si>
  <si>
    <t>131.404282</t>
  </si>
  <si>
    <t>322.045319</t>
  </si>
  <si>
    <t>0.591970</t>
  </si>
  <si>
    <t>28.66</t>
  </si>
  <si>
    <t>30.22</t>
  </si>
  <si>
    <t>25.99</t>
  </si>
  <si>
    <t>24.84</t>
  </si>
  <si>
    <t>143.7</t>
  </si>
  <si>
    <t>8.3</t>
  </si>
  <si>
    <t>-0.058</t>
  </si>
  <si>
    <t>2.484413</t>
  </si>
  <si>
    <t>2.480550</t>
  </si>
  <si>
    <t>1.671824</t>
  </si>
  <si>
    <t>0.902379</t>
  </si>
  <si>
    <t>0.262173</t>
  </si>
  <si>
    <t>-0.011546</t>
  </si>
  <si>
    <t>0.104347</t>
  </si>
  <si>
    <t>0.175112</t>
  </si>
  <si>
    <t>0.000374</t>
  </si>
  <si>
    <t>0.850252</t>
  </si>
  <si>
    <t>0.954124</t>
  </si>
  <si>
    <t>9.689288</t>
  </si>
  <si>
    <t>8.634459</t>
  </si>
  <si>
    <t>PSF-01608_20261015095020_1a0</t>
  </si>
  <si>
    <t>1.440883</t>
  </si>
  <si>
    <t>1.648664</t>
  </si>
  <si>
    <t>0.126030</t>
  </si>
  <si>
    <t>27.87</t>
  </si>
  <si>
    <t>26.24</t>
  </si>
  <si>
    <t>2.86</t>
  </si>
  <si>
    <t>-30.6</t>
  </si>
  <si>
    <t>119.5</t>
  </si>
  <si>
    <t>591</t>
  </si>
  <si>
    <t>3.782</t>
  </si>
  <si>
    <t>-5.438</t>
  </si>
  <si>
    <t>-5.539</t>
  </si>
  <si>
    <t>-1.163</t>
  </si>
  <si>
    <t>-0.019</t>
  </si>
  <si>
    <t>2.480597</t>
  </si>
  <si>
    <t>2.473986</t>
  </si>
  <si>
    <t>1.672023</t>
  </si>
  <si>
    <t>0.544744</t>
  </si>
  <si>
    <t>0.259561</t>
  </si>
  <si>
    <t>-0.226726</t>
  </si>
  <si>
    <t>0.116156</t>
  </si>
  <si>
    <t>0.651338</t>
  </si>
  <si>
    <t>0.910433</t>
  </si>
  <si>
    <t>0.969134</t>
  </si>
  <si>
    <t>9.843047</t>
  </si>
  <si>
    <t>9.246847</t>
  </si>
  <si>
    <t>PSF-01608_20261015095317_99b</t>
  </si>
  <si>
    <t>1.489162</t>
  </si>
  <si>
    <t>1.622200</t>
  </si>
  <si>
    <t>0.082011</t>
  </si>
  <si>
    <t>25.08</t>
  </si>
  <si>
    <t>26.69</t>
  </si>
  <si>
    <t>27.24</t>
  </si>
  <si>
    <t>5.81</t>
  </si>
  <si>
    <t>98.46</t>
  </si>
  <si>
    <t>-21.7</t>
  </si>
  <si>
    <t>113.9</t>
  </si>
  <si>
    <t>1208</t>
  </si>
  <si>
    <t>3.773</t>
  </si>
  <si>
    <t>-2.452</t>
  </si>
  <si>
    <t>-1.277</t>
  </si>
  <si>
    <t>-0.440</t>
  </si>
  <si>
    <t>0.102</t>
  </si>
  <si>
    <t>-0.033</t>
  </si>
  <si>
    <t>0.040</t>
  </si>
  <si>
    <t>2.478574</t>
  </si>
  <si>
    <t>2.474323</t>
  </si>
  <si>
    <t>1.670157</t>
  </si>
  <si>
    <t>0.560732</t>
  </si>
  <si>
    <t>0.249438</t>
  </si>
  <si>
    <t>-0.211542</t>
  </si>
  <si>
    <t>0.141162</t>
  </si>
  <si>
    <t>1.220660</t>
  </si>
  <si>
    <t>0.000365</t>
  </si>
  <si>
    <t>1.066532</t>
  </si>
  <si>
    <t>0.952426</t>
  </si>
  <si>
    <t>9.669641</t>
  </si>
  <si>
    <t>10.828118</t>
  </si>
  <si>
    <t>PSF-01608_20261015095726_68c</t>
  </si>
  <si>
    <t>60.770271</t>
  </si>
  <si>
    <t>83.104134</t>
  </si>
  <si>
    <t>0.268746</t>
  </si>
  <si>
    <t>27.19</t>
  </si>
  <si>
    <t>24.28</t>
  </si>
  <si>
    <t>28.57</t>
  </si>
  <si>
    <t>30.39</t>
  </si>
  <si>
    <t>98.50</t>
  </si>
  <si>
    <t>33.3</t>
  </si>
  <si>
    <t>78.7</t>
  </si>
  <si>
    <t>1214</t>
  </si>
  <si>
    <t>3.771</t>
  </si>
  <si>
    <t>0.525</t>
  </si>
  <si>
    <t>-0.408</t>
  </si>
  <si>
    <t>-0.044</t>
  </si>
  <si>
    <t>2.474488</t>
  </si>
  <si>
    <t>2.477829</t>
  </si>
  <si>
    <t>1.670476</t>
  </si>
  <si>
    <t>0.663430</t>
  </si>
  <si>
    <t>0.236652</t>
  </si>
  <si>
    <t>0.021428</t>
  </si>
  <si>
    <t>0.172973</t>
  </si>
  <si>
    <t>1.226633</t>
  </si>
  <si>
    <t>0.879006</t>
  </si>
  <si>
    <t>0.951922</t>
  </si>
  <si>
    <t>9.664106</t>
  </si>
  <si>
    <t>8.923853</t>
  </si>
  <si>
    <t>PSF-01608_20261015095815_830</t>
  </si>
  <si>
    <t>91.992973</t>
  </si>
  <si>
    <t>291.330811</t>
  </si>
  <si>
    <t>0.684232</t>
  </si>
  <si>
    <t>23.90</t>
  </si>
  <si>
    <t>28.83</t>
  </si>
  <si>
    <t>27.88</t>
  </si>
  <si>
    <t>46.0</t>
  </si>
  <si>
    <t>70.6</t>
  </si>
  <si>
    <t>71</t>
  </si>
  <si>
    <t>3.769</t>
  </si>
  <si>
    <t>09:58:03</t>
  </si>
  <si>
    <t>0.387</t>
  </si>
  <si>
    <t>90.406</t>
  </si>
  <si>
    <t>45.537</t>
  </si>
  <si>
    <t>2.473848</t>
  </si>
  <si>
    <t>2.472525</t>
  </si>
  <si>
    <t>1.671566</t>
  </si>
  <si>
    <t>0.688306</t>
  </si>
  <si>
    <t>0.234242</t>
  </si>
  <si>
    <t>-0.009725</t>
  </si>
  <si>
    <t>0.178669</t>
  </si>
  <si>
    <t>0.171940</t>
  </si>
  <si>
    <t>0.855987</t>
  </si>
  <si>
    <t>0.959682</t>
  </si>
  <si>
    <t>9.744379</t>
  </si>
  <si>
    <t>8.691483</t>
  </si>
  <si>
    <t>PSF-01608_20261015095837_91b</t>
  </si>
  <si>
    <t>102.524399</t>
  </si>
  <si>
    <t>367.056366</t>
  </si>
  <si>
    <t>0.720685</t>
  </si>
  <si>
    <t>21.40</t>
  </si>
  <si>
    <t>24.00</t>
  </si>
  <si>
    <t>28.90</t>
  </si>
  <si>
    <t>28.27</t>
  </si>
  <si>
    <t>-5.5</t>
  </si>
  <si>
    <t>103.5</t>
  </si>
  <si>
    <t>3.768</t>
  </si>
  <si>
    <t>-0.124</t>
  </si>
  <si>
    <t>0.261</t>
  </si>
  <si>
    <t>-0.236</t>
  </si>
  <si>
    <t>2.473993</t>
  </si>
  <si>
    <t>2.471358</t>
  </si>
  <si>
    <t>1.670375</t>
  </si>
  <si>
    <t>0.590288</t>
  </si>
  <si>
    <t>0.233555</t>
  </si>
  <si>
    <t>-0.006237</t>
  </si>
  <si>
    <t>0.181118</t>
  </si>
  <si>
    <t>0.174626</t>
  </si>
  <si>
    <t>102.419975</t>
  </si>
  <si>
    <t>0.834220</t>
  </si>
  <si>
    <t>0.941522</t>
  </si>
  <si>
    <t>9.558498</t>
  </si>
  <si>
    <t>8.469155</t>
  </si>
  <si>
    <t>PSF-01608_20261015095933_155</t>
  </si>
  <si>
    <t>82.230087</t>
  </si>
  <si>
    <t>250.448944</t>
  </si>
  <si>
    <t>0.671669</t>
  </si>
  <si>
    <t>20.71</t>
  </si>
  <si>
    <t>23.37</t>
  </si>
  <si>
    <t>29.03</t>
  </si>
  <si>
    <t>28.14</t>
  </si>
  <si>
    <t>22.4</t>
  </si>
  <si>
    <t>85.7</t>
  </si>
  <si>
    <t>3.767</t>
  </si>
  <si>
    <t>3.872</t>
  </si>
  <si>
    <t>67.924</t>
  </si>
  <si>
    <t>-23.328</t>
  </si>
  <si>
    <t>2.472944</t>
  </si>
  <si>
    <t>2.470134</t>
  </si>
  <si>
    <t>1.669998</t>
  </si>
  <si>
    <t>0.642497</t>
  </si>
  <si>
    <t>0.232383</t>
  </si>
  <si>
    <t>-0.009087</t>
  </si>
  <si>
    <t>0.187348</t>
  </si>
  <si>
    <t>0.166102</t>
  </si>
  <si>
    <t>0.894508</t>
  </si>
  <si>
    <t>0.973388</t>
  </si>
  <si>
    <t>9.881836</t>
  </si>
  <si>
    <t>9.081048</t>
  </si>
  <si>
    <t>PSF-01608_20261015100005_38a</t>
  </si>
  <si>
    <t>69.335106</t>
  </si>
  <si>
    <t>141.683929</t>
  </si>
  <si>
    <t>0.510635</t>
  </si>
  <si>
    <t>22.12</t>
  </si>
  <si>
    <t>24.07</t>
  </si>
  <si>
    <t>29.09</t>
  </si>
  <si>
    <t>28.50</t>
  </si>
  <si>
    <t>8.7</t>
  </si>
  <si>
    <t>94.5</t>
  </si>
  <si>
    <t>827</t>
  </si>
  <si>
    <t>3.766</t>
  </si>
  <si>
    <t>0.105</t>
  </si>
  <si>
    <t>2.474099</t>
  </si>
  <si>
    <t>2.472587</t>
  </si>
  <si>
    <t>1.671370</t>
  </si>
  <si>
    <t>0.616575</t>
  </si>
  <si>
    <t>0.231791</t>
  </si>
  <si>
    <t>-0.005776</t>
  </si>
  <si>
    <t>0.190900</t>
  </si>
  <si>
    <t>0.869302</t>
  </si>
  <si>
    <t>0.947642</t>
  </si>
  <si>
    <t>0.946835</t>
  </si>
  <si>
    <t>9.611513</t>
  </si>
  <si>
    <t>9.619704</t>
  </si>
  <si>
    <t>PSF-01608_20261015100031_70d</t>
  </si>
  <si>
    <t>88.107346</t>
  </si>
  <si>
    <t>312.064636</t>
  </si>
  <si>
    <t>0.717663</t>
  </si>
  <si>
    <t>23.35</t>
  </si>
  <si>
    <t>29.15</t>
  </si>
  <si>
    <t>28.30</t>
  </si>
  <si>
    <t>98.51</t>
  </si>
  <si>
    <t>51.6</t>
  </si>
  <si>
    <t>67.0</t>
  </si>
  <si>
    <t>0.193</t>
  </si>
  <si>
    <t>2.472877</t>
  </si>
  <si>
    <t>2.474708</t>
  </si>
  <si>
    <t>1.671137</t>
  </si>
  <si>
    <t>0.699400</t>
  </si>
  <si>
    <t>0.231259</t>
  </si>
  <si>
    <t>-0.008663</t>
  </si>
  <si>
    <t>0.193789</t>
  </si>
  <si>
    <t>0.146934</t>
  </si>
  <si>
    <t>88.104126</t>
  </si>
  <si>
    <t>0.872813</t>
  </si>
  <si>
    <t>0.997840</t>
  </si>
  <si>
    <t>10.132515</t>
  </si>
  <si>
    <t>8.862939</t>
  </si>
  <si>
    <t>PSF-01608_20261015100855_5e8</t>
  </si>
  <si>
    <t>100.345734</t>
  </si>
  <si>
    <t>241.746063</t>
  </si>
  <si>
    <t>0.584913</t>
  </si>
  <si>
    <t>21.50</t>
  </si>
  <si>
    <t>24.58</t>
  </si>
  <si>
    <t>29.16</t>
  </si>
  <si>
    <t>27.41</t>
  </si>
  <si>
    <t>-13.9</t>
  </si>
  <si>
    <t>108.9</t>
  </si>
  <si>
    <t>3.758</t>
  </si>
  <si>
    <t>10:08:00</t>
  </si>
  <si>
    <t>1.82</t>
  </si>
  <si>
    <t>0.972</t>
  </si>
  <si>
    <t>1.837</t>
  </si>
  <si>
    <t>74.609</t>
  </si>
  <si>
    <t>2.474941</t>
  </si>
  <si>
    <t>2.470457</t>
  </si>
  <si>
    <t>1.671240</t>
  </si>
  <si>
    <t>0.574863</t>
  </si>
  <si>
    <t>0.231207</t>
  </si>
  <si>
    <t>-0.018575</t>
  </si>
  <si>
    <t>0.111238</t>
  </si>
  <si>
    <t>0.116475</t>
  </si>
  <si>
    <t>1.033201</t>
  </si>
  <si>
    <t>1.057884</t>
  </si>
  <si>
    <t>10.741764</t>
  </si>
  <si>
    <t>10.491134</t>
  </si>
  <si>
    <t>PSF-01608_20261015100910_a91</t>
  </si>
  <si>
    <t>128.724930</t>
  </si>
  <si>
    <t>203.429108</t>
  </si>
  <si>
    <t>0.367225</t>
  </si>
  <si>
    <t>25.48</t>
  </si>
  <si>
    <t>26.09</t>
  </si>
  <si>
    <t>29.14</t>
  </si>
  <si>
    <t>-0.224</t>
  </si>
  <si>
    <t>-0.020</t>
  </si>
  <si>
    <t>2.477409</t>
  </si>
  <si>
    <t>2.477297</t>
  </si>
  <si>
    <t>1.672387</t>
  </si>
  <si>
    <t>0.790190</t>
  </si>
  <si>
    <t>0.231370</t>
  </si>
  <si>
    <t>-0.013264</t>
  </si>
  <si>
    <t>0.113484</t>
  </si>
  <si>
    <t>0.124208</t>
  </si>
  <si>
    <t>1.092127</t>
  </si>
  <si>
    <t>1.063732</t>
  </si>
  <si>
    <t>10.801665</t>
  </si>
  <si>
    <t>11.090008</t>
  </si>
  <si>
    <t>PSF-01608_20261015100930_321</t>
  </si>
  <si>
    <t>132.659195</t>
  </si>
  <si>
    <t>396.907196</t>
  </si>
  <si>
    <t>0.665768</t>
  </si>
  <si>
    <t>26.99</t>
  </si>
  <si>
    <t>26.29</t>
  </si>
  <si>
    <t>29.11</t>
  </si>
  <si>
    <t>26.79</t>
  </si>
  <si>
    <t>97.8</t>
  </si>
  <si>
    <t>37.5</t>
  </si>
  <si>
    <t>3.762</t>
  </si>
  <si>
    <t>0.251</t>
  </si>
  <si>
    <t>2.477730</t>
  </si>
  <si>
    <t>2.479841</t>
  </si>
  <si>
    <t>1.670561</t>
  </si>
  <si>
    <t>0.796150</t>
  </si>
  <si>
    <t>0.231677</t>
  </si>
  <si>
    <t>-0.024889</t>
  </si>
  <si>
    <t>0.116246</t>
  </si>
  <si>
    <t>0.129187</t>
  </si>
  <si>
    <t>1.089648</t>
  </si>
  <si>
    <t>1.074804</t>
  </si>
  <si>
    <t>10.916540</t>
  </si>
  <si>
    <t>11.067302</t>
  </si>
  <si>
    <t>PSF-01608_20261015101135_8f7</t>
  </si>
  <si>
    <t>117.407799</t>
  </si>
  <si>
    <t>424.972778</t>
  </si>
  <si>
    <t>0.723729</t>
  </si>
  <si>
    <t>27.14</t>
  </si>
  <si>
    <t>26.77</t>
  </si>
  <si>
    <t>28.97</t>
  </si>
  <si>
    <t>26.04</t>
  </si>
  <si>
    <t>94.7</t>
  </si>
  <si>
    <t>3.761</t>
  </si>
  <si>
    <t>0.987</t>
  </si>
  <si>
    <t>115.241</t>
  </si>
  <si>
    <t>57.884</t>
  </si>
  <si>
    <t>2.478535</t>
  </si>
  <si>
    <t>2.480113</t>
  </si>
  <si>
    <t>1.670769</t>
  </si>
  <si>
    <t>0.615965</t>
  </si>
  <si>
    <t>0.232946</t>
  </si>
  <si>
    <t>-0.031416</t>
  </si>
  <si>
    <t>0.133934</t>
  </si>
  <si>
    <t>0.116256</t>
  </si>
  <si>
    <t>1.155720</t>
  </si>
  <si>
    <t>1.123013</t>
  </si>
  <si>
    <t>11.406644</t>
  </si>
  <si>
    <t>11.738863</t>
  </si>
  <si>
    <t>PSF-01608_20261015101148_336</t>
  </si>
  <si>
    <t>106.416466</t>
  </si>
  <si>
    <t>366.539948</t>
  </si>
  <si>
    <t>0.709673</t>
  </si>
  <si>
    <t>28.84</t>
  </si>
  <si>
    <t>28.02</t>
  </si>
  <si>
    <t>28.94</t>
  </si>
  <si>
    <t>27.11</t>
  </si>
  <si>
    <t>98.45</t>
  </si>
  <si>
    <t>3.760</t>
  </si>
  <si>
    <t>-0.117</t>
  </si>
  <si>
    <t>2.480558</t>
  </si>
  <si>
    <t>2.482947</t>
  </si>
  <si>
    <t>1.672166</t>
  </si>
  <si>
    <t>0.663355</t>
  </si>
  <si>
    <t>0.233216</t>
  </si>
  <si>
    <t>-0.019466</t>
  </si>
  <si>
    <t>0.135636</t>
  </si>
  <si>
    <t>0.112044</t>
  </si>
  <si>
    <t>1.161723</t>
  </si>
  <si>
    <t>1.133783</t>
  </si>
  <si>
    <t>11.515801</t>
  </si>
  <si>
    <t>11.799591</t>
  </si>
  <si>
    <t>PSF-01608_20261015101205_3ae</t>
  </si>
  <si>
    <t>109.214188</t>
  </si>
  <si>
    <t>363.811615</t>
  </si>
  <si>
    <t>0.699806</t>
  </si>
  <si>
    <t>29.07</t>
  </si>
  <si>
    <t>28.37</t>
  </si>
  <si>
    <t>28.89</t>
  </si>
  <si>
    <t>28.35</t>
  </si>
  <si>
    <t>82.0</t>
  </si>
  <si>
    <t>47.6</t>
  </si>
  <si>
    <t>3.755</t>
  </si>
  <si>
    <t>0.043</t>
  </si>
  <si>
    <t>2.481120</t>
  </si>
  <si>
    <t>2.483331</t>
  </si>
  <si>
    <t>1.671107</t>
  </si>
  <si>
    <t>0.762023</t>
  </si>
  <si>
    <t>0.233649</t>
  </si>
  <si>
    <t>-0.005250</t>
  </si>
  <si>
    <t>0.137737</t>
  </si>
  <si>
    <t>0.110675</t>
  </si>
  <si>
    <t>1.069475</t>
  </si>
  <si>
    <t>1.089219</t>
  </si>
  <si>
    <t>11.062523</t>
  </si>
  <si>
    <t>10.862000</t>
  </si>
  <si>
    <t>PSF-01608_20261015101525_be4</t>
  </si>
  <si>
    <t>106.214050</t>
  </si>
  <si>
    <t>175.441147</t>
  </si>
  <si>
    <t>0.394589</t>
  </si>
  <si>
    <t>27.40</t>
  </si>
  <si>
    <t>27.91</t>
  </si>
  <si>
    <t>28.48</t>
  </si>
  <si>
    <t>25.64</t>
  </si>
  <si>
    <t>3.723</t>
  </si>
  <si>
    <t>0.786</t>
  </si>
  <si>
    <t>87.326</t>
  </si>
  <si>
    <t>60.907</t>
  </si>
  <si>
    <t>2.480422</t>
  </si>
  <si>
    <t>2.480592</t>
  </si>
  <si>
    <t>1.669899</t>
  </si>
  <si>
    <t>0.691812</t>
  </si>
  <si>
    <t>0.237472</t>
  </si>
  <si>
    <t>-0.030352</t>
  </si>
  <si>
    <t>0.163147</t>
  </si>
  <si>
    <t>0.113761</t>
  </si>
  <si>
    <t>106.068130</t>
  </si>
  <si>
    <t>1.182941</t>
  </si>
  <si>
    <t>1.187769</t>
  </si>
  <si>
    <t>12.063744</t>
  </si>
  <si>
    <t>12.014711</t>
  </si>
  <si>
    <t>PSF-01608_20261015101535_20b</t>
  </si>
  <si>
    <t>101.680756</t>
  </si>
  <si>
    <t>202.144501</t>
  </si>
  <si>
    <t>0.496990</t>
  </si>
  <si>
    <t>30.47</t>
  </si>
  <si>
    <t>28.46</t>
  </si>
  <si>
    <t>26.46</t>
  </si>
  <si>
    <t>40.3</t>
  </si>
  <si>
    <t>74.2</t>
  </si>
  <si>
    <t>3.754</t>
  </si>
  <si>
    <t>0.484</t>
  </si>
  <si>
    <t>2.484532</t>
  </si>
  <si>
    <t>2.485492</t>
  </si>
  <si>
    <t>1.671167</t>
  </si>
  <si>
    <t>0.677128</t>
  </si>
  <si>
    <t>0.237663</t>
  </si>
  <si>
    <t>-0.021182</t>
  </si>
  <si>
    <t>0.164269</t>
  </si>
  <si>
    <t>0.113892</t>
  </si>
  <si>
    <t>1.289446</t>
  </si>
  <si>
    <t>1.220170</t>
  </si>
  <si>
    <t>12.393588</t>
  </si>
  <si>
    <t>13.097235</t>
  </si>
  <si>
    <t>PSF-01608_20261015101558_b51</t>
  </si>
  <si>
    <t>96.359612</t>
  </si>
  <si>
    <t>209.952957</t>
  </si>
  <si>
    <t>0.541042</t>
  </si>
  <si>
    <t>33.17</t>
  </si>
  <si>
    <t>31.39</t>
  </si>
  <si>
    <t>28.41</t>
  </si>
  <si>
    <t>27.53</t>
  </si>
  <si>
    <t>69.4</t>
  </si>
  <si>
    <t>3.751</t>
  </si>
  <si>
    <t>1.131</t>
  </si>
  <si>
    <t>2.486001</t>
  </si>
  <si>
    <t>2.490131</t>
  </si>
  <si>
    <t>1.671869</t>
  </si>
  <si>
    <t>0.735529</t>
  </si>
  <si>
    <t>0.238129</t>
  </si>
  <si>
    <t>-0.008927</t>
  </si>
  <si>
    <t>0.167082</t>
  </si>
  <si>
    <t>0.112924</t>
  </si>
  <si>
    <t>0.950019</t>
  </si>
  <si>
    <t>0.988289</t>
  </si>
  <si>
    <t>10.037794</t>
  </si>
  <si>
    <t>9.649099</t>
  </si>
  <si>
    <t>PSF-01608_20261015101844_562</t>
  </si>
  <si>
    <t>89.350105</t>
  </si>
  <si>
    <t>407.660370</t>
  </si>
  <si>
    <t>0.780822</t>
  </si>
  <si>
    <t>25.16</t>
  </si>
  <si>
    <t>28.59</t>
  </si>
  <si>
    <t>25.78</t>
  </si>
  <si>
    <t>-0.9</t>
  </si>
  <si>
    <t>100.6</t>
  </si>
  <si>
    <t>3.748</t>
  </si>
  <si>
    <t>10:18:16</t>
  </si>
  <si>
    <t>1.65</t>
  </si>
  <si>
    <t>86.810</t>
  </si>
  <si>
    <t>44.136</t>
  </si>
  <si>
    <t>22.675</t>
  </si>
  <si>
    <t>2.475934</t>
  </si>
  <si>
    <t>2.475427</t>
  </si>
  <si>
    <t>1.671541</t>
  </si>
  <si>
    <t>0.598733</t>
  </si>
  <si>
    <t>0.236428</t>
  </si>
  <si>
    <t>-0.030134</t>
  </si>
  <si>
    <t>0.188144</t>
  </si>
  <si>
    <t>0.118034</t>
  </si>
  <si>
    <t>89.283585</t>
  </si>
  <si>
    <t>0.970848</t>
  </si>
  <si>
    <t>0.985486</t>
  </si>
  <si>
    <t>10.009333</t>
  </si>
  <si>
    <t>9.860659</t>
  </si>
  <si>
    <t>PSF-01608_20261015101850_8ff</t>
  </si>
  <si>
    <t>89.475632</t>
  </si>
  <si>
    <t>401.017426</t>
  </si>
  <si>
    <t>0.776878</t>
  </si>
  <si>
    <t>24.71</t>
  </si>
  <si>
    <t>28.60</t>
  </si>
  <si>
    <t>26.38</t>
  </si>
  <si>
    <t>3.747</t>
  </si>
  <si>
    <t>0.132</t>
  </si>
  <si>
    <t>2.475802</t>
  </si>
  <si>
    <t>2.476317</t>
  </si>
  <si>
    <t>1.670949</t>
  </si>
  <si>
    <t>0.596486</t>
  </si>
  <si>
    <t>0.236373</t>
  </si>
  <si>
    <t>-0.023615</t>
  </si>
  <si>
    <t>0.188803</t>
  </si>
  <si>
    <t>0.119053</t>
  </si>
  <si>
    <t>0.919198</t>
  </si>
  <si>
    <t>0.938723</t>
  </si>
  <si>
    <t>9.535120</t>
  </si>
  <si>
    <t>9.336797</t>
  </si>
  <si>
    <t>PSF-01608_20261015101905_5c6</t>
  </si>
  <si>
    <t>90.658310</t>
  </si>
  <si>
    <t>411.105042</t>
  </si>
  <si>
    <t>0.779477</t>
  </si>
  <si>
    <t>28.62</t>
  </si>
  <si>
    <t>14.3</t>
  </si>
  <si>
    <t>90.9</t>
  </si>
  <si>
    <t>3.745</t>
  </si>
  <si>
    <t>-0.067</t>
  </si>
  <si>
    <t>2.473800</t>
  </si>
  <si>
    <t>2.474026</t>
  </si>
  <si>
    <t>1.670038</t>
  </si>
  <si>
    <t>0.627154</t>
  </si>
  <si>
    <t>0.236216</t>
  </si>
  <si>
    <t>-0.009061</t>
  </si>
  <si>
    <t>0.190463</t>
  </si>
  <si>
    <t>0.117173</t>
  </si>
  <si>
    <t>0.886863</t>
  </si>
  <si>
    <t>0.894422</t>
  </si>
  <si>
    <t>9.083057</t>
  </si>
  <si>
    <t>9.006287</t>
  </si>
  <si>
    <t>PSF-01608_20261015103408_3ec</t>
  </si>
  <si>
    <t>75.423363</t>
  </si>
  <si>
    <t>120.154381</t>
  </si>
  <si>
    <t>0.372280</t>
  </si>
  <si>
    <t>21.72</t>
  </si>
  <si>
    <t>21.91</t>
  </si>
  <si>
    <t>29.26</t>
  </si>
  <si>
    <t>29.17</t>
  </si>
  <si>
    <t>106.6</t>
  </si>
  <si>
    <t>32.0</t>
  </si>
  <si>
    <t>10:31:59</t>
  </si>
  <si>
    <t>1.88</t>
  </si>
  <si>
    <t>0.153</t>
  </si>
  <si>
    <t>1.330</t>
  </si>
  <si>
    <t>73.340</t>
  </si>
  <si>
    <t>2.470486</t>
  </si>
  <si>
    <t>2.470722</t>
  </si>
  <si>
    <t>1.671931</t>
  </si>
  <si>
    <t>0.815585</t>
  </si>
  <si>
    <t>0.230274</t>
  </si>
  <si>
    <t>-0.000216</t>
  </si>
  <si>
    <t>0.117446</t>
  </si>
  <si>
    <t>0.126218</t>
  </si>
  <si>
    <t>75.196266</t>
  </si>
  <si>
    <t>0.937598</t>
  </si>
  <si>
    <t>0.915799</t>
  </si>
  <si>
    <t>9.300379</t>
  </si>
  <si>
    <t>9.521759</t>
  </si>
  <si>
    <t>PSF-01608_20261015103417_009</t>
  </si>
  <si>
    <t>82.029106</t>
  </si>
  <si>
    <t>172.903061</t>
  </si>
  <si>
    <t>0.525577</t>
  </si>
  <si>
    <t>22.94</t>
  </si>
  <si>
    <t>22.40</t>
  </si>
  <si>
    <t>29.28</t>
  </si>
  <si>
    <t>98.1</t>
  </si>
  <si>
    <t>37.4</t>
  </si>
  <si>
    <t>3.746</t>
  </si>
  <si>
    <t>0.025</t>
  </si>
  <si>
    <t>2.471313</t>
  </si>
  <si>
    <t>2.472826</t>
  </si>
  <si>
    <t>1.672692</t>
  </si>
  <si>
    <t>0.796644</t>
  </si>
  <si>
    <t>0.230079</t>
  </si>
  <si>
    <t>-0.001092</t>
  </si>
  <si>
    <t>0.118837</t>
  </si>
  <si>
    <t>0.122212</t>
  </si>
  <si>
    <t>1.016181</t>
  </si>
  <si>
    <t>0.955302</t>
  </si>
  <si>
    <t>9.701358</t>
  </si>
  <si>
    <t>10.319602</t>
  </si>
  <si>
    <t>PSF-01608_20261015103435_69d</t>
  </si>
  <si>
    <t>81.413628</t>
  </si>
  <si>
    <t>166.348816</t>
  </si>
  <si>
    <t>0.510585</t>
  </si>
  <si>
    <t>23.32</t>
  </si>
  <si>
    <t>29.32</t>
  </si>
  <si>
    <t>28.81</t>
  </si>
  <si>
    <t>74.3</t>
  </si>
  <si>
    <t>3.744</t>
  </si>
  <si>
    <t>9.515</t>
  </si>
  <si>
    <t>2.472834</t>
  </si>
  <si>
    <t>2.476026</t>
  </si>
  <si>
    <t>1.670557</t>
  </si>
  <si>
    <t>0.676992</t>
  </si>
  <si>
    <t>0.229737</t>
  </si>
  <si>
    <t>-0.004905</t>
  </si>
  <si>
    <t>0.121431</t>
  </si>
  <si>
    <t>0.121607</t>
  </si>
  <si>
    <t>0.881642</t>
  </si>
  <si>
    <t>0.894319</t>
  </si>
  <si>
    <t>9.080371</t>
  </si>
  <si>
    <t>8.951662</t>
  </si>
  <si>
    <t>PSF-01608_20261015103528_3b8</t>
  </si>
  <si>
    <t>106.251953</t>
  </si>
  <si>
    <t>332.189789</t>
  </si>
  <si>
    <t>0.680147</t>
  </si>
  <si>
    <t>21.35</t>
  </si>
  <si>
    <t>21.66</t>
  </si>
  <si>
    <t>29.45</t>
  </si>
  <si>
    <t>29.00</t>
  </si>
  <si>
    <t>107.2</t>
  </si>
  <si>
    <t>31.5</t>
  </si>
  <si>
    <t>3.742</t>
  </si>
  <si>
    <t>1.076</t>
  </si>
  <si>
    <t>2.470059</t>
  </si>
  <si>
    <t>2.470069</t>
  </si>
  <si>
    <t>1.669680</t>
  </si>
  <si>
    <t>0.816998</t>
  </si>
  <si>
    <t>0.228520</t>
  </si>
  <si>
    <t>-0.004264</t>
  </si>
  <si>
    <t>0.129124</t>
  </si>
  <si>
    <t>0.128127</t>
  </si>
  <si>
    <t>0.915857</t>
  </si>
  <si>
    <t>0.890365</t>
  </si>
  <si>
    <t>9.039995</t>
  </si>
  <si>
    <t>9.298820</t>
  </si>
  <si>
    <t>PSF-01608_20261015103538_bbb</t>
  </si>
  <si>
    <t>115.311745</t>
  </si>
  <si>
    <t>322.470917</t>
  </si>
  <si>
    <t>0.642412</t>
  </si>
  <si>
    <t>21.54</t>
  </si>
  <si>
    <t>29.48</t>
  </si>
  <si>
    <t>29.13</t>
  </si>
  <si>
    <t>65.9</t>
  </si>
  <si>
    <t>57.9</t>
  </si>
  <si>
    <t>3.743</t>
  </si>
  <si>
    <t>0.084</t>
  </si>
  <si>
    <t>2.469852</t>
  </si>
  <si>
    <t>2.471463</t>
  </si>
  <si>
    <t>1.670985</t>
  </si>
  <si>
    <t>0.728382</t>
  </si>
  <si>
    <t>0.228330</t>
  </si>
  <si>
    <t>-0.003046</t>
  </si>
  <si>
    <t>0.130479</t>
  </si>
  <si>
    <t>0.131838</t>
  </si>
  <si>
    <t>0.925321</t>
  </si>
  <si>
    <t>0.898481</t>
  </si>
  <si>
    <t>9.122074</t>
  </si>
  <si>
    <t>9.394571</t>
  </si>
  <si>
    <t>PSF-01608_20261015103547_4a1</t>
  </si>
  <si>
    <t>119.087578</t>
  </si>
  <si>
    <t>472.095978</t>
  </si>
  <si>
    <t>0.747747</t>
  </si>
  <si>
    <t>21.71</t>
  </si>
  <si>
    <t>29.49</t>
  </si>
  <si>
    <t>29.46</t>
  </si>
  <si>
    <t>80.3</t>
  </si>
  <si>
    <t>48.8</t>
  </si>
  <si>
    <t>3.738</t>
  </si>
  <si>
    <t>2.470145</t>
  </si>
  <si>
    <t>2.471820</t>
  </si>
  <si>
    <t>1.672861</t>
  </si>
  <si>
    <t>0.758294</t>
  </si>
  <si>
    <t>0.228176</t>
  </si>
  <si>
    <t>0.000462</t>
  </si>
  <si>
    <t>0.131627</t>
  </si>
  <si>
    <t>0.120812</t>
  </si>
  <si>
    <t>0.821340</t>
  </si>
  <si>
    <t>0.859183</t>
  </si>
  <si>
    <t>8.726418</t>
  </si>
  <si>
    <t>8.342058</t>
  </si>
  <si>
    <t>PSF-01608_20261015103648_b19</t>
  </si>
  <si>
    <t>93.349457</t>
  </si>
  <si>
    <t>197.012909</t>
  </si>
  <si>
    <t>0.526176</t>
  </si>
  <si>
    <t>19.80</t>
  </si>
  <si>
    <t>29.54</t>
  </si>
  <si>
    <t>28.12</t>
  </si>
  <si>
    <t>49.2</t>
  </si>
  <si>
    <t>68.6</t>
  </si>
  <si>
    <t>2.468456</t>
  </si>
  <si>
    <t>2.467337</t>
  </si>
  <si>
    <t>1.670570</t>
  </si>
  <si>
    <t>0.694638</t>
  </si>
  <si>
    <t>0.227789</t>
  </si>
  <si>
    <t>-0.015039</t>
  </si>
  <si>
    <t>0.139941</t>
  </si>
  <si>
    <t>0.136802</t>
  </si>
  <si>
    <t>0.870763</t>
  </si>
  <si>
    <t>0.863582</t>
  </si>
  <si>
    <t>8.769219</t>
  </si>
  <si>
    <t>8.842135</t>
  </si>
  <si>
    <t>PSF-01608_20261015103655_829</t>
  </si>
  <si>
    <t>127.474304</t>
  </si>
  <si>
    <t>399.561523</t>
  </si>
  <si>
    <t>0.680965</t>
  </si>
  <si>
    <t>20.99</t>
  </si>
  <si>
    <t>20.81</t>
  </si>
  <si>
    <t>28.61</t>
  </si>
  <si>
    <t>18.4</t>
  </si>
  <si>
    <t>3.739</t>
  </si>
  <si>
    <t>0.304</t>
  </si>
  <si>
    <t>2.468627</t>
  </si>
  <si>
    <t>2.469423</t>
  </si>
  <si>
    <t>1.671524</t>
  </si>
  <si>
    <t>0.634940</t>
  </si>
  <si>
    <t>0.227755</t>
  </si>
  <si>
    <t>-0.009594</t>
  </si>
  <si>
    <t>0.140827</t>
  </si>
  <si>
    <t>0.128597</t>
  </si>
  <si>
    <t>0.869987</t>
  </si>
  <si>
    <t>0.854025</t>
  </si>
  <si>
    <t>8.669379</t>
  </si>
  <si>
    <t>8.831418</t>
  </si>
  <si>
    <t>PSF-01608_20261015103710_353</t>
  </si>
  <si>
    <t>104.171631</t>
  </si>
  <si>
    <t>291.145935</t>
  </si>
  <si>
    <t>0.642201</t>
  </si>
  <si>
    <t>20.95</t>
  </si>
  <si>
    <t>20.57</t>
  </si>
  <si>
    <t>29.55</t>
  </si>
  <si>
    <t>28.65</t>
  </si>
  <si>
    <t>34.2</t>
  </si>
  <si>
    <t>3.737</t>
  </si>
  <si>
    <t>2.468210</t>
  </si>
  <si>
    <t>2.469361</t>
  </si>
  <si>
    <t>1.670849</t>
  </si>
  <si>
    <t>0.665138</t>
  </si>
  <si>
    <t>0.227634</t>
  </si>
  <si>
    <t>-0.009281</t>
  </si>
  <si>
    <t>0.142727</t>
  </si>
  <si>
    <t>0.129030</t>
  </si>
  <si>
    <t>104.038239</t>
  </si>
  <si>
    <t>0.834826</t>
  </si>
  <si>
    <t>0.861665</t>
  </si>
  <si>
    <t>8.746487</t>
  </si>
  <si>
    <t>8.474059</t>
  </si>
  <si>
    <t>PSF-01608_20261015103800_848</t>
  </si>
  <si>
    <t>103.166344</t>
  </si>
  <si>
    <t>282.662994</t>
  </si>
  <si>
    <t>0.635020</t>
  </si>
  <si>
    <t>20.07</t>
  </si>
  <si>
    <t>29.58</t>
  </si>
  <si>
    <t>28.40</t>
  </si>
  <si>
    <t>98.52</t>
  </si>
  <si>
    <t>29.9</t>
  </si>
  <si>
    <t>80.9</t>
  </si>
  <si>
    <t>95</t>
  </si>
  <si>
    <t>3.736</t>
  </si>
  <si>
    <t>2.468455</t>
  </si>
  <si>
    <t>2.467808</t>
  </si>
  <si>
    <t>1.671758</t>
  </si>
  <si>
    <t>0.656868</t>
  </si>
  <si>
    <t>0.227350</t>
  </si>
  <si>
    <t>-0.012441</t>
  </si>
  <si>
    <t>0.149267</t>
  </si>
  <si>
    <t>0.194201</t>
  </si>
  <si>
    <t>0.876508</t>
  </si>
  <si>
    <t>0.870963</t>
  </si>
  <si>
    <t>8.840381</t>
  </si>
  <si>
    <t>8.896661</t>
  </si>
  <si>
    <t>PSF-01608_20261015103809_327</t>
  </si>
  <si>
    <t>107.272629</t>
  </si>
  <si>
    <t>393.187866</t>
  </si>
  <si>
    <t>0.727172</t>
  </si>
  <si>
    <t>21.07</t>
  </si>
  <si>
    <t>20.93</t>
  </si>
  <si>
    <t>29.59</t>
  </si>
  <si>
    <t>101.8</t>
  </si>
  <si>
    <t>34.9</t>
  </si>
  <si>
    <t>2.468823</t>
  </si>
  <si>
    <t>2.469557</t>
  </si>
  <si>
    <t>1.670334</t>
  </si>
  <si>
    <t>0.804927</t>
  </si>
  <si>
    <t>0.227310</t>
  </si>
  <si>
    <t>-0.007624</t>
  </si>
  <si>
    <t>0.150295</t>
  </si>
  <si>
    <t>0.170790</t>
  </si>
  <si>
    <t>107.038025</t>
  </si>
  <si>
    <t>0.887944</t>
  </si>
  <si>
    <t>0.870092</t>
  </si>
  <si>
    <t>8.834542</t>
  </si>
  <si>
    <t>9.015801</t>
  </si>
  <si>
    <t>PSF-01608_20261015103820_f4b</t>
  </si>
  <si>
    <t>103.612663</t>
  </si>
  <si>
    <t>346.391907</t>
  </si>
  <si>
    <t>0.700880</t>
  </si>
  <si>
    <t>21.33</t>
  </si>
  <si>
    <t>20.91</t>
  </si>
  <si>
    <t>28.92</t>
  </si>
  <si>
    <t>26.1</t>
  </si>
  <si>
    <t>83.3</t>
  </si>
  <si>
    <t>3.727</t>
  </si>
  <si>
    <t>2.468779</t>
  </si>
  <si>
    <t>2.470028</t>
  </si>
  <si>
    <t>1.671143</t>
  </si>
  <si>
    <t>0.649550</t>
  </si>
  <si>
    <t>0.227272</t>
  </si>
  <si>
    <t>-0.006732</t>
  </si>
  <si>
    <t>0.151590</t>
  </si>
  <si>
    <t>0.150071</t>
  </si>
  <si>
    <t>103.421692</t>
  </si>
  <si>
    <t>0.917860</t>
  </si>
  <si>
    <t>0.915972</t>
  </si>
  <si>
    <t>9.309227</t>
  </si>
  <si>
    <t>9.328413</t>
  </si>
  <si>
    <t>PSF-01608_20261015110224_9ff</t>
  </si>
  <si>
    <t>126.582382</t>
  </si>
  <si>
    <t>146.686798</t>
  </si>
  <si>
    <t>0.137057</t>
  </si>
  <si>
    <t>19.62</t>
  </si>
  <si>
    <t>19.58</t>
  </si>
  <si>
    <t>31.64</t>
  </si>
  <si>
    <t>34.77</t>
  </si>
  <si>
    <t>98.39</t>
  </si>
  <si>
    <t>35.2</t>
  </si>
  <si>
    <t>77.5</t>
  </si>
  <si>
    <t>1825</t>
  </si>
  <si>
    <t>3.724</t>
  </si>
  <si>
    <t>11:01:57</t>
  </si>
  <si>
    <t>0.90</t>
  </si>
  <si>
    <t>3.125</t>
  </si>
  <si>
    <t>77.866</t>
  </si>
  <si>
    <t>85.563</t>
  </si>
  <si>
    <t>2.466402</t>
  </si>
  <si>
    <t>2.468624</t>
  </si>
  <si>
    <t>1.669254</t>
  </si>
  <si>
    <t>0.667119</t>
  </si>
  <si>
    <t>0.209707</t>
  </si>
  <si>
    <t>0.037463</t>
  </si>
  <si>
    <t>0.182474</t>
  </si>
  <si>
    <t>1.790397</t>
  </si>
  <si>
    <t>128.077621</t>
  </si>
  <si>
    <t>0.000369</t>
  </si>
  <si>
    <t>0.940158</t>
  </si>
  <si>
    <t>0.921910</t>
  </si>
  <si>
    <t>9.369792</t>
  </si>
  <si>
    <t>9.555253</t>
  </si>
  <si>
    <t>PSF-01608_20261015110241_652</t>
  </si>
  <si>
    <t>119.037506</t>
  </si>
  <si>
    <t>166.694992</t>
  </si>
  <si>
    <t>0.285896</t>
  </si>
  <si>
    <t>20.09</t>
  </si>
  <si>
    <t>19.70</t>
  </si>
  <si>
    <t>31.65</t>
  </si>
  <si>
    <t>32.65</t>
  </si>
  <si>
    <t>86.9</t>
  </si>
  <si>
    <t>1466</t>
  </si>
  <si>
    <t>3.722</t>
  </si>
  <si>
    <t>6.091</t>
  </si>
  <si>
    <t>52.937</t>
  </si>
  <si>
    <t>86.022</t>
  </si>
  <si>
    <t>2.466598</t>
  </si>
  <si>
    <t>2.469434</t>
  </si>
  <si>
    <t>1.669047</t>
  </si>
  <si>
    <t>0.772407</t>
  </si>
  <si>
    <t>0.209625</t>
  </si>
  <si>
    <t>0.012345</t>
  </si>
  <si>
    <t>0.184785</t>
  </si>
  <si>
    <t>1.458936</t>
  </si>
  <si>
    <t>0.940444</t>
  </si>
  <si>
    <t>0.928859</t>
  </si>
  <si>
    <t>9.441180</t>
  </si>
  <si>
    <t>9.558940</t>
  </si>
  <si>
    <t>PSF-01608_20261015110300_9c6</t>
  </si>
  <si>
    <t>96.720100</t>
  </si>
  <si>
    <t>162.809021</t>
  </si>
  <si>
    <t>0.405929</t>
  </si>
  <si>
    <t>19.82</t>
  </si>
  <si>
    <t>31.67</t>
  </si>
  <si>
    <t>33.31</t>
  </si>
  <si>
    <t>98.38</t>
  </si>
  <si>
    <t>74.9</t>
  </si>
  <si>
    <t>52.1</t>
  </si>
  <si>
    <t>1683</t>
  </si>
  <si>
    <t>3.720</t>
  </si>
  <si>
    <t>0.207</t>
  </si>
  <si>
    <t>21.667</t>
  </si>
  <si>
    <t>40.575</t>
  </si>
  <si>
    <t>2.466803</t>
  </si>
  <si>
    <t>2.469397</t>
  </si>
  <si>
    <t>1.670718</t>
  </si>
  <si>
    <t>0.747032</t>
  </si>
  <si>
    <t>0.209433</t>
  </si>
  <si>
    <t>0.019786</t>
  </si>
  <si>
    <t>0.187297</t>
  </si>
  <si>
    <t>1.658675</t>
  </si>
  <si>
    <t>1.065458</t>
  </si>
  <si>
    <t>1.025143</t>
  </si>
  <si>
    <t>10.420259</t>
  </si>
  <si>
    <t>10.830058</t>
  </si>
  <si>
    <t>PSF-01608_20261015110626_32c</t>
  </si>
  <si>
    <t>86.832405</t>
  </si>
  <si>
    <t>165.784119</t>
  </si>
  <si>
    <t>0.476232</t>
  </si>
  <si>
    <t>21.26</t>
  </si>
  <si>
    <t>32.17</t>
  </si>
  <si>
    <t>32.98</t>
  </si>
  <si>
    <t>39.6</t>
  </si>
  <si>
    <t>74.7</t>
  </si>
  <si>
    <t>3.709</t>
  </si>
  <si>
    <t>1.659</t>
  </si>
  <si>
    <t>40.770</t>
  </si>
  <si>
    <t>62.956</t>
  </si>
  <si>
    <t>2.469195</t>
  </si>
  <si>
    <t>2.472870</t>
  </si>
  <si>
    <t>1.669477</t>
  </si>
  <si>
    <t>0.675708</t>
  </si>
  <si>
    <t>0.205359</t>
  </si>
  <si>
    <t>0.010151</t>
  </si>
  <si>
    <t>0.214171</t>
  </si>
  <si>
    <t>0.128476</t>
  </si>
  <si>
    <t>1.048040</t>
  </si>
  <si>
    <t>1.025392</t>
  </si>
  <si>
    <t>10.423354</t>
  </si>
  <si>
    <t>10.653577</t>
  </si>
  <si>
    <t>PSF-01608_20261015110644_72a</t>
  </si>
  <si>
    <t>102.352737</t>
  </si>
  <si>
    <t>385.848999</t>
  </si>
  <si>
    <t>0.734734</t>
  </si>
  <si>
    <t>21.18</t>
  </si>
  <si>
    <t>32.25</t>
  </si>
  <si>
    <t>32.40</t>
  </si>
  <si>
    <t>98.37</t>
  </si>
  <si>
    <t>44.7</t>
  </si>
  <si>
    <t>71.5</t>
  </si>
  <si>
    <t>1963</t>
  </si>
  <si>
    <t>39.222</t>
  </si>
  <si>
    <t>81.576</t>
  </si>
  <si>
    <t>2.469046</t>
  </si>
  <si>
    <t>2.472086</t>
  </si>
  <si>
    <t>1.672089</t>
  </si>
  <si>
    <t>0.685766</t>
  </si>
  <si>
    <t>0.204748</t>
  </si>
  <si>
    <t>0.002562</t>
  </si>
  <si>
    <t>0.216228</t>
  </si>
  <si>
    <t>1.917423</t>
  </si>
  <si>
    <t>0.970282</t>
  </si>
  <si>
    <t>0.973581</t>
  </si>
  <si>
    <t>9.896936</t>
  </si>
  <si>
    <t>9.863397</t>
  </si>
  <si>
    <t>PSF-01608_20261015110706_fe6</t>
  </si>
  <si>
    <t>106.830597</t>
  </si>
  <si>
    <t>380.724548</t>
  </si>
  <si>
    <t>0.719402</t>
  </si>
  <si>
    <t>19.93</t>
  </si>
  <si>
    <t>20.00</t>
  </si>
  <si>
    <t>32.34</t>
  </si>
  <si>
    <t>32.15</t>
  </si>
  <si>
    <t>77.4</t>
  </si>
  <si>
    <t>50.6</t>
  </si>
  <si>
    <t>85</t>
  </si>
  <si>
    <t>3.502</t>
  </si>
  <si>
    <t>66.201</t>
  </si>
  <si>
    <t>46.302</t>
  </si>
  <si>
    <t>2.467069</t>
  </si>
  <si>
    <t>2.469128</t>
  </si>
  <si>
    <t>1.671388</t>
  </si>
  <si>
    <t>0.752155</t>
  </si>
  <si>
    <t>0.204014</t>
  </si>
  <si>
    <t>-0.001374</t>
  </si>
  <si>
    <t>0.218846</t>
  </si>
  <si>
    <t>0.185261</t>
  </si>
  <si>
    <t>0.911459</t>
  </si>
  <si>
    <t>0.945705</t>
  </si>
  <si>
    <t>9.613512</t>
  </si>
  <si>
    <t>9.265388</t>
  </si>
  <si>
    <t>PSF-01608_20261015110826_a12</t>
  </si>
  <si>
    <t>108.587982</t>
  </si>
  <si>
    <t>122.216820</t>
  </si>
  <si>
    <t>0.111514</t>
  </si>
  <si>
    <t>18.38</t>
  </si>
  <si>
    <t>19.07</t>
  </si>
  <si>
    <t>35.57</t>
  </si>
  <si>
    <t>51.3</t>
  </si>
  <si>
    <t>67.2</t>
  </si>
  <si>
    <t>2039</t>
  </si>
  <si>
    <t>3.707</t>
  </si>
  <si>
    <t>4.676</t>
  </si>
  <si>
    <t>68.363</t>
  </si>
  <si>
    <t>69.269</t>
  </si>
  <si>
    <t>2.465472</t>
  </si>
  <si>
    <t>2.466393</t>
  </si>
  <si>
    <t>1.670394</t>
  </si>
  <si>
    <t>0.698766</t>
  </si>
  <si>
    <t>0.201394</t>
  </si>
  <si>
    <t>0.034995</t>
  </si>
  <si>
    <t>0.228095</t>
  </si>
  <si>
    <t>1.987770</t>
  </si>
  <si>
    <t>0.930827</t>
  </si>
  <si>
    <t>0.936621</t>
  </si>
  <si>
    <t>9.521028</t>
  </si>
  <si>
    <t>9.462122</t>
  </si>
  <si>
    <t>PSF-01608_20261015110840_b63</t>
  </si>
  <si>
    <t>85.668686</t>
  </si>
  <si>
    <t>189.041016</t>
  </si>
  <si>
    <t>0.546825</t>
  </si>
  <si>
    <t>18.73</t>
  </si>
  <si>
    <t>18.84</t>
  </si>
  <si>
    <t>32.71</t>
  </si>
  <si>
    <t>32.53</t>
  </si>
  <si>
    <t>156.9</t>
  </si>
  <si>
    <t>57.0</t>
  </si>
  <si>
    <t>63.7</t>
  </si>
  <si>
    <t>-2.062</t>
  </si>
  <si>
    <t>51.033</t>
  </si>
  <si>
    <t>58.849</t>
  </si>
  <si>
    <t>2.465080</t>
  </si>
  <si>
    <t>1.673959</t>
  </si>
  <si>
    <t>0.710314</t>
  </si>
  <si>
    <t>0.201053</t>
  </si>
  <si>
    <t>-0.001344</t>
  </si>
  <si>
    <t>0.229534</t>
  </si>
  <si>
    <t>0.184672</t>
  </si>
  <si>
    <t>0.945222</t>
  </si>
  <si>
    <t>0.963806</t>
  </si>
  <si>
    <t>9.795992</t>
  </si>
  <si>
    <t>9.607106</t>
  </si>
  <si>
    <t>PSF-01608_20261015110903_8a7</t>
  </si>
  <si>
    <t>12.798071</t>
  </si>
  <si>
    <t>22.945404</t>
  </si>
  <si>
    <t>0.442238</t>
  </si>
  <si>
    <t>18.96</t>
  </si>
  <si>
    <t>19.34</t>
  </si>
  <si>
    <t>32.76</t>
  </si>
  <si>
    <t>32.30</t>
  </si>
  <si>
    <t>7.4</t>
  </si>
  <si>
    <t>95.3</t>
  </si>
  <si>
    <t>3.706</t>
  </si>
  <si>
    <t>-6.217</t>
  </si>
  <si>
    <t>-2.751</t>
  </si>
  <si>
    <t>9.824</t>
  </si>
  <si>
    <t>2.465915</t>
  </si>
  <si>
    <t>2.467410</t>
  </si>
  <si>
    <t>1.671969</t>
  </si>
  <si>
    <t>0.614159</t>
  </si>
  <si>
    <t>0.200669</t>
  </si>
  <si>
    <t>-0.004600</t>
  </si>
  <si>
    <t>0.231942</t>
  </si>
  <si>
    <t>0.133470</t>
  </si>
  <si>
    <t>0.876713</t>
  </si>
  <si>
    <t>0.912177</t>
  </si>
  <si>
    <t>9.271932</t>
  </si>
  <si>
    <t>8.911452</t>
  </si>
  <si>
    <t>PSF-01608_20261015111129_05e</t>
  </si>
  <si>
    <t>108.269691</t>
  </si>
  <si>
    <t>124.436256</t>
  </si>
  <si>
    <t>0.129918</t>
  </si>
  <si>
    <t>17.14</t>
  </si>
  <si>
    <t>17.83</t>
  </si>
  <si>
    <t>33.22</t>
  </si>
  <si>
    <t>34.33</t>
  </si>
  <si>
    <t>16.8</t>
  </si>
  <si>
    <t>89.2</t>
  </si>
  <si>
    <t>1389</t>
  </si>
  <si>
    <t>3.701</t>
  </si>
  <si>
    <t>0.013</t>
  </si>
  <si>
    <t>-0.874</t>
  </si>
  <si>
    <t>80.283</t>
  </si>
  <si>
    <t>2.463326</t>
  </si>
  <si>
    <t>2.464172</t>
  </si>
  <si>
    <t>1.670743</t>
  </si>
  <si>
    <t>0.631946</t>
  </si>
  <si>
    <t>0.197089</t>
  </si>
  <si>
    <t>0.013774</t>
  </si>
  <si>
    <t>0.247779</t>
  </si>
  <si>
    <t>1.387869</t>
  </si>
  <si>
    <t>0.904531</t>
  </si>
  <si>
    <t>0.920194</t>
  </si>
  <si>
    <t>9.354204</t>
  </si>
  <si>
    <t>9.194983</t>
  </si>
  <si>
    <t>PSF-01608_20261015111142_67f</t>
  </si>
  <si>
    <t>104.356529</t>
  </si>
  <si>
    <t>115.716217</t>
  </si>
  <si>
    <t>0.098168</t>
  </si>
  <si>
    <t>17.66</t>
  </si>
  <si>
    <t>17.96</t>
  </si>
  <si>
    <t>33.25</t>
  </si>
  <si>
    <t>82.1</t>
  </si>
  <si>
    <t>2013</t>
  </si>
  <si>
    <t>3.669</t>
  </si>
  <si>
    <t>-0.252</t>
  </si>
  <si>
    <t>51.982</t>
  </si>
  <si>
    <t>78.237</t>
  </si>
  <si>
    <t>2.463550</t>
  </si>
  <si>
    <t>2.465091</t>
  </si>
  <si>
    <t>1.671573</t>
  </si>
  <si>
    <t>0.762122</t>
  </si>
  <si>
    <t>0.196898</t>
  </si>
  <si>
    <t>0.033260</t>
  </si>
  <si>
    <t>0.249063</t>
  </si>
  <si>
    <t>1.963681</t>
  </si>
  <si>
    <t>0.906904</t>
  </si>
  <si>
    <t>0.920264</t>
  </si>
  <si>
    <t>9.354800</t>
  </si>
  <si>
    <t>9.218990</t>
  </si>
  <si>
    <t>PSF-01608_20261015111159_b28</t>
  </si>
  <si>
    <t>94.469902</t>
  </si>
  <si>
    <t>114.529251</t>
  </si>
  <si>
    <t>0.175146</t>
  </si>
  <si>
    <t>17.69</t>
  </si>
  <si>
    <t>17.95</t>
  </si>
  <si>
    <t>33.26</t>
  </si>
  <si>
    <t>34.22</t>
  </si>
  <si>
    <t>54.5</t>
  </si>
  <si>
    <t>65.2</t>
  </si>
  <si>
    <t>1330</t>
  </si>
  <si>
    <t>-0.168</t>
  </si>
  <si>
    <t>24.766</t>
  </si>
  <si>
    <t>80.196</t>
  </si>
  <si>
    <t>2.463525</t>
  </si>
  <si>
    <t>2.465145</t>
  </si>
  <si>
    <t>0.705225</t>
  </si>
  <si>
    <t>0.196780</t>
  </si>
  <si>
    <t>0.012069</t>
  </si>
  <si>
    <t>0.250812</t>
  </si>
  <si>
    <t>1.333769</t>
  </si>
  <si>
    <t>94.052910</t>
  </si>
  <si>
    <t>0.858836</t>
  </si>
  <si>
    <t>0.885467</t>
  </si>
  <si>
    <t>9.000428</t>
  </si>
  <si>
    <t>8.729738</t>
  </si>
  <si>
    <t>PSF-01608_20261015111935_9c8</t>
  </si>
  <si>
    <t>137.511490</t>
  </si>
  <si>
    <t>241.826172</t>
  </si>
  <si>
    <t>0.431362</t>
  </si>
  <si>
    <t>18.51</t>
  </si>
  <si>
    <t>32.03</t>
  </si>
  <si>
    <t>30.64</t>
  </si>
  <si>
    <t>86.8</t>
  </si>
  <si>
    <t>44.5</t>
  </si>
  <si>
    <t>3.703</t>
  </si>
  <si>
    <t>11:18:41</t>
  </si>
  <si>
    <t>1.08</t>
  </si>
  <si>
    <t>8.461</t>
  </si>
  <si>
    <t>13.942</t>
  </si>
  <si>
    <t>93.384</t>
  </si>
  <si>
    <t>2.464562</t>
  </si>
  <si>
    <t>2.465374</t>
  </si>
  <si>
    <t>1.670339</t>
  </si>
  <si>
    <t>0.772308</t>
  </si>
  <si>
    <t>0.206515</t>
  </si>
  <si>
    <t>-0.015166</t>
  </si>
  <si>
    <t>0.108021</t>
  </si>
  <si>
    <t>0.289216</t>
  </si>
  <si>
    <t>0.872786</t>
  </si>
  <si>
    <t>0.881523</t>
  </si>
  <si>
    <t>8.961251</t>
  </si>
  <si>
    <t>8.872441</t>
  </si>
  <si>
    <t>PSF-01608_20261015112005_147</t>
  </si>
  <si>
    <t>84.992767</t>
  </si>
  <si>
    <t>171.164276</t>
  </si>
  <si>
    <t>0.503443</t>
  </si>
  <si>
    <t>18.37</t>
  </si>
  <si>
    <t>18.56</t>
  </si>
  <si>
    <t>31.91</t>
  </si>
  <si>
    <t>30.69</t>
  </si>
  <si>
    <t>43.5</t>
  </si>
  <si>
    <t>3.700</t>
  </si>
  <si>
    <t>0.443</t>
  </si>
  <si>
    <t>18.286</t>
  </si>
  <si>
    <t>2.464642</t>
  </si>
  <si>
    <t>2.466114</t>
  </si>
  <si>
    <t>1.670933</t>
  </si>
  <si>
    <t>0.775753</t>
  </si>
  <si>
    <t>0.207485</t>
  </si>
  <si>
    <t>-0.013178</t>
  </si>
  <si>
    <t>0.112480</t>
  </si>
  <si>
    <t>0.288107</t>
  </si>
  <si>
    <t>84.816452</t>
  </si>
  <si>
    <t>0.871026</t>
  </si>
  <si>
    <t>0.889355</t>
  </si>
  <si>
    <t>9.040661</t>
  </si>
  <si>
    <t>8.854344</t>
  </si>
  <si>
    <t>PSF-01608_20261015112038_816</t>
  </si>
  <si>
    <t>88.708160</t>
  </si>
  <si>
    <t>225.378510</t>
  </si>
  <si>
    <t>0.606404</t>
  </si>
  <si>
    <t>18.46</t>
  </si>
  <si>
    <t>31.79</t>
  </si>
  <si>
    <t>62.2</t>
  </si>
  <si>
    <t>60.3</t>
  </si>
  <si>
    <t>51</t>
  </si>
  <si>
    <t>3.698</t>
  </si>
  <si>
    <t>0.503</t>
  </si>
  <si>
    <t>2.465138</t>
  </si>
  <si>
    <t>2.466266</t>
  </si>
  <si>
    <t>1.671638</t>
  </si>
  <si>
    <t>0.720750</t>
  </si>
  <si>
    <t>0.208421</t>
  </si>
  <si>
    <t>-0.015795</t>
  </si>
  <si>
    <t>0.117099</t>
  </si>
  <si>
    <t>0.153553</t>
  </si>
  <si>
    <t>0.894721</t>
  </si>
  <si>
    <t>0.901079</t>
  </si>
  <si>
    <t>9.159545</t>
  </si>
  <si>
    <t>9.094910</t>
  </si>
  <si>
    <t>PSF-01608_20261015112123_3e0</t>
  </si>
  <si>
    <t>59.202789</t>
  </si>
  <si>
    <t>79.079750</t>
  </si>
  <si>
    <t>0.251353</t>
  </si>
  <si>
    <t>19.10</t>
  </si>
  <si>
    <t>19.24</t>
  </si>
  <si>
    <t>31.66</t>
  </si>
  <si>
    <t>30.45</t>
  </si>
  <si>
    <t>57.4</t>
  </si>
  <si>
    <t>63.3</t>
  </si>
  <si>
    <t>-0.063</t>
  </si>
  <si>
    <t>2.465820</t>
  </si>
  <si>
    <t>2.467413</t>
  </si>
  <si>
    <t>1.671444</t>
  </si>
  <si>
    <t>0.711074</t>
  </si>
  <si>
    <t>0.209529</t>
  </si>
  <si>
    <t>-0.013068</t>
  </si>
  <si>
    <t>0.123361</t>
  </si>
  <si>
    <t>0.231062</t>
  </si>
  <si>
    <t>0.878050</t>
  </si>
  <si>
    <t>0.889698</t>
  </si>
  <si>
    <t>9.043528</t>
  </si>
  <si>
    <t>8.925136</t>
  </si>
  <si>
    <t>PSF-01608_20261015112137_458</t>
  </si>
  <si>
    <t>59.460999</t>
  </si>
  <si>
    <t>97.616318</t>
  </si>
  <si>
    <t>0.390870</t>
  </si>
  <si>
    <t>18.79</t>
  </si>
  <si>
    <t>19.04</t>
  </si>
  <si>
    <t>31.62</t>
  </si>
  <si>
    <t>30.25</t>
  </si>
  <si>
    <t>65.1</t>
  </si>
  <si>
    <t>132</t>
  </si>
  <si>
    <t>3.665</t>
  </si>
  <si>
    <t>20.009</t>
  </si>
  <si>
    <t>0.024</t>
  </si>
  <si>
    <t>16.383</t>
  </si>
  <si>
    <t>2.465478</t>
  </si>
  <si>
    <t>2.466861</t>
  </si>
  <si>
    <t>1.669930</t>
  </si>
  <si>
    <t>0.726636</t>
  </si>
  <si>
    <t>0.209842</t>
  </si>
  <si>
    <t>-0.014840</t>
  </si>
  <si>
    <t>0.125242</t>
  </si>
  <si>
    <t>0.228273</t>
  </si>
  <si>
    <t>0.898011</t>
  </si>
  <si>
    <t>0.907229</t>
  </si>
  <si>
    <t>9.221796</t>
  </si>
  <si>
    <t>9.128100</t>
  </si>
  <si>
    <t>PSF-01608_20261015112155_de7</t>
  </si>
  <si>
    <t>66.743378</t>
  </si>
  <si>
    <t>105.617523</t>
  </si>
  <si>
    <t>0.368065</t>
  </si>
  <si>
    <t>19.27</t>
  </si>
  <si>
    <t>19.46</t>
  </si>
  <si>
    <t>31.57</t>
  </si>
  <si>
    <t>18.3</t>
  </si>
  <si>
    <t>3.696</t>
  </si>
  <si>
    <t>1.344</t>
  </si>
  <si>
    <t>32.831</t>
  </si>
  <si>
    <t>47.582</t>
  </si>
  <si>
    <t>2.466205</t>
  </si>
  <si>
    <t>2.467701</t>
  </si>
  <si>
    <t>1.670262</t>
  </si>
  <si>
    <t>0.634781</t>
  </si>
  <si>
    <t>0.210220</t>
  </si>
  <si>
    <t>-0.017806</t>
  </si>
  <si>
    <t>0.127645</t>
  </si>
  <si>
    <t>0.230829</t>
  </si>
  <si>
    <t>0.999654</t>
  </si>
  <si>
    <t>0.954609</t>
  </si>
  <si>
    <t>9.703577</t>
  </si>
  <si>
    <t>10.161462</t>
  </si>
  <si>
    <t>PSF-01608_20261015112339_99e</t>
  </si>
  <si>
    <t>108.670593</t>
  </si>
  <si>
    <t>339.625610</t>
  </si>
  <si>
    <t>0.680028</t>
  </si>
  <si>
    <t>21.74</t>
  </si>
  <si>
    <t>20.76</t>
  </si>
  <si>
    <t>31.33</t>
  </si>
  <si>
    <t>60</t>
  </si>
  <si>
    <t>3.694</t>
  </si>
  <si>
    <t>-0.029</t>
  </si>
  <si>
    <t>2.664</t>
  </si>
  <si>
    <t>82.573</t>
  </si>
  <si>
    <t>60.708</t>
  </si>
  <si>
    <t>2.468415</t>
  </si>
  <si>
    <t>2.472018</t>
  </si>
  <si>
    <t>1.671265</t>
  </si>
  <si>
    <t>0.726815</t>
  </si>
  <si>
    <t>0.212219</t>
  </si>
  <si>
    <t>-0.027492</t>
  </si>
  <si>
    <t>0.141060</t>
  </si>
  <si>
    <t>0.162117</t>
  </si>
  <si>
    <t>0.875009</t>
  </si>
  <si>
    <t>0.875810</t>
  </si>
  <si>
    <t>8.902138</t>
  </si>
  <si>
    <t>8.893990</t>
  </si>
  <si>
    <t>PSF-01608_20261015112403_7d8</t>
  </si>
  <si>
    <t>108.950615</t>
  </si>
  <si>
    <t>288.629639</t>
  </si>
  <si>
    <t>0.622524</t>
  </si>
  <si>
    <t>19.09</t>
  </si>
  <si>
    <t>19.11</t>
  </si>
  <si>
    <t>31.28</t>
  </si>
  <si>
    <t>28.77</t>
  </si>
  <si>
    <t>78.4</t>
  </si>
  <si>
    <t>49.9</t>
  </si>
  <si>
    <t>3.693</t>
  </si>
  <si>
    <t>-0.175</t>
  </si>
  <si>
    <t>42.794</t>
  </si>
  <si>
    <t>83.831</t>
  </si>
  <si>
    <t>2.465625</t>
  </si>
  <si>
    <t>2.467416</t>
  </si>
  <si>
    <t>1.670144</t>
  </si>
  <si>
    <t>0.754334</t>
  </si>
  <si>
    <t>0.212704</t>
  </si>
  <si>
    <t>-0.027551</t>
  </si>
  <si>
    <t>0.144009</t>
  </si>
  <si>
    <t>0.204626</t>
  </si>
  <si>
    <t>0.894590</t>
  </si>
  <si>
    <t>0.891501</t>
  </si>
  <si>
    <t>9.059904</t>
  </si>
  <si>
    <t>9.091296</t>
  </si>
  <si>
    <t>PSF-01608_20261015112417_5c1</t>
  </si>
  <si>
    <t>103.035095</t>
  </si>
  <si>
    <t>313.328156</t>
  </si>
  <si>
    <t>0.671159</t>
  </si>
  <si>
    <t>19.56</t>
  </si>
  <si>
    <t>19.49</t>
  </si>
  <si>
    <t>31.24</t>
  </si>
  <si>
    <t>30.11</t>
  </si>
  <si>
    <t>98.40</t>
  </si>
  <si>
    <t>149.1</t>
  </si>
  <si>
    <t>4.8</t>
  </si>
  <si>
    <t>3.691</t>
  </si>
  <si>
    <t>0.673</t>
  </si>
  <si>
    <t>2.832</t>
  </si>
  <si>
    <t>52.581</t>
  </si>
  <si>
    <t>2.466273</t>
  </si>
  <si>
    <t>2.468232</t>
  </si>
  <si>
    <t>1.671045</t>
  </si>
  <si>
    <t>0.915786</t>
  </si>
  <si>
    <t>0.212982</t>
  </si>
  <si>
    <t>-0.012076</t>
  </si>
  <si>
    <t>0.145563</t>
  </si>
  <si>
    <t>0.136792</t>
  </si>
  <si>
    <t>0.893375</t>
  </si>
  <si>
    <t>1.037239</t>
  </si>
  <si>
    <t>10.569863</t>
  </si>
  <si>
    <t>9.103834</t>
  </si>
  <si>
    <t>PSF-01608_20261015115837_e1c</t>
  </si>
  <si>
    <t>80.325722</t>
  </si>
  <si>
    <t>87.259056</t>
  </si>
  <si>
    <t>0.079457</t>
  </si>
  <si>
    <t>18.75</t>
  </si>
  <si>
    <t>21.77</t>
  </si>
  <si>
    <t>31.96</t>
  </si>
  <si>
    <t>37.89</t>
  </si>
  <si>
    <t>94.1</t>
  </si>
  <si>
    <t>39.9</t>
  </si>
  <si>
    <t>1281</t>
  </si>
  <si>
    <t>3.677</t>
  </si>
  <si>
    <t>11:49:12</t>
  </si>
  <si>
    <t>-1.76</t>
  </si>
  <si>
    <t>70.089</t>
  </si>
  <si>
    <t>38.280</t>
  </si>
  <si>
    <t>19.029</t>
  </si>
  <si>
    <t>2.470052</t>
  </si>
  <si>
    <t>2.471711</t>
  </si>
  <si>
    <t>1.670780</t>
  </si>
  <si>
    <t>0.787988</t>
  </si>
  <si>
    <t>0.207034</t>
  </si>
  <si>
    <t>0.071639</t>
  </si>
  <si>
    <t>0.226881</t>
  </si>
  <si>
    <t>1.288194</t>
  </si>
  <si>
    <t>76.784134</t>
  </si>
  <si>
    <t>0.998604</t>
  </si>
  <si>
    <t>1.081715</t>
  </si>
  <si>
    <t>11.021909</t>
  </si>
  <si>
    <t>10.175065</t>
  </si>
  <si>
    <t>PSF-01608_20261015115851_4a5</t>
  </si>
  <si>
    <t>76.024178</t>
  </si>
  <si>
    <t>80.779556</t>
  </si>
  <si>
    <t>0.058869</t>
  </si>
  <si>
    <t>20.84</t>
  </si>
  <si>
    <t>22.57</t>
  </si>
  <si>
    <t>32.06</t>
  </si>
  <si>
    <t>36.26</t>
  </si>
  <si>
    <t>109.5</t>
  </si>
  <si>
    <t>30.1</t>
  </si>
  <si>
    <t>1629</t>
  </si>
  <si>
    <t>3.676</t>
  </si>
  <si>
    <t>0.276</t>
  </si>
  <si>
    <t>2.471381</t>
  </si>
  <si>
    <t>2.475271</t>
  </si>
  <si>
    <t>1.670444</t>
  </si>
  <si>
    <t>0.822039</t>
  </si>
  <si>
    <t>0.206218</t>
  </si>
  <si>
    <t>0.050443</t>
  </si>
  <si>
    <t>0.228481</t>
  </si>
  <si>
    <t>1.608956</t>
  </si>
  <si>
    <t>0.899276</t>
  </si>
  <si>
    <t>0.943658</t>
  </si>
  <si>
    <t>9.614229</t>
  </si>
  <si>
    <t>9.162049</t>
  </si>
  <si>
    <t>PSF-01608_20261015115954_458</t>
  </si>
  <si>
    <t>70.404053</t>
  </si>
  <si>
    <t>89.037895</t>
  </si>
  <si>
    <t>0.209280</t>
  </si>
  <si>
    <t>18.28</t>
  </si>
  <si>
    <t>19.18</t>
  </si>
  <si>
    <t>910</t>
  </si>
  <si>
    <t>3.674</t>
  </si>
  <si>
    <t>11:59:35</t>
  </si>
  <si>
    <t>0.37</t>
  </si>
  <si>
    <t>1.976</t>
  </si>
  <si>
    <t>68.248</t>
  </si>
  <si>
    <t>34.463</t>
  </si>
  <si>
    <t>2.465672</t>
  </si>
  <si>
    <t>2.467166</t>
  </si>
  <si>
    <t>1.670202</t>
  </si>
  <si>
    <t>0.705059</t>
  </si>
  <si>
    <t>0.202525</t>
  </si>
  <si>
    <t>0.022944</t>
  </si>
  <si>
    <t>0.236059</t>
  </si>
  <si>
    <t>0.945953</t>
  </si>
  <si>
    <t>0.873543</t>
  </si>
  <si>
    <t>0.925509</t>
  </si>
  <si>
    <t>9.430374</t>
  </si>
  <si>
    <t>8.900872</t>
  </si>
  <si>
    <t>PSF-01608_20261015120113_0b1</t>
  </si>
  <si>
    <t>63.639164</t>
  </si>
  <si>
    <t>79.871178</t>
  </si>
  <si>
    <t>0.203227</t>
  </si>
  <si>
    <t>17.51</t>
  </si>
  <si>
    <t>18.55</t>
  </si>
  <si>
    <t>63.5</t>
  </si>
  <si>
    <t>59.5</t>
  </si>
  <si>
    <t>177</t>
  </si>
  <si>
    <t>0.018</t>
  </si>
  <si>
    <t>1.561</t>
  </si>
  <si>
    <t>30.713</t>
  </si>
  <si>
    <t>45.445</t>
  </si>
  <si>
    <t>2.464586</t>
  </si>
  <si>
    <t>2.465801</t>
  </si>
  <si>
    <t>1.673392</t>
  </si>
  <si>
    <t>0.723463</t>
  </si>
  <si>
    <t>0.200572</t>
  </si>
  <si>
    <t>-0.004706</t>
  </si>
  <si>
    <t>0.244756</t>
  </si>
  <si>
    <t>0.269875</t>
  </si>
  <si>
    <t>62.923195</t>
  </si>
  <si>
    <t>0.993257</t>
  </si>
  <si>
    <t>1.007804</t>
  </si>
  <si>
    <t>10.269277</t>
  </si>
  <si>
    <t>10.121045</t>
  </si>
  <si>
    <t>PSF-01608_20261015120139_c82</t>
  </si>
  <si>
    <t>50.400852</t>
  </si>
  <si>
    <t>66.426872</t>
  </si>
  <si>
    <t>0.241258</t>
  </si>
  <si>
    <t>19.86</t>
  </si>
  <si>
    <t>20.15</t>
  </si>
  <si>
    <t>32.82</t>
  </si>
  <si>
    <t>127.5</t>
  </si>
  <si>
    <t>18.6</t>
  </si>
  <si>
    <t>151</t>
  </si>
  <si>
    <t>3.673</t>
  </si>
  <si>
    <t>36.182</t>
  </si>
  <si>
    <t>30.795</t>
  </si>
  <si>
    <t>15.708</t>
  </si>
  <si>
    <t>2.467293</t>
  </si>
  <si>
    <t>2.469904</t>
  </si>
  <si>
    <t>1.671659</t>
  </si>
  <si>
    <t>0.863627</t>
  </si>
  <si>
    <t>0.200226</t>
  </si>
  <si>
    <t>-0.004118</t>
  </si>
  <si>
    <t>0.247427</t>
  </si>
  <si>
    <t>0.246001</t>
  </si>
  <si>
    <t>1.144919</t>
  </si>
  <si>
    <t>1.099732</t>
  </si>
  <si>
    <t>11.206715</t>
  </si>
  <si>
    <t>11.667190</t>
  </si>
  <si>
    <t>PSF-01608_20261015120157_701</t>
  </si>
  <si>
    <t>8.633494</t>
  </si>
  <si>
    <t>11.090755</t>
  </si>
  <si>
    <t>0.221559</t>
  </si>
  <si>
    <t>22.84</t>
  </si>
  <si>
    <t>32.86</t>
  </si>
  <si>
    <t>32.93</t>
  </si>
  <si>
    <t>73.4</t>
  </si>
  <si>
    <t>168</t>
  </si>
  <si>
    <t>3.663</t>
  </si>
  <si>
    <t>-0.095</t>
  </si>
  <si>
    <t>2.470279</t>
  </si>
  <si>
    <t>2.475001</t>
  </si>
  <si>
    <t>1.670383</t>
  </si>
  <si>
    <t>0.679645</t>
  </si>
  <si>
    <t>0.199910</t>
  </si>
  <si>
    <t>0.001610</t>
  </si>
  <si>
    <t>0.249384</t>
  </si>
  <si>
    <t>0.261103</t>
  </si>
  <si>
    <t>1.102735</t>
  </si>
  <si>
    <t>1.091771</t>
  </si>
  <si>
    <t>11.124855</t>
  </si>
  <si>
    <t>11.236571</t>
  </si>
  <si>
    <t>PSF-01608_20261015120905_206</t>
  </si>
  <si>
    <t>41.954041</t>
  </si>
  <si>
    <t>51.904320</t>
  </si>
  <si>
    <t>0.191704</t>
  </si>
  <si>
    <t>20.89</t>
  </si>
  <si>
    <t>20.69</t>
  </si>
  <si>
    <t>33.78</t>
  </si>
  <si>
    <t>85.3</t>
  </si>
  <si>
    <t>45.6</t>
  </si>
  <si>
    <t>634</t>
  </si>
  <si>
    <t>0.452</t>
  </si>
  <si>
    <t>22.482</t>
  </si>
  <si>
    <t>29.404</t>
  </si>
  <si>
    <t>2.468119</t>
  </si>
  <si>
    <t>2.471616</t>
  </si>
  <si>
    <t>1.671679</t>
  </si>
  <si>
    <t>0.768886</t>
  </si>
  <si>
    <t>0.192829</t>
  </si>
  <si>
    <t>0.040636</t>
  </si>
  <si>
    <t>0.293184</t>
  </si>
  <si>
    <t>0.690908</t>
  </si>
  <si>
    <t>1.076455</t>
  </si>
  <si>
    <t>1.061354</t>
  </si>
  <si>
    <t>10.814800</t>
  </si>
  <si>
    <t>10.968673</t>
  </si>
  <si>
    <t>PSF-01608_20261015120922_5a6</t>
  </si>
  <si>
    <t>45.686604</t>
  </si>
  <si>
    <t>58.236122</t>
  </si>
  <si>
    <t>0.215494</t>
  </si>
  <si>
    <t>20.38</t>
  </si>
  <si>
    <t>33.80</t>
  </si>
  <si>
    <t>34.85</t>
  </si>
  <si>
    <t>45.8</t>
  </si>
  <si>
    <t>70.7</t>
  </si>
  <si>
    <t>624</t>
  </si>
  <si>
    <t>3.662</t>
  </si>
  <si>
    <t>0.691</t>
  </si>
  <si>
    <t>2.467123</t>
  </si>
  <si>
    <t>2.470729</t>
  </si>
  <si>
    <t>1.670384</t>
  </si>
  <si>
    <t>0.687841</t>
  </si>
  <si>
    <t>0.192708</t>
  </si>
  <si>
    <t>0.013198</t>
  </si>
  <si>
    <t>0.294674</t>
  </si>
  <si>
    <t>0.682321</t>
  </si>
  <si>
    <t>47.297714</t>
  </si>
  <si>
    <t>1.084970</t>
  </si>
  <si>
    <t>1.118114</t>
  </si>
  <si>
    <t>11.394354</t>
  </si>
  <si>
    <t>11.056598</t>
  </si>
  <si>
    <t>PSF-01608_20261015120959_c63</t>
  </si>
  <si>
    <t>71.928261</t>
  </si>
  <si>
    <t>126.386047</t>
  </si>
  <si>
    <t>0.430884</t>
  </si>
  <si>
    <t>20.48</t>
  </si>
  <si>
    <t>21.10</t>
  </si>
  <si>
    <t>33.85</t>
  </si>
  <si>
    <t>34.20</t>
  </si>
  <si>
    <t>69.9</t>
  </si>
  <si>
    <t>55.4</t>
  </si>
  <si>
    <t>1609</t>
  </si>
  <si>
    <t>3.660</t>
  </si>
  <si>
    <t>12:09:46</t>
  </si>
  <si>
    <t>0.06</t>
  </si>
  <si>
    <t>-1.838</t>
  </si>
  <si>
    <t>68.410</t>
  </si>
  <si>
    <t>39.637</t>
  </si>
  <si>
    <t>2.468811</t>
  </si>
  <si>
    <t>2.471430</t>
  </si>
  <si>
    <t>1.672182</t>
  </si>
  <si>
    <t>0.736569</t>
  </si>
  <si>
    <t>0.192307</t>
  </si>
  <si>
    <t>0.004834</t>
  </si>
  <si>
    <t>0.298181</t>
  </si>
  <si>
    <t>1.590943</t>
  </si>
  <si>
    <t>72.140335</t>
  </si>
  <si>
    <t>1.132514</t>
  </si>
  <si>
    <t>1.137184</t>
  </si>
  <si>
    <t>11.589665</t>
  </si>
  <si>
    <t>11.542070</t>
  </si>
  <si>
    <t>PSF-01608_20261015121045_959</t>
  </si>
  <si>
    <t>161.492950</t>
  </si>
  <si>
    <t>320.986755</t>
  </si>
  <si>
    <t>0.496886</t>
  </si>
  <si>
    <t>21.19</t>
  </si>
  <si>
    <t>34.00</t>
  </si>
  <si>
    <t>-2.6</t>
  </si>
  <si>
    <t>101.6</t>
  </si>
  <si>
    <t>2066</t>
  </si>
  <si>
    <t>27.894</t>
  </si>
  <si>
    <t>92.381</t>
  </si>
  <si>
    <t>120.134</t>
  </si>
  <si>
    <t>2.469092</t>
  </si>
  <si>
    <t>2.472639</t>
  </si>
  <si>
    <t>1.672966</t>
  </si>
  <si>
    <t>0.595732</t>
  </si>
  <si>
    <t>0.191153</t>
  </si>
  <si>
    <t>-0.014778</t>
  </si>
  <si>
    <t>0.302568</t>
  </si>
  <si>
    <t>2.012235</t>
  </si>
  <si>
    <t>1.267341</t>
  </si>
  <si>
    <t>1.247952</t>
  </si>
  <si>
    <t>12.717819</t>
  </si>
  <si>
    <t>12.915414</t>
  </si>
  <si>
    <t>PSF-01608_20261015121101_eba</t>
  </si>
  <si>
    <t>100.936531</t>
  </si>
  <si>
    <t>374.930634</t>
  </si>
  <si>
    <t>0.730786</t>
  </si>
  <si>
    <t>23.30</t>
  </si>
  <si>
    <t>34.04</t>
  </si>
  <si>
    <t>32.89</t>
  </si>
  <si>
    <t>35.1</t>
  </si>
  <si>
    <t>77.6</t>
  </si>
  <si>
    <t>1852</t>
  </si>
  <si>
    <t>3.659</t>
  </si>
  <si>
    <t>-0.012</t>
  </si>
  <si>
    <t>0.156</t>
  </si>
  <si>
    <t>0.137</t>
  </si>
  <si>
    <t>2.472426</t>
  </si>
  <si>
    <t>2.476808</t>
  </si>
  <si>
    <t>1.672276</t>
  </si>
  <si>
    <t>0.666831</t>
  </si>
  <si>
    <t>0.190860</t>
  </si>
  <si>
    <t>-0.012782</t>
  </si>
  <si>
    <t>0.304006</t>
  </si>
  <si>
    <t>1.814726</t>
  </si>
  <si>
    <t>1.209073</t>
  </si>
  <si>
    <t>1.220416</t>
  </si>
  <si>
    <t>12.437136</t>
  </si>
  <si>
    <t>12.321543</t>
  </si>
  <si>
    <t>PSF-01608_20261015121117_a11</t>
  </si>
  <si>
    <t>0.512481</t>
  </si>
  <si>
    <t>0.715613</t>
  </si>
  <si>
    <t>0.283858</t>
  </si>
  <si>
    <t>22.52</t>
  </si>
  <si>
    <t>22.73</t>
  </si>
  <si>
    <t>34.08</t>
  </si>
  <si>
    <t>33.37</t>
  </si>
  <si>
    <t>0.7</t>
  </si>
  <si>
    <t>99.6</t>
  </si>
  <si>
    <t>1299</t>
  </si>
  <si>
    <t>3.657</t>
  </si>
  <si>
    <t>-0.018</t>
  </si>
  <si>
    <t>2.471496</t>
  </si>
  <si>
    <t>2.474893</t>
  </si>
  <si>
    <t>1.668686</t>
  </si>
  <si>
    <t>0.601750</t>
  </si>
  <si>
    <t>0.190563</t>
  </si>
  <si>
    <t>-0.007636</t>
  </si>
  <si>
    <t>0.305456</t>
  </si>
  <si>
    <t>1.305045</t>
  </si>
  <si>
    <t>0.870930</t>
  </si>
  <si>
    <t>0.964643</t>
  </si>
  <si>
    <t>9.827475</t>
  </si>
  <si>
    <t>8.872757</t>
  </si>
  <si>
    <t>PSF-01608_20261015121416_2d6</t>
  </si>
  <si>
    <t>101.191879</t>
  </si>
  <si>
    <t>380.703461</t>
  </si>
  <si>
    <t>0.734198</t>
  </si>
  <si>
    <t>16.18</t>
  </si>
  <si>
    <t>17.92</t>
  </si>
  <si>
    <t>34.13</t>
  </si>
  <si>
    <t>29.74</t>
  </si>
  <si>
    <t>98.16</t>
  </si>
  <si>
    <t>-6.6</t>
  </si>
  <si>
    <t>104.2</t>
  </si>
  <si>
    <t>52</t>
  </si>
  <si>
    <t>-0.008</t>
  </si>
  <si>
    <t>1.291</t>
  </si>
  <si>
    <t>99.104</t>
  </si>
  <si>
    <t>50.338</t>
  </si>
  <si>
    <t>2.463424</t>
  </si>
  <si>
    <t>2.463926</t>
  </si>
  <si>
    <t>1.670279</t>
  </si>
  <si>
    <t>0.588243</t>
  </si>
  <si>
    <t>0.190190</t>
  </si>
  <si>
    <t>-0.049826</t>
  </si>
  <si>
    <t>0.320769</t>
  </si>
  <si>
    <t>0.154069</t>
  </si>
  <si>
    <t>0.922771</t>
  </si>
  <si>
    <t>0.978790</t>
  </si>
  <si>
    <t>9.971704</t>
  </si>
  <si>
    <t>9.400990</t>
  </si>
  <si>
    <t>PSF-01608_20261015121430_934</t>
  </si>
  <si>
    <t>116.323471</t>
  </si>
  <si>
    <t>410.444153</t>
  </si>
  <si>
    <t>0.716591</t>
  </si>
  <si>
    <t>17.17</t>
  </si>
  <si>
    <t>18.21</t>
  </si>
  <si>
    <t>34.10</t>
  </si>
  <si>
    <t>30.99</t>
  </si>
  <si>
    <t>48.4</t>
  </si>
  <si>
    <t>69.1</t>
  </si>
  <si>
    <t>67</t>
  </si>
  <si>
    <t>3.656</t>
  </si>
  <si>
    <t>0.404</t>
  </si>
  <si>
    <t>2.463927</t>
  </si>
  <si>
    <t>2.465679</t>
  </si>
  <si>
    <t>1.672487</t>
  </si>
  <si>
    <t>0.693029</t>
  </si>
  <si>
    <t>0.190414</t>
  </si>
  <si>
    <t>-0.035323</t>
  </si>
  <si>
    <t>0.321802</t>
  </si>
  <si>
    <t>0.168198</t>
  </si>
  <si>
    <t>0.866082</t>
  </si>
  <si>
    <t>0.930149</t>
  </si>
  <si>
    <t>9.476593</t>
  </si>
  <si>
    <t>8.823866</t>
  </si>
  <si>
    <t>PSF-01608_20261015121445_5fc</t>
  </si>
  <si>
    <t>106.237648</t>
  </si>
  <si>
    <t>407.269470</t>
  </si>
  <si>
    <t>0.739147</t>
  </si>
  <si>
    <t>16.15</t>
  </si>
  <si>
    <t>17.34</t>
  </si>
  <si>
    <t>34.07</t>
  </si>
  <si>
    <t>30.18</t>
  </si>
  <si>
    <t>-16.4</t>
  </si>
  <si>
    <t>3.655</t>
  </si>
  <si>
    <t>0.420</t>
  </si>
  <si>
    <t>2.462443</t>
  </si>
  <si>
    <t>2.463878</t>
  </si>
  <si>
    <t>1.671978</t>
  </si>
  <si>
    <t>0.570480</t>
  </si>
  <si>
    <t>0.190697</t>
  </si>
  <si>
    <t>-0.044023</t>
  </si>
  <si>
    <t>0.322886</t>
  </si>
  <si>
    <t>0.160806</t>
  </si>
  <si>
    <t>0.956655</t>
  </si>
  <si>
    <t>1.001583</t>
  </si>
  <si>
    <t>10.205316</t>
  </si>
  <si>
    <t>9.747534</t>
  </si>
  <si>
    <t>PSF-01608_20261015121615_443</t>
  </si>
  <si>
    <t>138.071899</t>
  </si>
  <si>
    <t>336.154816</t>
  </si>
  <si>
    <t>0.589261</t>
  </si>
  <si>
    <t>18.01</t>
  </si>
  <si>
    <t>18.85</t>
  </si>
  <si>
    <t>33.90</t>
  </si>
  <si>
    <t>31.63</t>
  </si>
  <si>
    <t>24.4</t>
  </si>
  <si>
    <t>84.4</t>
  </si>
  <si>
    <t>127.388</t>
  </si>
  <si>
    <t>65.860</t>
  </si>
  <si>
    <t>32.213</t>
  </si>
  <si>
    <t>2.465029</t>
  </si>
  <si>
    <t>2.467158</t>
  </si>
  <si>
    <t>1.671116</t>
  </si>
  <si>
    <t>0.646282</t>
  </si>
  <si>
    <t>0.191962</t>
  </si>
  <si>
    <t>-0.025520</t>
  </si>
  <si>
    <t>0.329871</t>
  </si>
  <si>
    <t>0.381504</t>
  </si>
  <si>
    <t>0.994622</t>
  </si>
  <si>
    <t>1.008146</t>
  </si>
  <si>
    <t>10.271852</t>
  </si>
  <si>
    <t>10.134051</t>
  </si>
  <si>
    <t>PSF-01608_20261015121636_d17</t>
  </si>
  <si>
    <t>112.639549</t>
  </si>
  <si>
    <t>242.125519</t>
  </si>
  <si>
    <t>0.534789</t>
  </si>
  <si>
    <t>18.74</t>
  </si>
  <si>
    <t>19.00</t>
  </si>
  <si>
    <t>33.88</t>
  </si>
  <si>
    <t>34.5</t>
  </si>
  <si>
    <t>77.9</t>
  </si>
  <si>
    <t>446</t>
  </si>
  <si>
    <t>3.654</t>
  </si>
  <si>
    <t>2.208</t>
  </si>
  <si>
    <t>2.465273</t>
  </si>
  <si>
    <t>2.468438</t>
  </si>
  <si>
    <t>1.669896</t>
  </si>
  <si>
    <t>0.665747</t>
  </si>
  <si>
    <t>0.192102</t>
  </si>
  <si>
    <t>0.331673</t>
  </si>
  <si>
    <t>0.517621</t>
  </si>
  <si>
    <t>0.891652</t>
  </si>
  <si>
    <t>0.948271</t>
  </si>
  <si>
    <t>9.662377</t>
  </si>
  <si>
    <t>9.085466</t>
  </si>
  <si>
    <t>PSF-01608_20261015121647_56f</t>
  </si>
  <si>
    <t>26.043177</t>
  </si>
  <si>
    <t>56.051731</t>
  </si>
  <si>
    <t>0.535372</t>
  </si>
  <si>
    <t>16.81</t>
  </si>
  <si>
    <t>17.88</t>
  </si>
  <si>
    <t>33.87</t>
  </si>
  <si>
    <t>-20.8</t>
  </si>
  <si>
    <t>113.3</t>
  </si>
  <si>
    <t>125</t>
  </si>
  <si>
    <t>2.463368</t>
  </si>
  <si>
    <t>2.465056</t>
  </si>
  <si>
    <t>1.672281</t>
  </si>
  <si>
    <t>0.562440</t>
  </si>
  <si>
    <t>0.192169</t>
  </si>
  <si>
    <t>-0.024814</t>
  </si>
  <si>
    <t>0.332540</t>
  </si>
  <si>
    <t>0.221467</t>
  </si>
  <si>
    <t>25.544285</t>
  </si>
  <si>
    <t>0.914684</t>
  </si>
  <si>
    <t>0.974374</t>
  </si>
  <si>
    <t>9.928793</t>
  </si>
  <si>
    <t>9.320550</t>
  </si>
  <si>
    <t>PSF-01608_20261015121715_0c9</t>
  </si>
  <si>
    <t>96.518036</t>
  </si>
  <si>
    <t>136.857391</t>
  </si>
  <si>
    <t>0.294755</t>
  </si>
  <si>
    <t>17.27</t>
  </si>
  <si>
    <t>18.40</t>
  </si>
  <si>
    <t>33.84</t>
  </si>
  <si>
    <t>-5.9</t>
  </si>
  <si>
    <t>103.8</t>
  </si>
  <si>
    <t>429</t>
  </si>
  <si>
    <t>3.653</t>
  </si>
  <si>
    <t>84.004</t>
  </si>
  <si>
    <t>52.289</t>
  </si>
  <si>
    <t>26.482</t>
  </si>
  <si>
    <t>2.464258</t>
  </si>
  <si>
    <t>2.465869</t>
  </si>
  <si>
    <t>1.669820</t>
  </si>
  <si>
    <t>0.589637</t>
  </si>
  <si>
    <t>0.192375</t>
  </si>
  <si>
    <t>-0.017208</t>
  </si>
  <si>
    <t>0.334828</t>
  </si>
  <si>
    <t>0.502465</t>
  </si>
  <si>
    <t>0.974577</t>
  </si>
  <si>
    <t>0.986595</t>
  </si>
  <si>
    <t>10.052939</t>
  </si>
  <si>
    <t>9.930472</t>
  </si>
  <si>
    <t>PSF-01608_20261015121726_d4b</t>
  </si>
  <si>
    <t>97.013000</t>
  </si>
  <si>
    <t>134.116882</t>
  </si>
  <si>
    <t>0.276653</t>
  </si>
  <si>
    <t>18.42</t>
  </si>
  <si>
    <t>18.65</t>
  </si>
  <si>
    <t>33.83</t>
  </si>
  <si>
    <t>32.10</t>
  </si>
  <si>
    <t>72.6</t>
  </si>
  <si>
    <t>53.6</t>
  </si>
  <si>
    <t>470</t>
  </si>
  <si>
    <t>0.690</t>
  </si>
  <si>
    <t>2.464680</t>
  </si>
  <si>
    <t>2.467877</t>
  </si>
  <si>
    <t>1.670872</t>
  </si>
  <si>
    <t>0.742218</t>
  </si>
  <si>
    <t>0.192494</t>
  </si>
  <si>
    <t>-0.019346</t>
  </si>
  <si>
    <t>0.335792</t>
  </si>
  <si>
    <t>0.539758</t>
  </si>
  <si>
    <t>0.934023</t>
  </si>
  <si>
    <t>0.949818</t>
  </si>
  <si>
    <t>9.678666</t>
  </si>
  <si>
    <t>9.517711</t>
  </si>
  <si>
    <t>PSF-01608_20261015121738_ae0</t>
  </si>
  <si>
    <t>98.842979</t>
  </si>
  <si>
    <t>215.984695</t>
  </si>
  <si>
    <t>0.542361</t>
  </si>
  <si>
    <t>17.67</t>
  </si>
  <si>
    <t>17.97</t>
  </si>
  <si>
    <t>33.81</t>
  </si>
  <si>
    <t>31.82</t>
  </si>
  <si>
    <t>33.7</t>
  </si>
  <si>
    <t>78.5</t>
  </si>
  <si>
    <t>55</t>
  </si>
  <si>
    <t>3.651</t>
  </si>
  <si>
    <t>1.468</t>
  </si>
  <si>
    <t>2.463524</t>
  </si>
  <si>
    <t>2.466568</t>
  </si>
  <si>
    <t>1.670952</t>
  </si>
  <si>
    <t>0.664170</t>
  </si>
  <si>
    <t>0.192619</t>
  </si>
  <si>
    <t>-0.022363</t>
  </si>
  <si>
    <t>0.336732</t>
  </si>
  <si>
    <t>0.157190</t>
  </si>
  <si>
    <t>0.847091</t>
  </si>
  <si>
    <t>0.913275</t>
  </si>
  <si>
    <t>9.306716</t>
  </si>
  <si>
    <t>8.632266</t>
  </si>
  <si>
    <t>PSF-01608_20261015121914_533</t>
  </si>
  <si>
    <t>100.959778</t>
  </si>
  <si>
    <t>373.882050</t>
  </si>
  <si>
    <t>0.729969</t>
  </si>
  <si>
    <t>16.12</t>
  </si>
  <si>
    <t>17.38</t>
  </si>
  <si>
    <t>33.71</t>
  </si>
  <si>
    <t>30.60</t>
  </si>
  <si>
    <t>28.7</t>
  </si>
  <si>
    <t>81.7</t>
  </si>
  <si>
    <t>96.129</t>
  </si>
  <si>
    <t>52.182</t>
  </si>
  <si>
    <t>26.090</t>
  </si>
  <si>
    <t>2.462516</t>
  </si>
  <si>
    <t>2.463835</t>
  </si>
  <si>
    <t>1.672053</t>
  </si>
  <si>
    <t>0.654470</t>
  </si>
  <si>
    <t>0.193395</t>
  </si>
  <si>
    <t>-0.035064</t>
  </si>
  <si>
    <t>0.344283</t>
  </si>
  <si>
    <t>0.176491</t>
  </si>
  <si>
    <t>0.835819</t>
  </si>
  <si>
    <t>0.904052</t>
  </si>
  <si>
    <t>9.212959</t>
  </si>
  <si>
    <t>8.517613</t>
  </si>
  <si>
    <t>PSF-01608_20261015121941_863</t>
  </si>
  <si>
    <t>123.900894</t>
  </si>
  <si>
    <t>445.402618</t>
  </si>
  <si>
    <t>0.721823</t>
  </si>
  <si>
    <t>15.93</t>
  </si>
  <si>
    <t>17.23</t>
  </si>
  <si>
    <t>33.67</t>
  </si>
  <si>
    <t>67.5</t>
  </si>
  <si>
    <t>56.9</t>
  </si>
  <si>
    <t>3.650</t>
  </si>
  <si>
    <t>0.357</t>
  </si>
  <si>
    <t>2.462274</t>
  </si>
  <si>
    <t>2.463510</t>
  </si>
  <si>
    <t>1.670778</t>
  </si>
  <si>
    <t>0.731578</t>
  </si>
  <si>
    <t>0.193658</t>
  </si>
  <si>
    <t>-0.025658</t>
  </si>
  <si>
    <t>0.346310</t>
  </si>
  <si>
    <t>0.145371</t>
  </si>
  <si>
    <t>0.879717</t>
  </si>
  <si>
    <t>0.892167</t>
  </si>
  <si>
    <t>9.092723</t>
  </si>
  <si>
    <t>8.965838</t>
  </si>
  <si>
    <t>PSF-01608_20261015122007_824</t>
  </si>
  <si>
    <t>136.583801</t>
  </si>
  <si>
    <t>431.050293</t>
  </si>
  <si>
    <t>0.683137</t>
  </si>
  <si>
    <t>16.80</t>
  </si>
  <si>
    <t>17.04</t>
  </si>
  <si>
    <t>33.64</t>
  </si>
  <si>
    <t>-9.6</t>
  </si>
  <si>
    <t>106.1</t>
  </si>
  <si>
    <t>12:20:02</t>
  </si>
  <si>
    <t>0.92</t>
  </si>
  <si>
    <t>102.137</t>
  </si>
  <si>
    <t>51.309</t>
  </si>
  <si>
    <t>2.461944</t>
  </si>
  <si>
    <t>2.463521</t>
  </si>
  <si>
    <t>1.670110</t>
  </si>
  <si>
    <t>0.582848</t>
  </si>
  <si>
    <t>0.193927</t>
  </si>
  <si>
    <t>-0.033205</t>
  </si>
  <si>
    <t>0.348351</t>
  </si>
  <si>
    <t>0.161402</t>
  </si>
  <si>
    <t>0.951760</t>
  </si>
  <si>
    <t>0.939938</t>
  </si>
  <si>
    <t>9.579283</t>
  </si>
  <si>
    <t>9.699762</t>
  </si>
  <si>
    <t>PSF-01608_20261015122039_b25</t>
  </si>
  <si>
    <t>60.655476</t>
  </si>
  <si>
    <t>195.261963</t>
  </si>
  <si>
    <t>0.689364</t>
  </si>
  <si>
    <t>17.98</t>
  </si>
  <si>
    <t>33.61</t>
  </si>
  <si>
    <t>73.3</t>
  </si>
  <si>
    <t>53.2</t>
  </si>
  <si>
    <t>3.649</t>
  </si>
  <si>
    <t>0.062</t>
  </si>
  <si>
    <t>2.463562</t>
  </si>
  <si>
    <t>2.466009</t>
  </si>
  <si>
    <t>0.743606</t>
  </si>
  <si>
    <t>0.194148</t>
  </si>
  <si>
    <t>-0.022016</t>
  </si>
  <si>
    <t>0.350975</t>
  </si>
  <si>
    <t>0.137921</t>
  </si>
  <si>
    <t>1.020826</t>
  </si>
  <si>
    <t>0.991598</t>
  </si>
  <si>
    <t>10.105613</t>
  </si>
  <si>
    <t>10.403481</t>
  </si>
  <si>
    <t>PSF-01608_20261015122122_e03</t>
  </si>
  <si>
    <t>93.701004</t>
  </si>
  <si>
    <t>251.957779</t>
  </si>
  <si>
    <t>0.628108</t>
  </si>
  <si>
    <t>19.59</t>
  </si>
  <si>
    <t>19.02</t>
  </si>
  <si>
    <t>56.0</t>
  </si>
  <si>
    <t>64.2</t>
  </si>
  <si>
    <t>3.648</t>
  </si>
  <si>
    <t>1.181</t>
  </si>
  <si>
    <t>2.465338</t>
  </si>
  <si>
    <t>2.468416</t>
  </si>
  <si>
    <t>1.671195</t>
  </si>
  <si>
    <t>0.708239</t>
  </si>
  <si>
    <t>0.194523</t>
  </si>
  <si>
    <t>-0.021084</t>
  </si>
  <si>
    <t>0.354390</t>
  </si>
  <si>
    <t>0.143773</t>
  </si>
  <si>
    <t>92.581985</t>
  </si>
  <si>
    <t>1.021866</t>
  </si>
  <si>
    <t>0.992207</t>
  </si>
  <si>
    <t>10.110706</t>
  </si>
  <si>
    <t>10.412943</t>
  </si>
  <si>
    <t>PSF-01608_20261015122133_051</t>
  </si>
  <si>
    <t>109.577896</t>
  </si>
  <si>
    <t>385.855438</t>
  </si>
  <si>
    <t>0.716013</t>
  </si>
  <si>
    <t>19.05</t>
  </si>
  <si>
    <t>33.54</t>
  </si>
  <si>
    <t>31.85</t>
  </si>
  <si>
    <t>112.3</t>
  </si>
  <si>
    <t>28.2</t>
  </si>
  <si>
    <t>-1.404</t>
  </si>
  <si>
    <t>2.465382</t>
  </si>
  <si>
    <t>2.468477</t>
  </si>
  <si>
    <t>1.669831</t>
  </si>
  <si>
    <t>0.828476</t>
  </si>
  <si>
    <t>0.194623</t>
  </si>
  <si>
    <t>-0.018837</t>
  </si>
  <si>
    <t>0.355222</t>
  </si>
  <si>
    <t>0.139654</t>
  </si>
  <si>
    <t>0.963057</t>
  </si>
  <si>
    <t>0.941390</t>
  </si>
  <si>
    <t>9.593028</t>
  </si>
  <si>
    <t>9.813819</t>
  </si>
  <si>
    <t>PSF-01608_20261015122146_ecc</t>
  </si>
  <si>
    <t>119.230629</t>
  </si>
  <si>
    <t>397.209412</t>
  </si>
  <si>
    <t>0.699829</t>
  </si>
  <si>
    <t>18.09</t>
  </si>
  <si>
    <t>33.53</t>
  </si>
  <si>
    <t>74.6</t>
  </si>
  <si>
    <t>52.3</t>
  </si>
  <si>
    <t>3.647</t>
  </si>
  <si>
    <t>0.221</t>
  </si>
  <si>
    <t>2.463752</t>
  </si>
  <si>
    <t>2.466537</t>
  </si>
  <si>
    <t>1.670458</t>
  </si>
  <si>
    <t>0.746467</t>
  </si>
  <si>
    <t>0.194752</t>
  </si>
  <si>
    <t>-0.018689</t>
  </si>
  <si>
    <t>0.356208</t>
  </si>
  <si>
    <t>0.127285</t>
  </si>
  <si>
    <t>0.986967</t>
  </si>
  <si>
    <t>0.962431</t>
  </si>
  <si>
    <t>9.807585</t>
  </si>
  <si>
    <t>10.057621</t>
  </si>
  <si>
    <t>PSF-01608_20261015122306_b23</t>
  </si>
  <si>
    <t>75.027107</t>
  </si>
  <si>
    <t>177.344803</t>
  </si>
  <si>
    <t>0.576942</t>
  </si>
  <si>
    <t>18.57</t>
  </si>
  <si>
    <t>33.46</t>
  </si>
  <si>
    <t>32.37</t>
  </si>
  <si>
    <t>23.9</t>
  </si>
  <si>
    <t>84.7</t>
  </si>
  <si>
    <t>3.645</t>
  </si>
  <si>
    <t>9.907</t>
  </si>
  <si>
    <t>68.677</t>
  </si>
  <si>
    <t>34.479</t>
  </si>
  <si>
    <t>2.464566</t>
  </si>
  <si>
    <t>2.467472</t>
  </si>
  <si>
    <t>1.670135</t>
  </si>
  <si>
    <t>0.645314</t>
  </si>
  <si>
    <t>0.195269</t>
  </si>
  <si>
    <t>-0.011875</t>
  </si>
  <si>
    <t>0.362968</t>
  </si>
  <si>
    <t>0.147029</t>
  </si>
  <si>
    <t>0.915528</t>
  </si>
  <si>
    <t>0.937600</t>
  </si>
  <si>
    <t>9.554821</t>
  </si>
  <si>
    <t>9.329887</t>
  </si>
  <si>
    <t>PSF-01608_20261015122332_563</t>
  </si>
  <si>
    <t>112.651352</t>
  </si>
  <si>
    <t>350.725281</t>
  </si>
  <si>
    <t>0.678805</t>
  </si>
  <si>
    <t>18.10</t>
  </si>
  <si>
    <t>31.55</t>
  </si>
  <si>
    <t>6.0</t>
  </si>
  <si>
    <t>96.1</t>
  </si>
  <si>
    <t>3.646</t>
  </si>
  <si>
    <t>-0.890</t>
  </si>
  <si>
    <t>2.463770</t>
  </si>
  <si>
    <t>2.465072</t>
  </si>
  <si>
    <t>1.670032</t>
  </si>
  <si>
    <t>0.611668</t>
  </si>
  <si>
    <t>0.195360</t>
  </si>
  <si>
    <t>-0.021191</t>
  </si>
  <si>
    <t>0.365283</t>
  </si>
  <si>
    <t>0.150025</t>
  </si>
  <si>
    <t>1.031407</t>
  </si>
  <si>
    <t>0.992105</t>
  </si>
  <si>
    <t>10.110028</t>
  </si>
  <si>
    <t>10.510534</t>
  </si>
  <si>
    <t>PSF-01608_20261015122343_c1b</t>
  </si>
  <si>
    <t>92.001198</t>
  </si>
  <si>
    <t>223.591095</t>
  </si>
  <si>
    <t>0.588529</t>
  </si>
  <si>
    <t>19.91</t>
  </si>
  <si>
    <t>19.16</t>
  </si>
  <si>
    <t>33.44</t>
  </si>
  <si>
    <t>31.74</t>
  </si>
  <si>
    <t>52.4</t>
  </si>
  <si>
    <t>0.529</t>
  </si>
  <si>
    <t>2.465568</t>
  </si>
  <si>
    <t>2.468996</t>
  </si>
  <si>
    <t>1.672128</t>
  </si>
  <si>
    <t>0.746310</t>
  </si>
  <si>
    <t>0.195392</t>
  </si>
  <si>
    <t>-0.018958</t>
  </si>
  <si>
    <t>0.366197</t>
  </si>
  <si>
    <t>0.132929</t>
  </si>
  <si>
    <t>91.563103</t>
  </si>
  <si>
    <t>0.900347</t>
  </si>
  <si>
    <t>0.906836</t>
  </si>
  <si>
    <t>9.240633</t>
  </si>
  <si>
    <t>9.174510</t>
  </si>
  <si>
    <t>PSF-01608_20261015122518_2c4</t>
  </si>
  <si>
    <t>123.613716</t>
  </si>
  <si>
    <t>318.726532</t>
  </si>
  <si>
    <t>0.612164</t>
  </si>
  <si>
    <t>17.42</t>
  </si>
  <si>
    <t>17.55</t>
  </si>
  <si>
    <t>33.41</t>
  </si>
  <si>
    <t>32.44</t>
  </si>
  <si>
    <t>98.7</t>
  </si>
  <si>
    <t>1.271</t>
  </si>
  <si>
    <t>2.462824</t>
  </si>
  <si>
    <t>2.464626</t>
  </si>
  <si>
    <t>1.671396</t>
  </si>
  <si>
    <t>0.604292</t>
  </si>
  <si>
    <t>0.195673</t>
  </si>
  <si>
    <t>-0.010421</t>
  </si>
  <si>
    <t>0.374432</t>
  </si>
  <si>
    <t>0.168034</t>
  </si>
  <si>
    <t>0.886979</t>
  </si>
  <si>
    <t>0.884194</t>
  </si>
  <si>
    <t>9.009013</t>
  </si>
  <si>
    <t>9.037385</t>
  </si>
  <si>
    <t>PSF-01608_20261015122537_d7d</t>
  </si>
  <si>
    <t>100.282433</t>
  </si>
  <si>
    <t>172.263977</t>
  </si>
  <si>
    <t>0.417856</t>
  </si>
  <si>
    <t>17.19</t>
  </si>
  <si>
    <t>17.13</t>
  </si>
  <si>
    <t>33.38</t>
  </si>
  <si>
    <t>31.89</t>
  </si>
  <si>
    <t>40.2</t>
  </si>
  <si>
    <t>102</t>
  </si>
  <si>
    <t>1.475</t>
  </si>
  <si>
    <t>2.462111</t>
  </si>
  <si>
    <t>2.464211</t>
  </si>
  <si>
    <t>1.669875</t>
  </si>
  <si>
    <t>0.676899</t>
  </si>
  <si>
    <t>0.195860</t>
  </si>
  <si>
    <t>-0.016549</t>
  </si>
  <si>
    <t>0.376048</t>
  </si>
  <si>
    <t>0.200459</t>
  </si>
  <si>
    <t>0.876245</t>
  </si>
  <si>
    <t>0.881688</t>
  </si>
  <si>
    <t>8.983155</t>
  </si>
  <si>
    <t>8.927707</t>
  </si>
  <si>
    <t>PSF-01608_20261015122551_923</t>
  </si>
  <si>
    <t>132.421371</t>
  </si>
  <si>
    <t>478.536835</t>
  </si>
  <si>
    <t>0.723279</t>
  </si>
  <si>
    <t>17.00</t>
  </si>
  <si>
    <t>17.10</t>
  </si>
  <si>
    <t>33.36</t>
  </si>
  <si>
    <t>32.13</t>
  </si>
  <si>
    <t>84.9</t>
  </si>
  <si>
    <t>45.7</t>
  </si>
  <si>
    <t>3.641</t>
  </si>
  <si>
    <t>-1.382</t>
  </si>
  <si>
    <t>2.462064</t>
  </si>
  <si>
    <t>2.463879</t>
  </si>
  <si>
    <t>1.670584</t>
  </si>
  <si>
    <t>0.768190</t>
  </si>
  <si>
    <t>0.196025</t>
  </si>
  <si>
    <t>-0.013556</t>
  </si>
  <si>
    <t>0.377190</t>
  </si>
  <si>
    <t>0.119711</t>
  </si>
  <si>
    <t>0.926102</t>
  </si>
  <si>
    <t>0.925573</t>
  </si>
  <si>
    <t>9.430746</t>
  </si>
  <si>
    <t>9.436135</t>
  </si>
  <si>
    <t>PSF-01608_20261015122901_99b</t>
  </si>
  <si>
    <t>41.406155</t>
  </si>
  <si>
    <t>71.279526</t>
  </si>
  <si>
    <t>0.419102</t>
  </si>
  <si>
    <t>18.26</t>
  </si>
  <si>
    <t>18.25</t>
  </si>
  <si>
    <t>33.07</t>
  </si>
  <si>
    <t>29.79</t>
  </si>
  <si>
    <t>-20.1</t>
  </si>
  <si>
    <t>112.8</t>
  </si>
  <si>
    <t>0.297</t>
  </si>
  <si>
    <t>2.464044</t>
  </si>
  <si>
    <t>2.466121</t>
  </si>
  <si>
    <t>1.671683</t>
  </si>
  <si>
    <t>0.563678</t>
  </si>
  <si>
    <t>0.198245</t>
  </si>
  <si>
    <t>-0.036842</t>
  </si>
  <si>
    <t>0.391873</t>
  </si>
  <si>
    <t>0.320091</t>
  </si>
  <si>
    <t>0.905952</t>
  </si>
  <si>
    <t>0.892874</t>
  </si>
  <si>
    <t>9.097725</t>
  </si>
  <si>
    <t>9.230981</t>
  </si>
  <si>
    <t>PSF-01608_20261015122923_ef6</t>
  </si>
  <si>
    <t>86.153625</t>
  </si>
  <si>
    <t>177.064423</t>
  </si>
  <si>
    <t>0.513433</t>
  </si>
  <si>
    <t>17.89</t>
  </si>
  <si>
    <t>17.64</t>
  </si>
  <si>
    <t>33.04</t>
  </si>
  <si>
    <t>31.34</t>
  </si>
  <si>
    <t>83.7</t>
  </si>
  <si>
    <t>46.5</t>
  </si>
  <si>
    <t>0.662</t>
  </si>
  <si>
    <t>2.463000</t>
  </si>
  <si>
    <t>2.465483</t>
  </si>
  <si>
    <t>1.671037</t>
  </si>
  <si>
    <t>0.765560</t>
  </si>
  <si>
    <t>0.198511</t>
  </si>
  <si>
    <t>-0.018782</t>
  </si>
  <si>
    <t>0.393522</t>
  </si>
  <si>
    <t>0.130618</t>
  </si>
  <si>
    <t>0.887002</t>
  </si>
  <si>
    <t>0.880082</t>
  </si>
  <si>
    <t>8.968917</t>
  </si>
  <si>
    <t>9.039444</t>
  </si>
  <si>
    <t>PSF-01608_20261015122934_c47</t>
  </si>
  <si>
    <t>87.439301</t>
  </si>
  <si>
    <t>196.311600</t>
  </si>
  <si>
    <t>0.554589</t>
  </si>
  <si>
    <t>17.54</t>
  </si>
  <si>
    <t>17.40</t>
  </si>
  <si>
    <t>33.02</t>
  </si>
  <si>
    <t>111.2</t>
  </si>
  <si>
    <t>3.640</t>
  </si>
  <si>
    <t>0.907</t>
  </si>
  <si>
    <t>2.462602</t>
  </si>
  <si>
    <t>2.464859</t>
  </si>
  <si>
    <t>1.670455</t>
  </si>
  <si>
    <t>0.826045</t>
  </si>
  <si>
    <t>0.198676</t>
  </si>
  <si>
    <t>-0.018402</t>
  </si>
  <si>
    <t>0.394243</t>
  </si>
  <si>
    <t>0.125398</t>
  </si>
  <si>
    <t>0.820948</t>
  </si>
  <si>
    <t>0.843753</t>
  </si>
  <si>
    <t>8.599433</t>
  </si>
  <si>
    <t>8.367009</t>
  </si>
  <si>
    <t>PSF-01608_20261015123028_1b6</t>
  </si>
  <si>
    <t>101.456879</t>
  </si>
  <si>
    <t>318.730835</t>
  </si>
  <si>
    <t>0.681685</t>
  </si>
  <si>
    <t>16.33</t>
  </si>
  <si>
    <t>16.78</t>
  </si>
  <si>
    <t>32.91</t>
  </si>
  <si>
    <t>12:30:24</t>
  </si>
  <si>
    <t>0.59</t>
  </si>
  <si>
    <t>100.655</t>
  </si>
  <si>
    <t>50.497</t>
  </si>
  <si>
    <t>24.410</t>
  </si>
  <si>
    <t>2.461534</t>
  </si>
  <si>
    <t>2.463294</t>
  </si>
  <si>
    <t>1.670963</t>
  </si>
  <si>
    <t>0.645340</t>
  </si>
  <si>
    <t>0.199478</t>
  </si>
  <si>
    <t>-0.034679</t>
  </si>
  <si>
    <t>0.398432</t>
  </si>
  <si>
    <t>0.123860</t>
  </si>
  <si>
    <t>101.814148</t>
  </si>
  <si>
    <t>0.861922</t>
  </si>
  <si>
    <t>0.861898</t>
  </si>
  <si>
    <t>8.784523</t>
  </si>
  <si>
    <t>8.784770</t>
  </si>
  <si>
    <t>PSF-01608_20261015123048_eb5</t>
  </si>
  <si>
    <t>144.012100</t>
  </si>
  <si>
    <t>303.758728</t>
  </si>
  <si>
    <t>0.525900</t>
  </si>
  <si>
    <t>32.88</t>
  </si>
  <si>
    <t>30.65</t>
  </si>
  <si>
    <t>49.4</t>
  </si>
  <si>
    <t>68.4</t>
  </si>
  <si>
    <t>3.639</t>
  </si>
  <si>
    <t>-11.348</t>
  </si>
  <si>
    <t>2.462212</t>
  </si>
  <si>
    <t>2.464799</t>
  </si>
  <si>
    <t>1.670896</t>
  </si>
  <si>
    <t>0.695078</t>
  </si>
  <si>
    <t>0.199723</t>
  </si>
  <si>
    <t>-0.024902</t>
  </si>
  <si>
    <t>0.399942</t>
  </si>
  <si>
    <t>0.140858</t>
  </si>
  <si>
    <t>0.843882</t>
  </si>
  <si>
    <t>0.855406</t>
  </si>
  <si>
    <t>8.718538</t>
  </si>
  <si>
    <t>8.601076</t>
  </si>
  <si>
    <t>PSF-01608_20261015123101_608</t>
  </si>
  <si>
    <t>116.440773</t>
  </si>
  <si>
    <t>452.702515</t>
  </si>
  <si>
    <t>0.742787</t>
  </si>
  <si>
    <t>16.84</t>
  </si>
  <si>
    <t>17.07</t>
  </si>
  <si>
    <t>30.96</t>
  </si>
  <si>
    <t>62.3</t>
  </si>
  <si>
    <t>3.635</t>
  </si>
  <si>
    <t>10.349</t>
  </si>
  <si>
    <t>2.462031</t>
  </si>
  <si>
    <t>2.464204</t>
  </si>
  <si>
    <t>1.672736</t>
  </si>
  <si>
    <t>0.720903</t>
  </si>
  <si>
    <t>0.199916</t>
  </si>
  <si>
    <t>-0.021070</t>
  </si>
  <si>
    <t>0.400805</t>
  </si>
  <si>
    <t>0.124126</t>
  </si>
  <si>
    <t>0.899523</t>
  </si>
  <si>
    <t>0.897173</t>
  </si>
  <si>
    <t>9.164015</t>
  </si>
  <si>
    <t>9.188022</t>
  </si>
  <si>
    <t>PSF-01608_20261015131445_82f</t>
  </si>
  <si>
    <t>49.685242</t>
  </si>
  <si>
    <t>53.761124</t>
  </si>
  <si>
    <t>0.075815</t>
  </si>
  <si>
    <t>19.65</t>
  </si>
  <si>
    <t>31.26</t>
  </si>
  <si>
    <t>31.46</t>
  </si>
  <si>
    <t>97.90</t>
  </si>
  <si>
    <t>18.0</t>
  </si>
  <si>
    <t>3.633</t>
  </si>
  <si>
    <t>13:09:56</t>
  </si>
  <si>
    <t>0.02</t>
  </si>
  <si>
    <t>0.161</t>
  </si>
  <si>
    <t>0.306</t>
  </si>
  <si>
    <t>47.999</t>
  </si>
  <si>
    <t>2.466449</t>
  </si>
  <si>
    <t>2.470236</t>
  </si>
  <si>
    <t>1.670980</t>
  </si>
  <si>
    <t>0.634156</t>
  </si>
  <si>
    <t>0.212835</t>
  </si>
  <si>
    <t>0.003082</t>
  </si>
  <si>
    <t>0.147467</t>
  </si>
  <si>
    <t>0.354204</t>
  </si>
  <si>
    <t>49.428104</t>
  </si>
  <si>
    <t>0.957249</t>
  </si>
  <si>
    <t>0.970887</t>
  </si>
  <si>
    <t>9.917185</t>
  </si>
  <si>
    <t>9.777877</t>
  </si>
  <si>
    <t>PSF-01608_20261015131538_788</t>
  </si>
  <si>
    <t>44.728161</t>
  </si>
  <si>
    <t>119.003174</t>
  </si>
  <si>
    <t>0.624143</t>
  </si>
  <si>
    <t>20.61</t>
  </si>
  <si>
    <t>31.51</t>
  </si>
  <si>
    <t>31.27</t>
  </si>
  <si>
    <t>-6.2</t>
  </si>
  <si>
    <t>104.0</t>
  </si>
  <si>
    <t>3.632</t>
  </si>
  <si>
    <t>-1.782</t>
  </si>
  <si>
    <t>-37.842</t>
  </si>
  <si>
    <t>28.535</t>
  </si>
  <si>
    <t>2.468646</t>
  </si>
  <si>
    <t>2.471890</t>
  </si>
  <si>
    <t>1.670287</t>
  </si>
  <si>
    <t>0.588994</t>
  </si>
  <si>
    <t>0.210760</t>
  </si>
  <si>
    <t>-0.001940</t>
  </si>
  <si>
    <t>0.154277</t>
  </si>
  <si>
    <t>0.362808</t>
  </si>
  <si>
    <t>0.905970</t>
  </si>
  <si>
    <t>0.920151</t>
  </si>
  <si>
    <t>9.398761</t>
  </si>
  <si>
    <t>9.253912</t>
  </si>
  <si>
    <t>PSF-01608_20261015131610_4d9</t>
  </si>
  <si>
    <t>5.189538</t>
  </si>
  <si>
    <t>11.150837</t>
  </si>
  <si>
    <t>0.534606</t>
  </si>
  <si>
    <t>19.35</t>
  </si>
  <si>
    <t>31.50</t>
  </si>
  <si>
    <t>-21.0</t>
  </si>
  <si>
    <t>113.4</t>
  </si>
  <si>
    <t>109</t>
  </si>
  <si>
    <t>3.627</t>
  </si>
  <si>
    <t>0.095</t>
  </si>
  <si>
    <t>4.040</t>
  </si>
  <si>
    <t>2.466519</t>
  </si>
  <si>
    <t>2.469695</t>
  </si>
  <si>
    <t>1.670919</t>
  </si>
  <si>
    <t>0.562065</t>
  </si>
  <si>
    <t>0.209563</t>
  </si>
  <si>
    <t>-0.000961</t>
  </si>
  <si>
    <t>0.158345</t>
  </si>
  <si>
    <t>0.206996</t>
  </si>
  <si>
    <t>0.811414</t>
  </si>
  <si>
    <t>0.828358</t>
  </si>
  <si>
    <t>8.460405</t>
  </si>
  <si>
    <t>8.287346</t>
  </si>
  <si>
    <t>PSF-01608_20261015132216_dc8</t>
  </si>
  <si>
    <t>91.415047</t>
  </si>
  <si>
    <t>245.659592</t>
  </si>
  <si>
    <t>0.627879</t>
  </si>
  <si>
    <t>16.58</t>
  </si>
  <si>
    <t>16.93</t>
  </si>
  <si>
    <t>32.43</t>
  </si>
  <si>
    <t>30.66</t>
  </si>
  <si>
    <t>97.91</t>
  </si>
  <si>
    <t>14.4</t>
  </si>
  <si>
    <t>90.8</t>
  </si>
  <si>
    <t>3.625</t>
  </si>
  <si>
    <t>13:22:00</t>
  </si>
  <si>
    <t>0.82</t>
  </si>
  <si>
    <t>0.830</t>
  </si>
  <si>
    <t>1.574</t>
  </si>
  <si>
    <t>87.705</t>
  </si>
  <si>
    <t>2.461809</t>
  </si>
  <si>
    <t>2.463367</t>
  </si>
  <si>
    <t>1.672633</t>
  </si>
  <si>
    <t>0.627246</t>
  </si>
  <si>
    <t>0.203252</t>
  </si>
  <si>
    <t>-0.019612</t>
  </si>
  <si>
    <t>0.201859</t>
  </si>
  <si>
    <t>0.152527</t>
  </si>
  <si>
    <t>0.837304</t>
  </si>
  <si>
    <t>0.844029</t>
  </si>
  <si>
    <t>8.622619</t>
  </si>
  <si>
    <t>8.553913</t>
  </si>
  <si>
    <t>PSF-01608_20261015132248_b81</t>
  </si>
  <si>
    <t>123.378754</t>
  </si>
  <si>
    <t>371.740570</t>
  </si>
  <si>
    <t>0.668105</t>
  </si>
  <si>
    <t>32.42</t>
  </si>
  <si>
    <t>97.89</t>
  </si>
  <si>
    <t>0.490</t>
  </si>
  <si>
    <t>0.784</t>
  </si>
  <si>
    <t>57.426</t>
  </si>
  <si>
    <t>2.462394</t>
  </si>
  <si>
    <t>2.464343</t>
  </si>
  <si>
    <t>1.670725</t>
  </si>
  <si>
    <t>0.688339</t>
  </si>
  <si>
    <t>0.203399</t>
  </si>
  <si>
    <t>-0.011613</t>
  </si>
  <si>
    <t>0.205271</t>
  </si>
  <si>
    <t>0.154650</t>
  </si>
  <si>
    <t>123.199226</t>
  </si>
  <si>
    <t>0.840326</t>
  </si>
  <si>
    <t>0.842478</t>
  </si>
  <si>
    <t>8.607082</t>
  </si>
  <si>
    <t>8.585090</t>
  </si>
  <si>
    <t>PSF-01608_20261015132326_715</t>
  </si>
  <si>
    <t>28.270840</t>
  </si>
  <si>
    <t>79.383018</t>
  </si>
  <si>
    <t>0.643868</t>
  </si>
  <si>
    <t>32.38</t>
  </si>
  <si>
    <t>97.88</t>
  </si>
  <si>
    <t>91.9</t>
  </si>
  <si>
    <t>41.3</t>
  </si>
  <si>
    <t>3.624</t>
  </si>
  <si>
    <t>-1.369</t>
  </si>
  <si>
    <t>-0.949</t>
  </si>
  <si>
    <t>2.462404</t>
  </si>
  <si>
    <t>2.464519</t>
  </si>
  <si>
    <t>1.671668</t>
  </si>
  <si>
    <t>0.783221</t>
  </si>
  <si>
    <t>0.203694</t>
  </si>
  <si>
    <t>-0.005965</t>
  </si>
  <si>
    <t>0.209226</t>
  </si>
  <si>
    <t>0.155292</t>
  </si>
  <si>
    <t>0.837087</t>
  </si>
  <si>
    <t>0.849843</t>
  </si>
  <si>
    <t>8.683607</t>
  </si>
  <si>
    <t>8.553270</t>
  </si>
  <si>
    <t>PSF-01608_20261015132431_287</t>
  </si>
  <si>
    <t>59.471012</t>
  </si>
  <si>
    <t>167.815811</t>
  </si>
  <si>
    <t>0.645617</t>
  </si>
  <si>
    <t>17.43</t>
  </si>
  <si>
    <t>32.36</t>
  </si>
  <si>
    <t>19.81</t>
  </si>
  <si>
    <t>97.87</t>
  </si>
  <si>
    <t>-19.8</t>
  </si>
  <si>
    <t>112.6</t>
  </si>
  <si>
    <t>68</t>
  </si>
  <si>
    <t>3.591</t>
  </si>
  <si>
    <t>1.239</t>
  </si>
  <si>
    <t>1.088</t>
  </si>
  <si>
    <t>56.883</t>
  </si>
  <si>
    <t>2.462689</t>
  </si>
  <si>
    <t>2.464426</t>
  </si>
  <si>
    <t>1.670799</t>
  </si>
  <si>
    <t>0.564292</t>
  </si>
  <si>
    <t>0.203808</t>
  </si>
  <si>
    <t>-0.135487</t>
  </si>
  <si>
    <t>0.216167</t>
  </si>
  <si>
    <t>0.169640</t>
  </si>
  <si>
    <t>0.894161</t>
  </si>
  <si>
    <t>0.883664</t>
  </si>
  <si>
    <t>9.028911</t>
  </si>
  <si>
    <t>9.136166</t>
  </si>
  <si>
    <t>PSF-01608_20261015132502_650</t>
  </si>
  <si>
    <t>110.455872</t>
  </si>
  <si>
    <t>359.662781</t>
  </si>
  <si>
    <t>0.692890</t>
  </si>
  <si>
    <t>18.35</t>
  </si>
  <si>
    <t>18.13</t>
  </si>
  <si>
    <t>-3.0</t>
  </si>
  <si>
    <t>73</t>
  </si>
  <si>
    <t>3.622</t>
  </si>
  <si>
    <t>-0.303</t>
  </si>
  <si>
    <t>2.329</t>
  </si>
  <si>
    <t>95.140</t>
  </si>
  <si>
    <t>2.463884</t>
  </si>
  <si>
    <t>2.466499</t>
  </si>
  <si>
    <t>1.670721</t>
  </si>
  <si>
    <t>0.594945</t>
  </si>
  <si>
    <t>0.203817</t>
  </si>
  <si>
    <t>-0.011018</t>
  </si>
  <si>
    <t>0.219479</t>
  </si>
  <si>
    <t>0.174227</t>
  </si>
  <si>
    <t>0.869717</t>
  </si>
  <si>
    <t>0.867806</t>
  </si>
  <si>
    <t>8.867150</t>
  </si>
  <si>
    <t>8.886675</t>
  </si>
  <si>
    <t>PSF-01608_20261015132515_1b2</t>
  </si>
  <si>
    <t>117.104889</t>
  </si>
  <si>
    <t>363.855255</t>
  </si>
  <si>
    <t>0.678155</t>
  </si>
  <si>
    <t>17.84</t>
  </si>
  <si>
    <t>17.81</t>
  </si>
  <si>
    <t>30.58</t>
  </si>
  <si>
    <t>27.7</t>
  </si>
  <si>
    <t>82.3</t>
  </si>
  <si>
    <t>1.407</t>
  </si>
  <si>
    <t>115.517</t>
  </si>
  <si>
    <t>58.652</t>
  </si>
  <si>
    <t>2.463327</t>
  </si>
  <si>
    <t>2.465616</t>
  </si>
  <si>
    <t>1.672044</t>
  </si>
  <si>
    <t>0.652550</t>
  </si>
  <si>
    <t>0.203825</t>
  </si>
  <si>
    <t>-0.019661</t>
  </si>
  <si>
    <t>0.220799</t>
  </si>
  <si>
    <t>0.120268</t>
  </si>
  <si>
    <t>0.964422</t>
  </si>
  <si>
    <t>0.925528</t>
  </si>
  <si>
    <t>9.455044</t>
  </si>
  <si>
    <t>9.852372</t>
  </si>
  <si>
    <t>PSF-01608_20261015132749_267</t>
  </si>
  <si>
    <t>100.401161</t>
  </si>
  <si>
    <t>388.122437</t>
  </si>
  <si>
    <t>0.741316</t>
  </si>
  <si>
    <t>19.60</t>
  </si>
  <si>
    <t>18.81</t>
  </si>
  <si>
    <t>29.44</t>
  </si>
  <si>
    <t>75.6</t>
  </si>
  <si>
    <t>51.7</t>
  </si>
  <si>
    <t>3.621</t>
  </si>
  <si>
    <t>96.764</t>
  </si>
  <si>
    <t>50.393</t>
  </si>
  <si>
    <t>25.847</t>
  </si>
  <si>
    <t>2.465034</t>
  </si>
  <si>
    <t>2.468685</t>
  </si>
  <si>
    <t>1.671434</t>
  </si>
  <si>
    <t>0.748565</t>
  </si>
  <si>
    <t>0.202476</t>
  </si>
  <si>
    <t>-0.034475</t>
  </si>
  <si>
    <t>0.238245</t>
  </si>
  <si>
    <t>0.158895</t>
  </si>
  <si>
    <t>0.903544</t>
  </si>
  <si>
    <t>0.884757</t>
  </si>
  <si>
    <t>9.038810</t>
  </si>
  <si>
    <t>9.230741</t>
  </si>
  <si>
    <t>PSF-01608_20261015132808_e75</t>
  </si>
  <si>
    <t>107.418533</t>
  </si>
  <si>
    <t>427.838074</t>
  </si>
  <si>
    <t>0.748927</t>
  </si>
  <si>
    <t>18.31</t>
  </si>
  <si>
    <t>17.93</t>
  </si>
  <si>
    <t>84.8</t>
  </si>
  <si>
    <t>105.839</t>
  </si>
  <si>
    <t>53.116</t>
  </si>
  <si>
    <t>27.433</t>
  </si>
  <si>
    <t>2.463530</t>
  </si>
  <si>
    <t>2.466429</t>
  </si>
  <si>
    <t>1.671286</t>
  </si>
  <si>
    <t>0.767999</t>
  </si>
  <si>
    <t>0.202087</t>
  </si>
  <si>
    <t>-0.031133</t>
  </si>
  <si>
    <t>0.240217</t>
  </si>
  <si>
    <t>0.142868</t>
  </si>
  <si>
    <t>0.923396</t>
  </si>
  <si>
    <t>0.923956</t>
  </si>
  <si>
    <t>9.439969</t>
  </si>
  <si>
    <t>9.434251</t>
  </si>
  <si>
    <t>PSF-01608_20261015132826_cfc</t>
  </si>
  <si>
    <t>106.342789</t>
  </si>
  <si>
    <t>402.638184</t>
  </si>
  <si>
    <t>0.735885</t>
  </si>
  <si>
    <t>18.66</t>
  </si>
  <si>
    <t>18.67</t>
  </si>
  <si>
    <t>32.63</t>
  </si>
  <si>
    <t>30.49</t>
  </si>
  <si>
    <t>100.8</t>
  </si>
  <si>
    <t>35.7</t>
  </si>
  <si>
    <t>105.197</t>
  </si>
  <si>
    <t>52.894</t>
  </si>
  <si>
    <t>26.324</t>
  </si>
  <si>
    <t>2.467044</t>
  </si>
  <si>
    <t>1.672466</t>
  </si>
  <si>
    <t>0.802748</t>
  </si>
  <si>
    <t>0.201709</t>
  </si>
  <si>
    <t>-0.023709</t>
  </si>
  <si>
    <t>0.242128</t>
  </si>
  <si>
    <t>0.222266</t>
  </si>
  <si>
    <t>0.845757</t>
  </si>
  <si>
    <t>0.847340</t>
  </si>
  <si>
    <t>8.654805</t>
  </si>
  <si>
    <t>8.638634</t>
  </si>
  <si>
    <t>PSF-01608_20261015133317_ba8</t>
  </si>
  <si>
    <t>1.193762</t>
  </si>
  <si>
    <t>1.397252</t>
  </si>
  <si>
    <t>0.145636</t>
  </si>
  <si>
    <t>16.53</t>
  </si>
  <si>
    <t>16.56</t>
  </si>
  <si>
    <t>20.59</t>
  </si>
  <si>
    <t>-19.3</t>
  </si>
  <si>
    <t>3.615</t>
  </si>
  <si>
    <t>13:33:09</t>
  </si>
  <si>
    <t>0.99</t>
  </si>
  <si>
    <t>0.041</t>
  </si>
  <si>
    <t>2.461138</t>
  </si>
  <si>
    <t>2.462940</t>
  </si>
  <si>
    <t>1.670244</t>
  </si>
  <si>
    <t>0.565188</t>
  </si>
  <si>
    <t>0.197078</t>
  </si>
  <si>
    <t>-0.137454</t>
  </si>
  <si>
    <t>0.272106</t>
  </si>
  <si>
    <t>0.155290</t>
  </si>
  <si>
    <t>1.251340</t>
  </si>
  <si>
    <t>0.803621</t>
  </si>
  <si>
    <t>0.815731</t>
  </si>
  <si>
    <t>8.333160</t>
  </si>
  <si>
    <t>8.209454</t>
  </si>
  <si>
    <t>PSF-01608_20261015133420_236</t>
  </si>
  <si>
    <t>101.672531</t>
  </si>
  <si>
    <t>390.546082</t>
  </si>
  <si>
    <t>0.739666</t>
  </si>
  <si>
    <t>15.81</t>
  </si>
  <si>
    <t>16.05</t>
  </si>
  <si>
    <t>33.11</t>
  </si>
  <si>
    <t>29.25</t>
  </si>
  <si>
    <t>17.9</t>
  </si>
  <si>
    <t>88.6</t>
  </si>
  <si>
    <t>99.171</t>
  </si>
  <si>
    <t>51.071</t>
  </si>
  <si>
    <t>25.637</t>
  </si>
  <si>
    <t>2.460244</t>
  </si>
  <si>
    <t>2.461645</t>
  </si>
  <si>
    <t>1.669597</t>
  </si>
  <si>
    <t>0.633922</t>
  </si>
  <si>
    <t>0.197940</t>
  </si>
  <si>
    <t>-0.043311</t>
  </si>
  <si>
    <t>0.277551</t>
  </si>
  <si>
    <t>0.132850</t>
  </si>
  <si>
    <t>0.834677</t>
  </si>
  <si>
    <t>0.836230</t>
  </si>
  <si>
    <t>8.541241</t>
  </si>
  <si>
    <t>8.525378</t>
  </si>
  <si>
    <t>PSF-01608_20261015133430_28e</t>
  </si>
  <si>
    <t>100.529907</t>
  </si>
  <si>
    <t>417.186493</t>
  </si>
  <si>
    <t>0.759029</t>
  </si>
  <si>
    <t>16.45</t>
  </si>
  <si>
    <t>16.48</t>
  </si>
  <si>
    <t>33.08</t>
  </si>
  <si>
    <t>29.22</t>
  </si>
  <si>
    <t>3.584</t>
  </si>
  <si>
    <t>97.130</t>
  </si>
  <si>
    <t>51.844</t>
  </si>
  <si>
    <t>25.519</t>
  </si>
  <si>
    <t>2.461000</t>
  </si>
  <si>
    <t>2.462796</t>
  </si>
  <si>
    <t>1.671254</t>
  </si>
  <si>
    <t>0.670108</t>
  </si>
  <si>
    <t>0.198193</t>
  </si>
  <si>
    <t>-0.043290</t>
  </si>
  <si>
    <t>0.278508</t>
  </si>
  <si>
    <t>0.131419</t>
  </si>
  <si>
    <t>0.845749</t>
  </si>
  <si>
    <t>0.835148</t>
  </si>
  <si>
    <t>8.530357</t>
  </si>
  <si>
    <t>8.638646</t>
  </si>
  <si>
    <t>PSF-01608_20261015133441_0f4</t>
  </si>
  <si>
    <t>98.142746</t>
  </si>
  <si>
    <t>384.711029</t>
  </si>
  <si>
    <t>0.744892</t>
  </si>
  <si>
    <t>16.70</t>
  </si>
  <si>
    <t>16.49</t>
  </si>
  <si>
    <t>25.2</t>
  </si>
  <si>
    <t>83.9</t>
  </si>
  <si>
    <t>3.617</t>
  </si>
  <si>
    <t>70.031</t>
  </si>
  <si>
    <t>35.664</t>
  </si>
  <si>
    <t>2.461018</t>
  </si>
  <si>
    <t>2.463244</t>
  </si>
  <si>
    <t>1.671031</t>
  </si>
  <si>
    <t>0.647839</t>
  </si>
  <si>
    <t>0.198453</t>
  </si>
  <si>
    <t>-0.051137</t>
  </si>
  <si>
    <t>0.279399</t>
  </si>
  <si>
    <t>0.137290</t>
  </si>
  <si>
    <t>0.819587</t>
  </si>
  <si>
    <t>0.819283</t>
  </si>
  <si>
    <t>8.370000</t>
  </si>
  <si>
    <t>8.373108</t>
  </si>
  <si>
    <t>PSF-01608_20261015133539_8a4</t>
  </si>
  <si>
    <t>84.784630</t>
  </si>
  <si>
    <t>266.618378</t>
  </si>
  <si>
    <t>0.682000</t>
  </si>
  <si>
    <t>-12.1</t>
  </si>
  <si>
    <t>107.7</t>
  </si>
  <si>
    <t>3.616</t>
  </si>
  <si>
    <t>8.694</t>
  </si>
  <si>
    <t>74.213</t>
  </si>
  <si>
    <t>37.575</t>
  </si>
  <si>
    <t>2.460747</t>
  </si>
  <si>
    <t>2.462600</t>
  </si>
  <si>
    <t>1.672221</t>
  </si>
  <si>
    <t>0.578282</t>
  </si>
  <si>
    <t>0.199753</t>
  </si>
  <si>
    <t>-0.036949</t>
  </si>
  <si>
    <t>0.284508</t>
  </si>
  <si>
    <t>0.146801</t>
  </si>
  <si>
    <t>0.800874</t>
  </si>
  <si>
    <t>0.805495</t>
  </si>
  <si>
    <t>8.229878</t>
  </si>
  <si>
    <t>8.182663</t>
  </si>
  <si>
    <t>PSF-01608_20261015133556_cb4</t>
  </si>
  <si>
    <t>101.460098</t>
  </si>
  <si>
    <t>397.504456</t>
  </si>
  <si>
    <t>0.744757</t>
  </si>
  <si>
    <t>16.00</t>
  </si>
  <si>
    <t>16.10</t>
  </si>
  <si>
    <t>32.83</t>
  </si>
  <si>
    <t>29.43</t>
  </si>
  <si>
    <t>0.370</t>
  </si>
  <si>
    <t>50.408</t>
  </si>
  <si>
    <t>75.787</t>
  </si>
  <si>
    <t>2.460345</t>
  </si>
  <si>
    <t>2.462008</t>
  </si>
  <si>
    <t>1.670876</t>
  </si>
  <si>
    <t>0.637812</t>
  </si>
  <si>
    <t>0.200118</t>
  </si>
  <si>
    <t>-0.038095</t>
  </si>
  <si>
    <t>0.286011</t>
  </si>
  <si>
    <t>0.152803</t>
  </si>
  <si>
    <t>0.810473</t>
  </si>
  <si>
    <t>0.815137</t>
  </si>
  <si>
    <t>8.328713</t>
  </si>
  <si>
    <t>8.281055</t>
  </si>
  <si>
    <t>PSF-01608_20261015133612_444</t>
  </si>
  <si>
    <t>93.292953</t>
  </si>
  <si>
    <t>359.919556</t>
  </si>
  <si>
    <t>0.740795</t>
  </si>
  <si>
    <t>16.24</t>
  </si>
  <si>
    <t>32.79</t>
  </si>
  <si>
    <t>30.07</t>
  </si>
  <si>
    <t>-9.5</t>
  </si>
  <si>
    <t>3.614</t>
  </si>
  <si>
    <t>-0.051</t>
  </si>
  <si>
    <t>52.249</t>
  </si>
  <si>
    <t>-13.134</t>
  </si>
  <si>
    <t>2.460752</t>
  </si>
  <si>
    <t>2.462426</t>
  </si>
  <si>
    <t>1.668719</t>
  </si>
  <si>
    <t>0.582953</t>
  </si>
  <si>
    <t>0.200460</t>
  </si>
  <si>
    <t>-0.030355</t>
  </si>
  <si>
    <t>0.287343</t>
  </si>
  <si>
    <t>0.151289</t>
  </si>
  <si>
    <t>0.844384</t>
  </si>
  <si>
    <t>0.840754</t>
  </si>
  <si>
    <t>8.590278</t>
  </si>
  <si>
    <t>8.627370</t>
  </si>
  <si>
    <t>PSF-01608_20261015133655_a35</t>
  </si>
  <si>
    <t>100.537422</t>
  </si>
  <si>
    <t>338.768707</t>
  </si>
  <si>
    <t>0.703227</t>
  </si>
  <si>
    <t>17.01</t>
  </si>
  <si>
    <t>16.94</t>
  </si>
  <si>
    <t>32.68</t>
  </si>
  <si>
    <t>29.52</t>
  </si>
  <si>
    <t>28.6</t>
  </si>
  <si>
    <t>99.607</t>
  </si>
  <si>
    <t>50.687</t>
  </si>
  <si>
    <t>25.097</t>
  </si>
  <si>
    <t>2.461820</t>
  </si>
  <si>
    <t>2.463823</t>
  </si>
  <si>
    <t>1.671075</t>
  </si>
  <si>
    <t>0.654388</t>
  </si>
  <si>
    <t>0.201283</t>
  </si>
  <si>
    <t>-0.035326</t>
  </si>
  <si>
    <t>0.291250</t>
  </si>
  <si>
    <t>0.157368</t>
  </si>
  <si>
    <t>0.851164</t>
  </si>
  <si>
    <t>0.835963</t>
  </si>
  <si>
    <t>8.541328</t>
  </si>
  <si>
    <t>8.696634</t>
  </si>
  <si>
    <t>PSF-01608_20261015133711_88a</t>
  </si>
  <si>
    <t>92.912796</t>
  </si>
  <si>
    <t>306.625854</t>
  </si>
  <si>
    <t>0.696983</t>
  </si>
  <si>
    <t>16.88</t>
  </si>
  <si>
    <t>29.69</t>
  </si>
  <si>
    <t>51.9</t>
  </si>
  <si>
    <t>66.9</t>
  </si>
  <si>
    <t>54</t>
  </si>
  <si>
    <t>3.581</t>
  </si>
  <si>
    <t>0.541</t>
  </si>
  <si>
    <t>45.070</t>
  </si>
  <si>
    <t>67.939</t>
  </si>
  <si>
    <t>2.461714</t>
  </si>
  <si>
    <t>2.464130</t>
  </si>
  <si>
    <t>0.699994</t>
  </si>
  <si>
    <t>0.201565</t>
  </si>
  <si>
    <t>-0.032997</t>
  </si>
  <si>
    <t>0.292614</t>
  </si>
  <si>
    <t>0.155968</t>
  </si>
  <si>
    <t>0.868248</t>
  </si>
  <si>
    <t>0.851284</t>
  </si>
  <si>
    <t>8.697734</t>
  </si>
  <si>
    <t>8.871057</t>
  </si>
  <si>
    <t>PSF-01608_20261015133727_cdd</t>
  </si>
  <si>
    <t>73.368790</t>
  </si>
  <si>
    <t>183.492416</t>
  </si>
  <si>
    <t>0.600154</t>
  </si>
  <si>
    <t>17.57</t>
  </si>
  <si>
    <t>17.22</t>
  </si>
  <si>
    <t>32.61</t>
  </si>
  <si>
    <t>55.8</t>
  </si>
  <si>
    <t>64.4</t>
  </si>
  <si>
    <t>2.272</t>
  </si>
  <si>
    <t>36.345</t>
  </si>
  <si>
    <t>53.953</t>
  </si>
  <si>
    <t>2.462309</t>
  </si>
  <si>
    <t>2.464805</t>
  </si>
  <si>
    <t>1.671879</t>
  </si>
  <si>
    <t>0.707879</t>
  </si>
  <si>
    <t>0.201839</t>
  </si>
  <si>
    <t>-0.026612</t>
  </si>
  <si>
    <t>0.293972</t>
  </si>
  <si>
    <t>0.122900</t>
  </si>
  <si>
    <t>0.854655</t>
  </si>
  <si>
    <t>0.846501</t>
  </si>
  <si>
    <t>8.648884</t>
  </si>
  <si>
    <t>8.732196</t>
  </si>
  <si>
    <t>PSF-01608_20261015133806_47d</t>
  </si>
  <si>
    <t>69.796440</t>
  </si>
  <si>
    <t>270.656342</t>
  </si>
  <si>
    <t>0.742122</t>
  </si>
  <si>
    <t>17.36</t>
  </si>
  <si>
    <t>17.20</t>
  </si>
  <si>
    <t>32.54</t>
  </si>
  <si>
    <t>65.076</t>
  </si>
  <si>
    <t>35.931</t>
  </si>
  <si>
    <t>17.725</t>
  </si>
  <si>
    <t>2.462268</t>
  </si>
  <si>
    <t>2.464448</t>
  </si>
  <si>
    <t>1.669250</t>
  </si>
  <si>
    <t>0.579061</t>
  </si>
  <si>
    <t>0.202422</t>
  </si>
  <si>
    <t>-0.037044</t>
  </si>
  <si>
    <t>0.297577</t>
  </si>
  <si>
    <t>0.169318</t>
  </si>
  <si>
    <t>46.650768</t>
  </si>
  <si>
    <t>0.869332</t>
  </si>
  <si>
    <t>0.846899</t>
  </si>
  <si>
    <t>8.653752</t>
  </si>
  <si>
    <t>8.882970</t>
  </si>
  <si>
    <t>PSF-01608_20261015133822_670</t>
  </si>
  <si>
    <t>113.739609</t>
  </si>
  <si>
    <t>419.228912</t>
  </si>
  <si>
    <t>0.728693</t>
  </si>
  <si>
    <t>17.24</t>
  </si>
  <si>
    <t>32.51</t>
  </si>
  <si>
    <t>29.98</t>
  </si>
  <si>
    <t>97.86</t>
  </si>
  <si>
    <t>-12.4</t>
  </si>
  <si>
    <t>107.9</t>
  </si>
  <si>
    <t>-0.198</t>
  </si>
  <si>
    <t>2.462337</t>
  </si>
  <si>
    <t>2.465035</t>
  </si>
  <si>
    <t>1.672063</t>
  </si>
  <si>
    <t>0.577655</t>
  </si>
  <si>
    <t>0.202675</t>
  </si>
  <si>
    <t>-0.028132</t>
  </si>
  <si>
    <t>0.298985</t>
  </si>
  <si>
    <t>0.163291</t>
  </si>
  <si>
    <t>113.815430</t>
  </si>
  <si>
    <t>0.856388</t>
  </si>
  <si>
    <t>0.849072</t>
  </si>
  <si>
    <t>8.675379</t>
  </si>
  <si>
    <t>8.750131</t>
  </si>
  <si>
    <t>PSF-01608_20261015133853_937</t>
  </si>
  <si>
    <t>108.924149</t>
  </si>
  <si>
    <t>436.237335</t>
  </si>
  <si>
    <t>0.750310</t>
  </si>
  <si>
    <t>17.48</t>
  </si>
  <si>
    <t>17.33</t>
  </si>
  <si>
    <t>32.46</t>
  </si>
  <si>
    <t>30.44</t>
  </si>
  <si>
    <t>-9.8</t>
  </si>
  <si>
    <t>106.3</t>
  </si>
  <si>
    <t>3.613</t>
  </si>
  <si>
    <t>0.329</t>
  </si>
  <si>
    <t>54.701</t>
  </si>
  <si>
    <t>55.145</t>
  </si>
  <si>
    <t>2.462502</t>
  </si>
  <si>
    <t>2.464659</t>
  </si>
  <si>
    <t>1.670936</t>
  </si>
  <si>
    <t>0.582464</t>
  </si>
  <si>
    <t>0.203080</t>
  </si>
  <si>
    <t>-0.022352</t>
  </si>
  <si>
    <t>0.301685</t>
  </si>
  <si>
    <t>0.142910</t>
  </si>
  <si>
    <t>0.922703</t>
  </si>
  <si>
    <t>0.887377</t>
  </si>
  <si>
    <t>9.066458</t>
  </si>
  <si>
    <t>9.427386</t>
  </si>
  <si>
    <t>PSF-01608_20261015134005_37c</t>
  </si>
  <si>
    <t>88.756088</t>
  </si>
  <si>
    <t>194.933289</t>
  </si>
  <si>
    <t>0.544685</t>
  </si>
  <si>
    <t>18.92</t>
  </si>
  <si>
    <t>18.20</t>
  </si>
  <si>
    <t>30.17</t>
  </si>
  <si>
    <t>12.8</t>
  </si>
  <si>
    <t>91.8</t>
  </si>
  <si>
    <t>-0.184</t>
  </si>
  <si>
    <t>76.085</t>
  </si>
  <si>
    <t>48.533</t>
  </si>
  <si>
    <t>2.463997</t>
  </si>
  <si>
    <t>2.467207</t>
  </si>
  <si>
    <t>1.671552</t>
  </si>
  <si>
    <t>0.624366</t>
  </si>
  <si>
    <t>0.203741</t>
  </si>
  <si>
    <t>-0.024388</t>
  </si>
  <si>
    <t>0.308280</t>
  </si>
  <si>
    <t>0.158671</t>
  </si>
  <si>
    <t>0.828574</t>
  </si>
  <si>
    <t>0.831196</t>
  </si>
  <si>
    <t>8.494576</t>
  </si>
  <si>
    <t>8.467777</t>
  </si>
  <si>
    <t>PSF-01608_20261015134031_0c3</t>
  </si>
  <si>
    <t>84.715248</t>
  </si>
  <si>
    <t>361.393341</t>
  </si>
  <si>
    <t>0.765587</t>
  </si>
  <si>
    <t>32.35</t>
  </si>
  <si>
    <t>29.64</t>
  </si>
  <si>
    <t>97.85</t>
  </si>
  <si>
    <t>-10.5</t>
  </si>
  <si>
    <t>106.7</t>
  </si>
  <si>
    <t>3.580</t>
  </si>
  <si>
    <t>4.261</t>
  </si>
  <si>
    <t>80.913</t>
  </si>
  <si>
    <t>41.413</t>
  </si>
  <si>
    <t>2.462055</t>
  </si>
  <si>
    <t>2.463836</t>
  </si>
  <si>
    <t>1.672008</t>
  </si>
  <si>
    <t>0.581129</t>
  </si>
  <si>
    <t>0.203930</t>
  </si>
  <si>
    <t>-0.030122</t>
  </si>
  <si>
    <t>0.310577</t>
  </si>
  <si>
    <t>0.143591</t>
  </si>
  <si>
    <t>0.849486</t>
  </si>
  <si>
    <t>0.832795</t>
  </si>
  <si>
    <t>8.512265</t>
  </si>
  <si>
    <t>8.682871</t>
  </si>
  <si>
    <t>PSF-01608_20261015134115_674</t>
  </si>
  <si>
    <t>72.985054</t>
  </si>
  <si>
    <t>338.986145</t>
  </si>
  <si>
    <t>0.784696</t>
  </si>
  <si>
    <t>17.50</t>
  </si>
  <si>
    <t>17.16</t>
  </si>
  <si>
    <t>32.29</t>
  </si>
  <si>
    <t>29.60</t>
  </si>
  <si>
    <t>97.83</t>
  </si>
  <si>
    <t>3.610</t>
  </si>
  <si>
    <t>85.675</t>
  </si>
  <si>
    <t>42.702</t>
  </si>
  <si>
    <t>21.591</t>
  </si>
  <si>
    <t>2.462218</t>
  </si>
  <si>
    <t>2.464711</t>
  </si>
  <si>
    <t>1.670631</t>
  </si>
  <si>
    <t>0.594998</t>
  </si>
  <si>
    <t>0.204423</t>
  </si>
  <si>
    <t>-0.029902</t>
  </si>
  <si>
    <t>0.314715</t>
  </si>
  <si>
    <t>0.162015</t>
  </si>
  <si>
    <t>0.811630</t>
  </si>
  <si>
    <t>0.816284</t>
  </si>
  <si>
    <t>8.340981</t>
  </si>
  <si>
    <t>8.293430</t>
  </si>
  <si>
    <t>PSF-01608_20261015134238_8b2</t>
  </si>
  <si>
    <t>82.768677</t>
  </si>
  <si>
    <t>287.628296</t>
  </si>
  <si>
    <t>0.712237</t>
  </si>
  <si>
    <t>32.16</t>
  </si>
  <si>
    <t>-12.8</t>
  </si>
  <si>
    <t>108.2</t>
  </si>
  <si>
    <t>2.665</t>
  </si>
  <si>
    <t>1.264</t>
  </si>
  <si>
    <t>2.461838</t>
  </si>
  <si>
    <t>2.463535</t>
  </si>
  <si>
    <t>1.670634</t>
  </si>
  <si>
    <t>0.576901</t>
  </si>
  <si>
    <t>0.205409</t>
  </si>
  <si>
    <t>-0.036384</t>
  </si>
  <si>
    <t>0.322162</t>
  </si>
  <si>
    <t>0.165433</t>
  </si>
  <si>
    <t>0.813264</t>
  </si>
  <si>
    <t>0.814562</t>
  </si>
  <si>
    <t>8.325489</t>
  </si>
  <si>
    <t>8.312228</t>
  </si>
  <si>
    <t>PSF-01608_20261015134250_871</t>
  </si>
  <si>
    <t>106.855988</t>
  </si>
  <si>
    <t>391.300323</t>
  </si>
  <si>
    <t>0.726921</t>
  </si>
  <si>
    <t>16.92</t>
  </si>
  <si>
    <t>32.12</t>
  </si>
  <si>
    <t>29.86</t>
  </si>
  <si>
    <t>97.84</t>
  </si>
  <si>
    <t>-19.9</t>
  </si>
  <si>
    <t>112.7</t>
  </si>
  <si>
    <t>3.609</t>
  </si>
  <si>
    <t>-14.243</t>
  </si>
  <si>
    <t>46.791</t>
  </si>
  <si>
    <t>76.318</t>
  </si>
  <si>
    <t>2.461854</t>
  </si>
  <si>
    <t>2.463675</t>
  </si>
  <si>
    <t>1.671148</t>
  </si>
  <si>
    <t>0.564073</t>
  </si>
  <si>
    <t>0.205775</t>
  </si>
  <si>
    <t>-0.025032</t>
  </si>
  <si>
    <t>0.323236</t>
  </si>
  <si>
    <t>0.166994</t>
  </si>
  <si>
    <t>0.832441</t>
  </si>
  <si>
    <t>0.827062</t>
  </si>
  <si>
    <t>8.452825</t>
  </si>
  <si>
    <t>8.507792</t>
  </si>
  <si>
    <t>PSF-01608_20261015134311_3aa</t>
  </si>
  <si>
    <t>92.051270</t>
  </si>
  <si>
    <t>237.470978</t>
  </si>
  <si>
    <t>0.612368</t>
  </si>
  <si>
    <t>17.35</t>
  </si>
  <si>
    <t>32.08</t>
  </si>
  <si>
    <t>30.13</t>
  </si>
  <si>
    <t>31.4</t>
  </si>
  <si>
    <t>80.0</t>
  </si>
  <si>
    <t>73.045</t>
  </si>
  <si>
    <t>20.035</t>
  </si>
  <si>
    <t>-46.948</t>
  </si>
  <si>
    <t>2.462364</t>
  </si>
  <si>
    <t>2.464447</t>
  </si>
  <si>
    <t>1.670333</t>
  </si>
  <si>
    <t>0.659690</t>
  </si>
  <si>
    <t>0.206053</t>
  </si>
  <si>
    <t>-0.021515</t>
  </si>
  <si>
    <t>0.325135</t>
  </si>
  <si>
    <t>0.159294</t>
  </si>
  <si>
    <t>0.873089</t>
  </si>
  <si>
    <t>0.850077</t>
  </si>
  <si>
    <t>8.687680</t>
  </si>
  <si>
    <t>8.922865</t>
  </si>
  <si>
    <t>PSF-01608_20261015134505_3f9</t>
  </si>
  <si>
    <t>104.242798</t>
  </si>
  <si>
    <t>352.817413</t>
  </si>
  <si>
    <t>0.704542</t>
  </si>
  <si>
    <t>18.44</t>
  </si>
  <si>
    <t>-6.4</t>
  </si>
  <si>
    <t>104.1</t>
  </si>
  <si>
    <t>13:44:54</t>
  </si>
  <si>
    <t>0.81</t>
  </si>
  <si>
    <t>98.467</t>
  </si>
  <si>
    <t>49.136</t>
  </si>
  <si>
    <t>25.638</t>
  </si>
  <si>
    <t>2.463612</t>
  </si>
  <si>
    <t>2.466698</t>
  </si>
  <si>
    <t>1.671997</t>
  </si>
  <si>
    <t>0.588747</t>
  </si>
  <si>
    <t>0.207960</t>
  </si>
  <si>
    <t>-0.023759</t>
  </si>
  <si>
    <t>0.335278</t>
  </si>
  <si>
    <t>0.136357</t>
  </si>
  <si>
    <t>0.861868</t>
  </si>
  <si>
    <t>0.824316</t>
  </si>
  <si>
    <t>8.424364</t>
  </si>
  <si>
    <t>8.808139</t>
  </si>
  <si>
    <t>PSF-01608_20261015134527_866</t>
  </si>
  <si>
    <t>122.123482</t>
  </si>
  <si>
    <t>350.290070</t>
  </si>
  <si>
    <t>0.651365</t>
  </si>
  <si>
    <t>18.22</t>
  </si>
  <si>
    <t>31.84</t>
  </si>
  <si>
    <t>29.92</t>
  </si>
  <si>
    <t>32.3</t>
  </si>
  <si>
    <t>79.3</t>
  </si>
  <si>
    <t>-0.081</t>
  </si>
  <si>
    <t>1.755</t>
  </si>
  <si>
    <t>118.605</t>
  </si>
  <si>
    <t>60.471</t>
  </si>
  <si>
    <t>2.462698</t>
  </si>
  <si>
    <t>2.466305</t>
  </si>
  <si>
    <t>1.671186</t>
  </si>
  <si>
    <t>0.661574</t>
  </si>
  <si>
    <t>0.208065</t>
  </si>
  <si>
    <t>-0.021045</t>
  </si>
  <si>
    <t>0.337139</t>
  </si>
  <si>
    <t>0.141360</t>
  </si>
  <si>
    <t>0.821511</t>
  </si>
  <si>
    <t>0.807239</t>
  </si>
  <si>
    <t>8.250726</t>
  </si>
  <si>
    <t>8.396602</t>
  </si>
  <si>
    <t>PSF-01608_20261015134541_0ca</t>
  </si>
  <si>
    <t>97.910645</t>
  </si>
  <si>
    <t>376.518494</t>
  </si>
  <si>
    <t>0.739958</t>
  </si>
  <si>
    <t>31.83</t>
  </si>
  <si>
    <t>3.608</t>
  </si>
  <si>
    <t>90.868</t>
  </si>
  <si>
    <t>46.957</t>
  </si>
  <si>
    <t>25.290</t>
  </si>
  <si>
    <t>2.462094</t>
  </si>
  <si>
    <t>2.464816</t>
  </si>
  <si>
    <t>1.670208</t>
  </si>
  <si>
    <t>0.577643</t>
  </si>
  <si>
    <t>0.208162</t>
  </si>
  <si>
    <t>-0.026065</t>
  </si>
  <si>
    <t>0.338337</t>
  </si>
  <si>
    <t>0.128550</t>
  </si>
  <si>
    <t>0.810159</t>
  </si>
  <si>
    <t>0.807621</t>
  </si>
  <si>
    <t>8.255284</t>
  </si>
  <si>
    <t>8.281226</t>
  </si>
  <si>
    <t>PSF-01608_20261015134901_05c</t>
  </si>
  <si>
    <t>94.584702</t>
  </si>
  <si>
    <t>300.223938</t>
  </si>
  <si>
    <t>0.684953</t>
  </si>
  <si>
    <t>17.18</t>
  </si>
  <si>
    <t>31.73</t>
  </si>
  <si>
    <t>28.67</t>
  </si>
  <si>
    <t>-0.2</t>
  </si>
  <si>
    <t>100.1</t>
  </si>
  <si>
    <t>3.607</t>
  </si>
  <si>
    <t>7.679</t>
  </si>
  <si>
    <t>4.280</t>
  </si>
  <si>
    <t>2.462276</t>
  </si>
  <si>
    <t>2.464561</t>
  </si>
  <si>
    <t>1.672655</t>
  </si>
  <si>
    <t>0.600077</t>
  </si>
  <si>
    <t>0.208954</t>
  </si>
  <si>
    <t>-0.033809</t>
  </si>
  <si>
    <t>0.356277</t>
  </si>
  <si>
    <t>0.163968</t>
  </si>
  <si>
    <t>0.827165</t>
  </si>
  <si>
    <t>0.826362</t>
  </si>
  <si>
    <t>8.448146</t>
  </si>
  <si>
    <t>8.456354</t>
  </si>
  <si>
    <t>PSF-01608_20261015134917_50d</t>
  </si>
  <si>
    <t>108.087662</t>
  </si>
  <si>
    <t>374.427795</t>
  </si>
  <si>
    <t>0.711326</t>
  </si>
  <si>
    <t>17.60</t>
  </si>
  <si>
    <t>17.58</t>
  </si>
  <si>
    <t>31.72</t>
  </si>
  <si>
    <t>28.80</t>
  </si>
  <si>
    <t>97.82</t>
  </si>
  <si>
    <t>29.1</t>
  </si>
  <si>
    <t>81.4</t>
  </si>
  <si>
    <t>89</t>
  </si>
  <si>
    <t>-18.132</t>
  </si>
  <si>
    <t>70.073</t>
  </si>
  <si>
    <t>69.530</t>
  </si>
  <si>
    <t>2.462971</t>
  </si>
  <si>
    <t>2.465210</t>
  </si>
  <si>
    <t>1.673351</t>
  </si>
  <si>
    <t>0.655390</t>
  </si>
  <si>
    <t>0.208986</t>
  </si>
  <si>
    <t>-0.032323</t>
  </si>
  <si>
    <t>0.357653</t>
  </si>
  <si>
    <t>0.188308</t>
  </si>
  <si>
    <t>107.445717</t>
  </si>
  <si>
    <t>0.852283</t>
  </si>
  <si>
    <t>0.829603</t>
  </si>
  <si>
    <t>8.480073</t>
  </si>
  <si>
    <t>8.711898</t>
  </si>
  <si>
    <t>PSF-01608_20261015134928_2c6</t>
  </si>
  <si>
    <t>89.502457</t>
  </si>
  <si>
    <t>338.857422</t>
  </si>
  <si>
    <t>0.735870</t>
  </si>
  <si>
    <t>17.65</t>
  </si>
  <si>
    <t>13.3</t>
  </si>
  <si>
    <t>3.604</t>
  </si>
  <si>
    <t>12.391</t>
  </si>
  <si>
    <t>35.927</t>
  </si>
  <si>
    <t>62.985</t>
  </si>
  <si>
    <t>2.463096</t>
  </si>
  <si>
    <t>2.466162</t>
  </si>
  <si>
    <t>0.625319</t>
  </si>
  <si>
    <t>0.209012</t>
  </si>
  <si>
    <t>-0.024240</t>
  </si>
  <si>
    <t>0.358582</t>
  </si>
  <si>
    <t>0.163701</t>
  </si>
  <si>
    <t>0.855282</t>
  </si>
  <si>
    <t>0.850804</t>
  </si>
  <si>
    <t>8.696319</t>
  </si>
  <si>
    <t>8.742086</t>
  </si>
  <si>
    <t>PSF-01608_20261015135330_98c</t>
  </si>
  <si>
    <t>99.725601</t>
  </si>
  <si>
    <t>275.209320</t>
  </si>
  <si>
    <t>0.637637</t>
  </si>
  <si>
    <t>31.98</t>
  </si>
  <si>
    <t>30.05</t>
  </si>
  <si>
    <t>-8.0</t>
  </si>
  <si>
    <t>105.1</t>
  </si>
  <si>
    <t>80</t>
  </si>
  <si>
    <t>3.573</t>
  </si>
  <si>
    <t>4.893</t>
  </si>
  <si>
    <t>4.183</t>
  </si>
  <si>
    <t>49.436</t>
  </si>
  <si>
    <t>2.463409</t>
  </si>
  <si>
    <t>2.465799</t>
  </si>
  <si>
    <t>1.669513</t>
  </si>
  <si>
    <t>0.585798</t>
  </si>
  <si>
    <t>0.206922</t>
  </si>
  <si>
    <t>-0.021216</t>
  </si>
  <si>
    <t>0.380311</t>
  </si>
  <si>
    <t>0.180351</t>
  </si>
  <si>
    <t>0.903596</t>
  </si>
  <si>
    <t>0.866811</t>
  </si>
  <si>
    <t>8.860627</t>
  </si>
  <si>
    <t>9.236651</t>
  </si>
  <si>
    <t>PSF-01608_20261015135358_4f6</t>
  </si>
  <si>
    <t>107.899185</t>
  </si>
  <si>
    <t>352.379333</t>
  </si>
  <si>
    <t>0.693798</t>
  </si>
  <si>
    <t>18.93</t>
  </si>
  <si>
    <t>18.16</t>
  </si>
  <si>
    <t>32.00</t>
  </si>
  <si>
    <t>3.602</t>
  </si>
  <si>
    <t>1.465</t>
  </si>
  <si>
    <t>1.665</t>
  </si>
  <si>
    <t>25.972</t>
  </si>
  <si>
    <t>2.463951</t>
  </si>
  <si>
    <t>2.467546</t>
  </si>
  <si>
    <t>1.672232</t>
  </si>
  <si>
    <t>0.645276</t>
  </si>
  <si>
    <t>0.206769</t>
  </si>
  <si>
    <t>-0.011994</t>
  </si>
  <si>
    <t>0.382567</t>
  </si>
  <si>
    <t>0.195185</t>
  </si>
  <si>
    <t>0.879372</t>
  </si>
  <si>
    <t>0.856721</t>
  </si>
  <si>
    <t>8.756658</t>
  </si>
  <si>
    <t>8.988183</t>
  </si>
  <si>
    <t>PSF-01608_20261015135414_aa1</t>
  </si>
  <si>
    <t>26.337505</t>
  </si>
  <si>
    <t>69.625496</t>
  </si>
  <si>
    <t>0.621726</t>
  </si>
  <si>
    <t>18.41</t>
  </si>
  <si>
    <t>17.94</t>
  </si>
  <si>
    <t>30.15</t>
  </si>
  <si>
    <t>19.0</t>
  </si>
  <si>
    <t>87.9</t>
  </si>
  <si>
    <t>3.601</t>
  </si>
  <si>
    <t>0.410</t>
  </si>
  <si>
    <t>2.463579</t>
  </si>
  <si>
    <t>2.466645</t>
  </si>
  <si>
    <t>1.668752</t>
  </si>
  <si>
    <t>0.635991</t>
  </si>
  <si>
    <t>0.206727</t>
  </si>
  <si>
    <t>-0.020353</t>
  </si>
  <si>
    <t>0.383896</t>
  </si>
  <si>
    <t>0.149101</t>
  </si>
  <si>
    <t>0.818415</t>
  </si>
  <si>
    <t>0.810964</t>
  </si>
  <si>
    <t>8.289794</t>
  </si>
  <si>
    <t>8.365961</t>
  </si>
  <si>
    <t>PSF-01608_20261015140804_016</t>
  </si>
  <si>
    <t>96.901413</t>
  </si>
  <si>
    <t>374.712097</t>
  </si>
  <si>
    <t>0.741398</t>
  </si>
  <si>
    <t>16.77</t>
  </si>
  <si>
    <t>16.62</t>
  </si>
  <si>
    <t>32.39</t>
  </si>
  <si>
    <t>30.37</t>
  </si>
  <si>
    <t>51.5</t>
  </si>
  <si>
    <t>67.1</t>
  </si>
  <si>
    <t>3.603</t>
  </si>
  <si>
    <t>14:07:52</t>
  </si>
  <si>
    <t>0.84</t>
  </si>
  <si>
    <t>94.645</t>
  </si>
  <si>
    <t>48.576</t>
  </si>
  <si>
    <t>1.558</t>
  </si>
  <si>
    <t>2.461272</t>
  </si>
  <si>
    <t>2.463672</t>
  </si>
  <si>
    <t>1.670449</t>
  </si>
  <si>
    <t>0.699201</t>
  </si>
  <si>
    <t>0.203633</t>
  </si>
  <si>
    <t>-0.022307</t>
  </si>
  <si>
    <t>0.104710</t>
  </si>
  <si>
    <t>0.140437</t>
  </si>
  <si>
    <t>0.891277</t>
  </si>
  <si>
    <t>0.860090</t>
  </si>
  <si>
    <t>8.791433</t>
  </si>
  <si>
    <t>9.110215</t>
  </si>
  <si>
    <t>PSF-01608_20261015140821_42c</t>
  </si>
  <si>
    <t>102.287651</t>
  </si>
  <si>
    <t>397.484772</t>
  </si>
  <si>
    <t>0.742663</t>
  </si>
  <si>
    <t>18.29</t>
  </si>
  <si>
    <t>156.2</t>
  </si>
  <si>
    <t>33.5</t>
  </si>
  <si>
    <t>78.6</t>
  </si>
  <si>
    <t>100.676</t>
  </si>
  <si>
    <t>50.775</t>
  </si>
  <si>
    <t>2.463067</t>
  </si>
  <si>
    <t>2.466376</t>
  </si>
  <si>
    <t>1.668141</t>
  </si>
  <si>
    <t>0.663805</t>
  </si>
  <si>
    <t>0.203880</t>
  </si>
  <si>
    <t>-0.037683</t>
  </si>
  <si>
    <t>0.107670</t>
  </si>
  <si>
    <t>0.134982</t>
  </si>
  <si>
    <t>0.906680</t>
  </si>
  <si>
    <t>0.881870</t>
  </si>
  <si>
    <t>9.015253</t>
  </si>
  <si>
    <t>9.268888</t>
  </si>
  <si>
    <t>PSF-01608_20261015140831_47c</t>
  </si>
  <si>
    <t>100.424767</t>
  </si>
  <si>
    <t>403.705719</t>
  </si>
  <si>
    <t>0.751243</t>
  </si>
  <si>
    <t>18.63</t>
  </si>
  <si>
    <t>18.12</t>
  </si>
  <si>
    <t>32.33</t>
  </si>
  <si>
    <t>29.90</t>
  </si>
  <si>
    <t>53.9</t>
  </si>
  <si>
    <t>65.6</t>
  </si>
  <si>
    <t>3.600</t>
  </si>
  <si>
    <t>-0.269</t>
  </si>
  <si>
    <t>2.463876</t>
  </si>
  <si>
    <t>2.466976</t>
  </si>
  <si>
    <t>1.672253</t>
  </si>
  <si>
    <t>0.703914</t>
  </si>
  <si>
    <t>0.204064</t>
  </si>
  <si>
    <t>-0.027049</t>
  </si>
  <si>
    <t>0.109288</t>
  </si>
  <si>
    <t>0.132804</t>
  </si>
  <si>
    <t>0.943083</t>
  </si>
  <si>
    <t>0.896189</t>
  </si>
  <si>
    <t>9.160698</t>
  </si>
  <si>
    <t>9.640047</t>
  </si>
  <si>
    <t>PSF-01608_20261015140925_03f</t>
  </si>
  <si>
    <t>100.850700</t>
  </si>
  <si>
    <t>431.531677</t>
  </si>
  <si>
    <t>0.766296</t>
  </si>
  <si>
    <t>18.52</t>
  </si>
  <si>
    <t>32.23</t>
  </si>
  <si>
    <t>30.02</t>
  </si>
  <si>
    <t>-4.6</t>
  </si>
  <si>
    <t>102.9</t>
  </si>
  <si>
    <t>1.215</t>
  </si>
  <si>
    <t>13.079</t>
  </si>
  <si>
    <t>67.458</t>
  </si>
  <si>
    <t>2.464565</t>
  </si>
  <si>
    <t>2.468484</t>
  </si>
  <si>
    <t>1.669819</t>
  </si>
  <si>
    <t>0.592011</t>
  </si>
  <si>
    <t>0.204869</t>
  </si>
  <si>
    <t>-0.024524</t>
  </si>
  <si>
    <t>0.118158</t>
  </si>
  <si>
    <t>0.131421</t>
  </si>
  <si>
    <t>0.907677</t>
  </si>
  <si>
    <t>0.869022</t>
  </si>
  <si>
    <t>8.882213</t>
  </si>
  <si>
    <t>9.277304</t>
  </si>
  <si>
    <t>PSF-01608_20261015140945_d11</t>
  </si>
  <si>
    <t>86.814522</t>
  </si>
  <si>
    <t>422.500122</t>
  </si>
  <si>
    <t>0.794522</t>
  </si>
  <si>
    <t>17.99</t>
  </si>
  <si>
    <t>32.21</t>
  </si>
  <si>
    <t>31.05</t>
  </si>
  <si>
    <t>39.5</t>
  </si>
  <si>
    <t>74.8</t>
  </si>
  <si>
    <t>3.599</t>
  </si>
  <si>
    <t>2.463650</t>
  </si>
  <si>
    <t>2.467253</t>
  </si>
  <si>
    <t>1.670261</t>
  </si>
  <si>
    <t>0.675501</t>
  </si>
  <si>
    <t>0.205075</t>
  </si>
  <si>
    <t>-0.012517</t>
  </si>
  <si>
    <t>0.121057</t>
  </si>
  <si>
    <t>0.131525</t>
  </si>
  <si>
    <t>0.875755</t>
  </si>
  <si>
    <t>0.855644</t>
  </si>
  <si>
    <t>8.745516</t>
  </si>
  <si>
    <t>8.951071</t>
  </si>
  <si>
    <t>PSF-01608_20261015140953_b8c</t>
  </si>
  <si>
    <t>39.713501</t>
  </si>
  <si>
    <t>185.043808</t>
  </si>
  <si>
    <t>0.785383</t>
  </si>
  <si>
    <t>18.14</t>
  </si>
  <si>
    <t>17.72</t>
  </si>
  <si>
    <t>32.20</t>
  </si>
  <si>
    <t>23.5</t>
  </si>
  <si>
    <t>85.0</t>
  </si>
  <si>
    <t>2.463192</t>
  </si>
  <si>
    <t>2.466110</t>
  </si>
  <si>
    <t>1.670364</t>
  </si>
  <si>
    <t>0.644572</t>
  </si>
  <si>
    <t>0.205158</t>
  </si>
  <si>
    <t>-0.028876</t>
  </si>
  <si>
    <t>0.122291</t>
  </si>
  <si>
    <t>0.128375</t>
  </si>
  <si>
    <t>62.043785</t>
  </si>
  <si>
    <t>0.869366</t>
  </si>
  <si>
    <t>0.851468</t>
  </si>
  <si>
    <t>8.671987</t>
  </si>
  <si>
    <t>8.854280</t>
  </si>
  <si>
    <t>PSF-01608_20261015142739_dee</t>
  </si>
  <si>
    <t>87.266563</t>
  </si>
  <si>
    <t>145.613190</t>
  </si>
  <si>
    <t>0.400696</t>
  </si>
  <si>
    <t>16.85</t>
  </si>
  <si>
    <t>33.01</t>
  </si>
  <si>
    <t>31.38</t>
  </si>
  <si>
    <t>98.19</t>
  </si>
  <si>
    <t>81.3</t>
  </si>
  <si>
    <t>3.597</t>
  </si>
  <si>
    <t>14:27:17</t>
  </si>
  <si>
    <t>0.85</t>
  </si>
  <si>
    <t>-0.203</t>
  </si>
  <si>
    <t>36.824</t>
  </si>
  <si>
    <t>68.157</t>
  </si>
  <si>
    <t>2.461638</t>
  </si>
  <si>
    <t>2.464389</t>
  </si>
  <si>
    <t>1.670406</t>
  </si>
  <si>
    <t>0.760537</t>
  </si>
  <si>
    <t>0.198734</t>
  </si>
  <si>
    <t>-0.018081</t>
  </si>
  <si>
    <t>0.121237</t>
  </si>
  <si>
    <t>0.182257</t>
  </si>
  <si>
    <t>0.869147</t>
  </si>
  <si>
    <t>0.852061</t>
  </si>
  <si>
    <t>8.677587</t>
  </si>
  <si>
    <t>8.851597</t>
  </si>
  <si>
    <t>PSF-01608_20261015142803_b54</t>
  </si>
  <si>
    <t>106.241226</t>
  </si>
  <si>
    <t>212.591522</t>
  </si>
  <si>
    <t>0.500257</t>
  </si>
  <si>
    <t>16.86</t>
  </si>
  <si>
    <t>33.00</t>
  </si>
  <si>
    <t>31.81</t>
  </si>
  <si>
    <t>52.9</t>
  </si>
  <si>
    <t>79</t>
  </si>
  <si>
    <t>3.564</t>
  </si>
  <si>
    <t>0.882</t>
  </si>
  <si>
    <t>2.461671</t>
  </si>
  <si>
    <t>2.464396</t>
  </si>
  <si>
    <t>1.670282</t>
  </si>
  <si>
    <t>0.702005</t>
  </si>
  <si>
    <t>0.198795</t>
  </si>
  <si>
    <t>-0.013021</t>
  </si>
  <si>
    <t>0.124704</t>
  </si>
  <si>
    <t>0.179273</t>
  </si>
  <si>
    <t>0.843692</t>
  </si>
  <si>
    <t>0.835024</t>
  </si>
  <si>
    <t>8.504581</t>
  </si>
  <si>
    <t>8.592863</t>
  </si>
  <si>
    <t>PSF-01608_20261015142815_55a</t>
  </si>
  <si>
    <t>119.210602</t>
  </si>
  <si>
    <t>231.799728</t>
  </si>
  <si>
    <t>0.485717</t>
  </si>
  <si>
    <t>16.71</t>
  </si>
  <si>
    <t>16.54</t>
  </si>
  <si>
    <t>32.99</t>
  </si>
  <si>
    <t>31.41</t>
  </si>
  <si>
    <t>29.0</t>
  </si>
  <si>
    <t>3.598</t>
  </si>
  <si>
    <t>0.783</t>
  </si>
  <si>
    <t>2.461106</t>
  </si>
  <si>
    <t>2.463519</t>
  </si>
  <si>
    <t>1.671563</t>
  </si>
  <si>
    <t>0.655032</t>
  </si>
  <si>
    <t>0.198883</t>
  </si>
  <si>
    <t>-0.017419</t>
  </si>
  <si>
    <t>0.126254</t>
  </si>
  <si>
    <t>0.176345</t>
  </si>
  <si>
    <t>0.919368</t>
  </si>
  <si>
    <t>0.896779</t>
  </si>
  <si>
    <t>9.132936</t>
  </si>
  <si>
    <t>9.362983</t>
  </si>
  <si>
    <t>PSF-01608_20261015142852_1dc</t>
  </si>
  <si>
    <t>133.011810</t>
  </si>
  <si>
    <t>149.591797</t>
  </si>
  <si>
    <t>0.110835</t>
  </si>
  <si>
    <t>17.77</t>
  </si>
  <si>
    <t>37.02</t>
  </si>
  <si>
    <t>26.3</t>
  </si>
  <si>
    <t>83.2</t>
  </si>
  <si>
    <t>1767</t>
  </si>
  <si>
    <t>-8.333</t>
  </si>
  <si>
    <t>2.463236</t>
  </si>
  <si>
    <t>2.466193</t>
  </si>
  <si>
    <t>1.671105</t>
  </si>
  <si>
    <t>0.649866</t>
  </si>
  <si>
    <t>0.198967</t>
  </si>
  <si>
    <t>0.048999</t>
  </si>
  <si>
    <t>0.131475</t>
  </si>
  <si>
    <t>1.736849</t>
  </si>
  <si>
    <t>133.463150</t>
  </si>
  <si>
    <t>0.889531</t>
  </si>
  <si>
    <t>0.873157</t>
  </si>
  <si>
    <t>8.892228</t>
  </si>
  <si>
    <t>9.058978</t>
  </si>
  <si>
    <t>PSF-01608_20261015142908_4ca</t>
  </si>
  <si>
    <t>92.241165</t>
  </si>
  <si>
    <t>208.597534</t>
  </si>
  <si>
    <t>0.557803</t>
  </si>
  <si>
    <t>17.61</t>
  </si>
  <si>
    <t>17.28</t>
  </si>
  <si>
    <t>37.3</t>
  </si>
  <si>
    <t>1385</t>
  </si>
  <si>
    <t>5.724</t>
  </si>
  <si>
    <t>2.462392</t>
  </si>
  <si>
    <t>2.465110</t>
  </si>
  <si>
    <t>1.670452</t>
  </si>
  <si>
    <t>0.796730</t>
  </si>
  <si>
    <t>0.198792</t>
  </si>
  <si>
    <t>-0.006210</t>
  </si>
  <si>
    <t>0.133612</t>
  </si>
  <si>
    <t>1.384217</t>
  </si>
  <si>
    <t>0.864592</t>
  </si>
  <si>
    <t>0.854563</t>
  </si>
  <si>
    <t>8.703159</t>
  </si>
  <si>
    <t>8.805295</t>
  </si>
  <si>
    <t>PSF-01608_20261015142919_daf</t>
  </si>
  <si>
    <t>127.465729</t>
  </si>
  <si>
    <t>144.662979</t>
  </si>
  <si>
    <t>0.118878</t>
  </si>
  <si>
    <t>16.90</t>
  </si>
  <si>
    <t>35.03</t>
  </si>
  <si>
    <t>94.0</t>
  </si>
  <si>
    <t>40.0</t>
  </si>
  <si>
    <t>1300</t>
  </si>
  <si>
    <t>3.596</t>
  </si>
  <si>
    <t>-2.089</t>
  </si>
  <si>
    <t>2.461736</t>
  </si>
  <si>
    <t>2.464214</t>
  </si>
  <si>
    <t>0.787662</t>
  </si>
  <si>
    <t>0.198701</t>
  </si>
  <si>
    <t>0.024524</t>
  </si>
  <si>
    <t>0.135120</t>
  </si>
  <si>
    <t>1.305570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</si>
</sst>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
    <numFmt numFmtId="166" formatCode="m/d"/>
  </numFmts>
  <fonts count="13">
    <font>
      <sz val="10.0"/>
      <color rgb="FF000000"/>
      <name val="Arial"/>
      <scheme val="minor"/>
    </font>
    <font>
      <color theme="1"/>
      <name val="Arial"/>
      <scheme val="minor"/>
    </font>
    <font>
      <sz val="12.0"/>
      <color theme="1"/>
      <name val="Calibri"/>
    </font>
    <font>
      <b/>
      <color theme="1"/>
      <name val="Arial"/>
    </font>
    <font>
      <b/>
      <sz val="10.0"/>
      <color theme="1"/>
      <name val="Arial"/>
      <scheme val="minor"/>
    </font>
    <font>
      <color theme="1"/>
      <name val="Arial"/>
    </font>
    <font>
      <sz val="10.0"/>
      <color theme="1"/>
      <name val="Arial"/>
      <scheme val="minor"/>
    </font>
    <font>
      <u/>
      <sz val="10.0"/>
      <color theme="1"/>
      <name val="Arial"/>
    </font>
    <font>
      <sz val="10.0"/>
      <color theme="1"/>
      <name val="Arial"/>
    </font>
    <font>
      <u/>
      <sz val="10.0"/>
      <color theme="1"/>
      <name val="Arial"/>
    </font>
    <font>
      <sz val="10.0"/>
      <color rgb="FF1F1F1F"/>
      <name val="Arial"/>
    </font>
    <font>
      <u/>
      <color theme="1"/>
      <name val="Arial"/>
    </font>
    <font>
      <b/>
      <color theme="1"/>
      <name val="Arial"/>
      <scheme val="minor"/>
    </font>
  </fonts>
  <fills count="5">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FFE599"/>
        <bgColor rgb="FFFFE599"/>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0" fontId="5" numFmtId="0" xfId="0" applyAlignment="1" applyFont="1">
      <alignment vertical="bottom"/>
    </xf>
    <xf borderId="0" fillId="0" fontId="4" numFmtId="0" xfId="0" applyAlignment="1" applyFont="1">
      <alignment readingOrder="0" vertical="bottom"/>
    </xf>
    <xf borderId="0" fillId="0" fontId="6" numFmtId="0" xfId="0" applyAlignment="1" applyFont="1">
      <alignment vertical="bottom"/>
    </xf>
    <xf borderId="0" fillId="0" fontId="1" numFmtId="49" xfId="0" applyAlignment="1" applyFont="1" applyNumberFormat="1">
      <alignment readingOrder="0"/>
    </xf>
    <xf borderId="0" fillId="2" fontId="3" numFmtId="0" xfId="0" applyAlignment="1" applyFill="1" applyFont="1">
      <alignment readingOrder="0" vertical="bottom"/>
    </xf>
    <xf borderId="0" fillId="2" fontId="5" numFmtId="0" xfId="0" applyAlignment="1" applyFill="1" applyFont="1">
      <alignment vertical="bottom"/>
    </xf>
    <xf borderId="0" fillId="0" fontId="6" numFmtId="0" xfId="0" applyAlignment="1" applyFont="1">
      <alignment readingOrder="0" vertical="bottom"/>
    </xf>
    <xf borderId="0" fillId="0" fontId="7" numFmtId="0" xfId="0" applyAlignment="1" applyFont="1">
      <alignment vertical="bottom"/>
    </xf>
    <xf borderId="0" fillId="0" fontId="2" numFmtId="0" xfId="0" applyAlignment="1" applyFont="1">
      <alignment vertical="bottom"/>
    </xf>
    <xf borderId="0" fillId="0" fontId="8" numFmtId="0" xfId="0" applyAlignment="1" applyFont="1">
      <alignment vertical="bottom"/>
    </xf>
    <xf borderId="0" fillId="2" fontId="3" numFmtId="0" xfId="0" applyAlignment="1" applyFill="1" applyFont="1">
      <alignment vertical="bottom"/>
    </xf>
    <xf borderId="0" fillId="0" fontId="1" numFmtId="164" xfId="0" applyAlignment="1" applyFont="1" applyNumberFormat="1">
      <alignment readingOrder="0"/>
    </xf>
    <xf borderId="0" fillId="0" fontId="5" numFmtId="165" xfId="0" applyAlignment="1" applyFont="1" applyNumberFormat="1">
      <alignment vertical="bottom"/>
    </xf>
    <xf borderId="0" fillId="2" fontId="5" numFmtId="0" xfId="0" applyAlignment="1" applyFill="1" applyFont="1">
      <alignment horizontal="right" readingOrder="0" vertical="bottom"/>
    </xf>
    <xf borderId="0" fillId="2" fontId="5" numFmtId="0" xfId="0" applyAlignment="1" applyFill="1" applyFont="1">
      <alignment readingOrder="0" vertical="bottom"/>
    </xf>
    <xf borderId="0" fillId="0" fontId="8" numFmtId="0" xfId="0" applyAlignment="1" applyFont="1">
      <alignment readingOrder="0" vertical="bottom"/>
    </xf>
    <xf borderId="0" fillId="0" fontId="1" numFmtId="0" xfId="0" applyFont="1"/>
    <xf borderId="0" fillId="0" fontId="9" numFmtId="0" xfId="0" applyAlignment="1" applyFont="1">
      <alignment readingOrder="0" vertical="bottom"/>
    </xf>
    <xf borderId="0" fillId="2" fontId="5" numFmtId="165" xfId="0" applyAlignment="1" applyFill="1" applyFont="1" applyNumberFormat="1">
      <alignment horizontal="right" vertical="bottom"/>
    </xf>
    <xf borderId="0" fillId="3" fontId="10" numFmtId="0" xfId="0" applyAlignment="1" applyFill="1" applyFont="1">
      <alignment readingOrder="0" vertical="bottom"/>
    </xf>
    <xf borderId="0" fillId="0" fontId="1" numFmtId="20" xfId="0" applyAlignment="1" applyFont="1" applyNumberFormat="1">
      <alignment readingOrder="0"/>
    </xf>
    <xf borderId="0" fillId="2" fontId="5" numFmtId="0" xfId="0" applyAlignment="1" applyFill="1" applyFont="1">
      <alignment horizontal="right" vertical="bottom"/>
    </xf>
    <xf borderId="0" fillId="4" fontId="5" numFmtId="0" xfId="0" applyAlignment="1" applyFill="1" applyFont="1">
      <alignment vertical="bottom"/>
    </xf>
    <xf borderId="0" fillId="4" fontId="5" numFmtId="166" xfId="0" applyAlignment="1" applyFill="1" applyFont="1" applyNumberFormat="1">
      <alignment readingOrder="0" vertical="bottom"/>
    </xf>
    <xf borderId="0" fillId="4" fontId="5" numFmtId="0" xfId="0" applyAlignment="1" applyFill="1" applyFont="1">
      <alignment horizontal="right" readingOrder="0" vertical="bottom"/>
    </xf>
    <xf borderId="0" fillId="4" fontId="5" numFmtId="0" xfId="0" applyAlignment="1" applyFill="1" applyFont="1">
      <alignment readingOrder="0" vertical="bottom"/>
    </xf>
    <xf borderId="0" fillId="0" fontId="5" numFmtId="0" xfId="0" applyAlignment="1" applyFont="1">
      <alignment readingOrder="0" vertical="bottom"/>
    </xf>
    <xf borderId="0" fillId="0" fontId="6" numFmtId="0" xfId="0" applyAlignment="1" applyFont="1">
      <alignment readingOrder="0"/>
    </xf>
    <xf borderId="0" fillId="0" fontId="6" numFmtId="0" xfId="0" applyFont="1"/>
    <xf borderId="0" fillId="0" fontId="11" numFmtId="0" xfId="0" applyAlignment="1" applyFont="1">
      <alignment readingOrder="0" vertical="bottom"/>
    </xf>
    <xf borderId="0" fillId="0" fontId="1" numFmtId="0" xfId="0" applyAlignment="1" applyFont="1">
      <alignment readingOrder="0" shrinkToFit="0" wrapText="0"/>
    </xf>
    <xf borderId="0" fillId="0" fontId="2" numFmtId="0" xfId="0" applyAlignment="1" applyFont="1">
      <alignment readingOrder="0" vertical="bottom"/>
    </xf>
    <xf borderId="0" fillId="0" fontId="1" numFmtId="0" xfId="0" applyAlignment="1" applyFont="1">
      <alignment shrinkToFit="0" wrapText="0"/>
    </xf>
    <xf borderId="0" fillId="0" fontId="5" numFmtId="20" xfId="0" applyAlignment="1" applyFont="1" applyNumberFormat="1">
      <alignment horizontal="right" vertical="bottom"/>
    </xf>
    <xf borderId="0" fillId="0" fontId="12" numFmtId="0" xfId="0" applyAlignment="1" applyFont="1">
      <alignment readingOrder="0"/>
    </xf>
    <xf borderId="0" fillId="0" fontId="5" numFmtId="0" xfId="0" applyAlignment="1" applyFont="1">
      <alignment horizontal="right" vertical="bottom"/>
    </xf>
    <xf borderId="0" fillId="0" fontId="5" numFmtId="0" xfId="0" applyAlignment="1" applyFont="1">
      <alignment horizontal="right" readingOrder="0" vertical="bottom"/>
    </xf>
    <xf borderId="0" fillId="0" fontId="1" numFmtId="49" xfId="0" applyFont="1" applyNumberFormat="1"/>
    <xf borderId="0" fillId="0" fontId="12" numFmtId="0" xfId="0" applyFont="1"/>
    <xf borderId="0" fillId="0" fontId="2" numFmtId="0" xfId="0" applyAlignment="1" applyFont="1">
      <alignment horizontal="righ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13"/>
  </cols>
  <sheetData>
    <row r="1">
      <c r="A1" s="3" t="s">
        <v>2</v>
      </c>
      <c r="B1" s="4"/>
      <c r="C1" s="4"/>
      <c r="D1" s="4"/>
      <c r="E1" s="4"/>
      <c r="F1" s="4"/>
      <c r="G1" s="4"/>
      <c r="H1" s="8" t="s">
        <v>8</v>
      </c>
      <c r="I1" s="9"/>
      <c r="J1" s="9"/>
    </row>
    <row r="2">
      <c r="A2" s="4"/>
      <c r="B2" s="4"/>
      <c r="C2" s="4"/>
      <c r="D2" s="4"/>
      <c r="E2" s="4"/>
      <c r="F2" s="4"/>
      <c r="G2" s="4"/>
      <c r="H2" s="9"/>
      <c r="I2" s="9"/>
      <c r="J2" s="9"/>
    </row>
    <row r="3">
      <c r="A3" s="11" t="s">
        <v>21</v>
      </c>
      <c r="B3" s="13"/>
      <c r="C3" s="13"/>
      <c r="D3" s="4"/>
      <c r="E3" s="4"/>
      <c r="F3" s="4"/>
      <c r="G3" s="4"/>
      <c r="H3" s="14"/>
      <c r="I3" s="8" t="s">
        <v>33</v>
      </c>
      <c r="J3" s="8" t="s">
        <v>35</v>
      </c>
    </row>
    <row r="4">
      <c r="A4" s="13" t="s">
        <v>36</v>
      </c>
      <c r="B4" s="13"/>
      <c r="C4" s="13"/>
      <c r="D4" s="4"/>
      <c r="E4" s="4"/>
      <c r="F4" s="4"/>
      <c r="G4" s="16"/>
      <c r="H4" s="8" t="s">
        <v>42</v>
      </c>
      <c r="I4" s="14" t="s">
        <v>44</v>
      </c>
      <c r="J4" s="14" t="s">
        <v>45</v>
      </c>
    </row>
    <row r="5">
      <c r="A5" s="13" t="s">
        <v>47</v>
      </c>
      <c r="B5" s="13"/>
      <c r="C5" s="13"/>
      <c r="D5" s="4"/>
      <c r="E5" s="4"/>
      <c r="F5" s="4"/>
      <c r="G5" s="16"/>
      <c r="H5" s="17" t="s">
        <v>49</v>
      </c>
      <c r="I5" s="18" t="s">
        <v>52</v>
      </c>
      <c r="J5" s="18" t="s">
        <v>55</v>
      </c>
    </row>
    <row r="6">
      <c r="A6" s="19" t="s">
        <v>58</v>
      </c>
      <c r="B6" s="13"/>
      <c r="C6" s="13"/>
      <c r="D6" s="4"/>
      <c r="E6" s="4"/>
      <c r="F6" s="4"/>
      <c r="G6" s="16"/>
      <c r="H6" s="17" t="s">
        <v>59</v>
      </c>
      <c r="I6" s="18" t="s">
        <v>61</v>
      </c>
      <c r="J6" s="18" t="s">
        <v>63</v>
      </c>
    </row>
    <row r="7">
      <c r="A7" s="13"/>
      <c r="B7" s="13"/>
      <c r="C7" s="13"/>
      <c r="D7" s="4"/>
      <c r="E7" s="4"/>
      <c r="F7" s="4"/>
      <c r="G7" s="16"/>
      <c r="H7" s="17" t="s">
        <v>68</v>
      </c>
      <c r="I7" s="18" t="s">
        <v>69</v>
      </c>
      <c r="J7" s="18" t="s">
        <v>71</v>
      </c>
    </row>
    <row r="8">
      <c r="A8" s="21" t="s">
        <v>72</v>
      </c>
      <c r="B8" s="13"/>
      <c r="C8" s="13"/>
      <c r="D8" s="4"/>
      <c r="E8" s="4"/>
      <c r="F8" s="4"/>
      <c r="G8" s="16"/>
      <c r="H8" s="17" t="s">
        <v>73</v>
      </c>
      <c r="I8" s="18" t="s">
        <v>74</v>
      </c>
      <c r="J8" s="18" t="s">
        <v>75</v>
      </c>
    </row>
    <row r="9">
      <c r="A9" s="13" t="s">
        <v>77</v>
      </c>
      <c r="B9" s="13"/>
      <c r="C9" s="13"/>
      <c r="D9" s="4"/>
      <c r="E9" s="4"/>
      <c r="F9" s="4"/>
      <c r="G9" s="16"/>
      <c r="H9" s="17" t="s">
        <v>81</v>
      </c>
      <c r="I9" s="18" t="s">
        <v>83</v>
      </c>
      <c r="J9" s="18" t="s">
        <v>55</v>
      </c>
    </row>
    <row r="10">
      <c r="A10" s="19" t="s">
        <v>86</v>
      </c>
      <c r="B10" s="13"/>
      <c r="C10" s="13"/>
      <c r="D10" s="4"/>
      <c r="E10" s="4"/>
      <c r="F10" s="4"/>
      <c r="G10" s="4"/>
      <c r="H10" s="22"/>
      <c r="I10" s="9"/>
      <c r="J10" s="9"/>
    </row>
    <row r="11">
      <c r="A11" s="23" t="s">
        <v>94</v>
      </c>
      <c r="B11" s="13"/>
      <c r="C11" s="13"/>
      <c r="D11" s="4"/>
      <c r="E11" s="4"/>
      <c r="F11" s="4"/>
      <c r="G11" s="4"/>
      <c r="H11" s="25"/>
      <c r="I11" s="9"/>
      <c r="J11" s="9"/>
    </row>
    <row r="12">
      <c r="A12" s="19" t="s">
        <v>103</v>
      </c>
      <c r="B12" s="13"/>
      <c r="C12" s="13"/>
      <c r="D12" s="4"/>
      <c r="E12" s="4"/>
      <c r="F12" s="4"/>
      <c r="G12" s="4"/>
      <c r="H12" s="26"/>
      <c r="I12" s="27">
        <v>46316.0</v>
      </c>
      <c r="J12" s="27">
        <v>46318.0</v>
      </c>
      <c r="K12" s="1" t="s">
        <v>106</v>
      </c>
    </row>
    <row r="13">
      <c r="A13" s="19" t="s">
        <v>107</v>
      </c>
      <c r="B13" s="13"/>
      <c r="C13" s="13"/>
      <c r="D13" s="4"/>
      <c r="E13" s="4"/>
      <c r="F13" s="4"/>
      <c r="G13" s="4"/>
      <c r="H13" s="28" t="s">
        <v>109</v>
      </c>
      <c r="I13" s="29" t="s">
        <v>111</v>
      </c>
      <c r="J13" s="29" t="s">
        <v>55</v>
      </c>
    </row>
    <row r="14">
      <c r="A14" s="30" t="s">
        <v>118</v>
      </c>
      <c r="B14" s="13"/>
      <c r="C14" s="13"/>
      <c r="D14" s="4"/>
      <c r="E14" s="4"/>
      <c r="F14" s="4"/>
      <c r="G14" s="4"/>
      <c r="H14" s="28" t="s">
        <v>122</v>
      </c>
      <c r="I14" s="29" t="s">
        <v>124</v>
      </c>
      <c r="J14" s="29" t="s">
        <v>126</v>
      </c>
    </row>
    <row r="15">
      <c r="A15" s="4"/>
      <c r="B15" s="4"/>
      <c r="C15" s="4"/>
      <c r="D15" s="4"/>
      <c r="E15" s="4"/>
      <c r="F15" s="4"/>
      <c r="G15" s="4"/>
      <c r="H15" s="28" t="s">
        <v>131</v>
      </c>
      <c r="I15" s="29" t="s">
        <v>132</v>
      </c>
      <c r="J15" s="29" t="s">
        <v>133</v>
      </c>
    </row>
    <row r="16">
      <c r="A16" s="33" t="s">
        <v>134</v>
      </c>
      <c r="B16" s="4"/>
      <c r="C16" s="4"/>
      <c r="D16" s="4"/>
      <c r="E16" s="4"/>
      <c r="F16" s="4"/>
      <c r="G16" s="4"/>
      <c r="H16" s="28" t="s">
        <v>136</v>
      </c>
      <c r="I16" s="29" t="s">
        <v>137</v>
      </c>
      <c r="J16" s="29" t="s">
        <v>139</v>
      </c>
    </row>
    <row r="17">
      <c r="A17" s="30" t="s">
        <v>141</v>
      </c>
      <c r="B17" s="4"/>
      <c r="C17" s="4"/>
      <c r="D17" s="4"/>
      <c r="E17" s="4"/>
      <c r="F17" s="4"/>
      <c r="G17" s="4"/>
      <c r="H17" s="29"/>
      <c r="I17" s="29"/>
      <c r="J17" s="29"/>
    </row>
    <row r="18">
      <c r="A18" s="30" t="s">
        <v>145</v>
      </c>
      <c r="B18" s="4"/>
      <c r="C18" s="4"/>
      <c r="D18" s="4"/>
      <c r="E18" s="4"/>
      <c r="F18" s="4"/>
      <c r="G18" s="4"/>
      <c r="H18" s="26"/>
      <c r="I18" s="26"/>
      <c r="J18" s="26"/>
    </row>
    <row r="19">
      <c r="A19" s="30" t="s">
        <v>147</v>
      </c>
      <c r="B19" s="4"/>
      <c r="C19" s="4"/>
      <c r="D19" s="4"/>
      <c r="E19" s="4"/>
      <c r="F19" s="4"/>
      <c r="G19" s="4"/>
      <c r="H19" s="4"/>
      <c r="I19" s="4"/>
      <c r="J19" s="4"/>
    </row>
    <row r="20">
      <c r="A20" s="19" t="s">
        <v>149</v>
      </c>
      <c r="B20" s="4"/>
      <c r="C20" s="4"/>
      <c r="D20" s="4"/>
      <c r="E20" s="4"/>
      <c r="F20" s="4"/>
      <c r="G20" s="4"/>
      <c r="H20" s="4"/>
      <c r="I20" s="4"/>
      <c r="J20" s="4"/>
    </row>
    <row r="21">
      <c r="A21" s="30" t="s">
        <v>151</v>
      </c>
      <c r="B21" s="4"/>
      <c r="C21" s="4"/>
      <c r="D21" s="4"/>
      <c r="E21" s="4"/>
      <c r="F21" s="4"/>
      <c r="G21" s="4"/>
      <c r="H21" s="4"/>
      <c r="I21" s="4"/>
      <c r="J21" s="4"/>
    </row>
    <row r="22">
      <c r="A22" s="4"/>
      <c r="B22" s="4"/>
      <c r="C22" s="4"/>
      <c r="D22" s="4"/>
      <c r="E22" s="4"/>
      <c r="F22" s="4"/>
      <c r="G22" s="4"/>
      <c r="H22" s="4"/>
      <c r="I22" s="4"/>
      <c r="J22" s="4"/>
    </row>
    <row r="23">
      <c r="A23" s="33" t="s">
        <v>156</v>
      </c>
      <c r="B23" s="4"/>
      <c r="C23" s="4"/>
      <c r="D23" s="4"/>
      <c r="E23" s="4"/>
      <c r="F23" s="4"/>
      <c r="G23" s="4"/>
      <c r="H23" s="4"/>
      <c r="I23" s="4"/>
      <c r="J23" s="4"/>
    </row>
    <row r="24">
      <c r="A24" s="19" t="s">
        <v>160</v>
      </c>
      <c r="B24" s="4"/>
      <c r="C24" s="4"/>
      <c r="D24" s="4"/>
      <c r="E24" s="4"/>
      <c r="F24" s="4"/>
      <c r="G24" s="4"/>
      <c r="H24" s="4"/>
      <c r="I24" s="4"/>
      <c r="J24" s="4"/>
    </row>
    <row r="25">
      <c r="A25" s="30" t="s">
        <v>166</v>
      </c>
      <c r="B25" s="4"/>
      <c r="C25" s="4"/>
      <c r="D25" s="4"/>
      <c r="E25" s="4"/>
      <c r="F25" s="4"/>
      <c r="G25" s="4"/>
      <c r="H25" s="4"/>
      <c r="I25" s="4"/>
      <c r="J25" s="4"/>
    </row>
    <row r="26">
      <c r="A26" s="19" t="s">
        <v>172</v>
      </c>
      <c r="B26" s="4"/>
      <c r="C26" s="4"/>
      <c r="D26" s="4"/>
      <c r="E26" s="4"/>
      <c r="F26" s="4"/>
      <c r="G26" s="4"/>
      <c r="H26" s="4"/>
      <c r="I26" s="4"/>
      <c r="J26" s="4"/>
    </row>
    <row r="27">
      <c r="A27" s="19" t="s">
        <v>175</v>
      </c>
      <c r="B27" s="4"/>
      <c r="C27" s="4"/>
      <c r="D27" s="4"/>
      <c r="E27" s="4"/>
      <c r="F27" s="4"/>
      <c r="G27" s="4"/>
      <c r="H27" s="4"/>
      <c r="I27" s="4"/>
      <c r="J27" s="4"/>
    </row>
    <row r="28">
      <c r="A28" s="30" t="s">
        <v>151</v>
      </c>
      <c r="B28" s="4"/>
      <c r="C28" s="4"/>
      <c r="D28" s="4"/>
      <c r="E28" s="4"/>
      <c r="F28" s="4"/>
      <c r="G28" s="4"/>
      <c r="H28" s="4"/>
      <c r="I28" s="4"/>
      <c r="J28" s="4"/>
    </row>
    <row r="29">
      <c r="A29" s="4"/>
      <c r="B29" s="4"/>
      <c r="C29" s="4"/>
      <c r="D29" s="4"/>
      <c r="E29" s="4"/>
      <c r="F29" s="4"/>
      <c r="G29" s="4"/>
      <c r="H29" s="4"/>
      <c r="I29" s="4"/>
      <c r="J29" s="4"/>
    </row>
    <row r="30">
      <c r="A30" s="33" t="s">
        <v>182</v>
      </c>
      <c r="B30" s="4"/>
      <c r="C30" s="4"/>
      <c r="D30" s="4"/>
      <c r="E30" s="4"/>
      <c r="F30" s="4"/>
      <c r="G30" s="4"/>
      <c r="H30" s="4"/>
      <c r="I30" s="4"/>
      <c r="J30" s="4"/>
    </row>
    <row r="31">
      <c r="A31" s="19" t="s">
        <v>184</v>
      </c>
      <c r="B31" s="4"/>
      <c r="C31" s="4"/>
      <c r="D31" s="4"/>
      <c r="E31" s="4"/>
      <c r="F31" s="4"/>
      <c r="G31" s="4"/>
      <c r="H31" s="4"/>
      <c r="I31" s="4"/>
      <c r="J31" s="4"/>
    </row>
    <row r="32">
      <c r="A32" s="30" t="s">
        <v>187</v>
      </c>
      <c r="B32" s="4"/>
      <c r="C32" s="4"/>
      <c r="D32" s="4"/>
      <c r="E32" s="4"/>
      <c r="F32" s="4"/>
      <c r="G32" s="4"/>
      <c r="H32" s="4"/>
      <c r="I32" s="4"/>
      <c r="J32" s="4"/>
    </row>
    <row r="33">
      <c r="A33" s="19" t="s">
        <v>193</v>
      </c>
      <c r="B33" s="4"/>
      <c r="C33" s="4"/>
      <c r="D33" s="4"/>
      <c r="E33" s="4"/>
      <c r="F33" s="4"/>
      <c r="G33" s="4"/>
      <c r="H33" s="4"/>
      <c r="I33" s="4"/>
      <c r="J33" s="4"/>
    </row>
    <row r="34">
      <c r="A34" s="19" t="s">
        <v>175</v>
      </c>
      <c r="B34" s="4"/>
      <c r="C34" s="4"/>
      <c r="D34" s="4"/>
      <c r="E34" s="4"/>
      <c r="F34" s="4"/>
      <c r="G34" s="4"/>
      <c r="H34" s="4"/>
      <c r="I34" s="4"/>
      <c r="J34" s="4"/>
    </row>
    <row r="35">
      <c r="A35" s="30" t="s">
        <v>151</v>
      </c>
      <c r="B35" s="4"/>
      <c r="C35" s="4"/>
      <c r="D35" s="4"/>
      <c r="E35" s="4"/>
      <c r="F35" s="4"/>
      <c r="G35" s="4"/>
      <c r="H35" s="4"/>
      <c r="I35" s="4"/>
      <c r="J35" s="4"/>
    </row>
    <row r="36">
      <c r="A36" s="33"/>
      <c r="B36" s="4"/>
      <c r="C36" s="4"/>
      <c r="D36" s="4"/>
      <c r="E36" s="4"/>
      <c r="F36" s="4"/>
      <c r="G36" s="4"/>
      <c r="H36" s="4"/>
      <c r="I36" s="4"/>
      <c r="J36" s="4"/>
    </row>
    <row r="37">
      <c r="A37" s="33" t="s">
        <v>198</v>
      </c>
      <c r="B37" s="4"/>
      <c r="C37" s="4"/>
      <c r="D37" s="4"/>
      <c r="E37" s="4"/>
      <c r="F37" s="4"/>
      <c r="G37" s="4"/>
      <c r="H37" s="4"/>
      <c r="I37" s="4"/>
      <c r="J37" s="4"/>
    </row>
    <row r="38">
      <c r="A38" s="1" t="s">
        <v>200</v>
      </c>
    </row>
    <row r="39">
      <c r="A39" s="19" t="s">
        <v>201</v>
      </c>
      <c r="B39" s="4"/>
      <c r="C39" s="4"/>
      <c r="D39" s="4"/>
      <c r="E39" s="4"/>
      <c r="F39" s="4"/>
      <c r="G39" s="4"/>
      <c r="H39" s="4"/>
      <c r="I39" s="4"/>
      <c r="J39" s="4"/>
    </row>
    <row r="40">
      <c r="A40" s="30" t="s">
        <v>205</v>
      </c>
      <c r="B40" s="4"/>
      <c r="C40" s="4"/>
      <c r="D40" s="4"/>
      <c r="E40" s="4"/>
      <c r="F40" s="4"/>
      <c r="G40" s="4"/>
      <c r="H40" s="4"/>
      <c r="I40" s="4"/>
      <c r="J40" s="4"/>
    </row>
    <row r="41">
      <c r="A41" s="4"/>
      <c r="B41" s="4"/>
      <c r="C41" s="4"/>
      <c r="D41" s="4"/>
      <c r="E41" s="4"/>
      <c r="F41" s="4"/>
      <c r="G41" s="4"/>
      <c r="H41" s="4"/>
      <c r="I41" s="4"/>
      <c r="J41" s="4"/>
    </row>
    <row r="42">
      <c r="A42" s="33" t="s">
        <v>207</v>
      </c>
      <c r="B42" s="4"/>
      <c r="C42" s="4"/>
      <c r="D42" s="4"/>
      <c r="E42" s="4"/>
      <c r="F42" s="4"/>
      <c r="G42" s="4"/>
      <c r="H42" s="4"/>
      <c r="I42" s="4"/>
      <c r="J42" s="4"/>
    </row>
    <row r="43">
      <c r="A43" s="30" t="s">
        <v>210</v>
      </c>
      <c r="B43" s="4"/>
      <c r="C43" s="4"/>
      <c r="D43" s="4"/>
      <c r="E43" s="4"/>
      <c r="F43" s="4"/>
      <c r="G43" s="4"/>
      <c r="H43" s="4"/>
      <c r="I43" s="4"/>
      <c r="J43" s="4"/>
    </row>
    <row r="44">
      <c r="A44" s="30" t="s">
        <v>211</v>
      </c>
      <c r="B44" s="4"/>
      <c r="C44" s="4"/>
      <c r="D44" s="4"/>
      <c r="E44" s="4"/>
      <c r="F44" s="4"/>
      <c r="G44" s="4"/>
      <c r="H44" s="4"/>
      <c r="I44" s="4"/>
      <c r="J44" s="4"/>
    </row>
    <row r="45">
      <c r="A45" s="30" t="s">
        <v>213</v>
      </c>
      <c r="B45" s="4"/>
      <c r="C45" s="4"/>
      <c r="D45" s="4"/>
      <c r="E45" s="4"/>
      <c r="F45" s="4"/>
      <c r="G45" s="4"/>
      <c r="H45" s="4"/>
      <c r="I45" s="4"/>
      <c r="J45" s="4"/>
    </row>
    <row r="46">
      <c r="A46" s="30" t="s">
        <v>214</v>
      </c>
      <c r="B46" s="4"/>
      <c r="C46" s="4"/>
      <c r="D46" s="4"/>
      <c r="E46" s="4"/>
      <c r="F46" s="4"/>
      <c r="G46" s="4"/>
      <c r="H46" s="4"/>
      <c r="I46" s="4"/>
      <c r="J46" s="4"/>
    </row>
    <row r="47">
      <c r="A47" s="30" t="s">
        <v>217</v>
      </c>
      <c r="B47" s="4"/>
      <c r="C47" s="4"/>
      <c r="D47" s="4"/>
      <c r="E47" s="4"/>
      <c r="F47" s="4"/>
      <c r="G47" s="4"/>
      <c r="H47" s="4"/>
      <c r="I47" s="4"/>
      <c r="J47" s="4"/>
    </row>
    <row r="48">
      <c r="A48" s="4"/>
      <c r="B48" s="4"/>
      <c r="C48" s="4"/>
      <c r="D48" s="4"/>
      <c r="E48" s="4"/>
      <c r="F48" s="4"/>
      <c r="G48" s="4"/>
      <c r="H48" s="4"/>
      <c r="I48" s="4"/>
      <c r="J48" s="4"/>
    </row>
    <row r="49">
      <c r="A49" s="4"/>
      <c r="B49" s="4"/>
      <c r="C49" s="4"/>
      <c r="D49" s="4"/>
      <c r="E49" s="4"/>
      <c r="F49" s="4"/>
      <c r="G49" s="4"/>
      <c r="H49" s="4"/>
      <c r="I49" s="4"/>
      <c r="J49" s="4"/>
    </row>
    <row r="50">
      <c r="A50" s="4"/>
      <c r="B50" s="4"/>
      <c r="C50" s="4"/>
      <c r="D50" s="4"/>
      <c r="E50" s="4"/>
      <c r="F50" s="4"/>
      <c r="G50" s="4"/>
      <c r="H50" s="4"/>
      <c r="I50" s="4"/>
      <c r="J50" s="4"/>
    </row>
    <row r="51">
      <c r="A51" s="4" t="s">
        <v>218</v>
      </c>
      <c r="B51" s="4"/>
      <c r="C51" s="4"/>
      <c r="D51" s="4"/>
      <c r="E51" s="4"/>
      <c r="F51" s="4"/>
      <c r="G51" s="4"/>
      <c r="H51" s="4"/>
      <c r="I51" s="4"/>
      <c r="J51" s="4"/>
    </row>
    <row r="52">
      <c r="A52" s="4"/>
      <c r="B52" s="4"/>
      <c r="C52" s="4"/>
      <c r="D52" s="4"/>
      <c r="E52" s="4"/>
      <c r="F52" s="4"/>
      <c r="G52" s="4"/>
      <c r="H52" s="4"/>
      <c r="I52" s="4"/>
      <c r="J52" s="4"/>
    </row>
    <row r="53">
      <c r="A53" s="4"/>
      <c r="B53" s="4"/>
      <c r="C53" s="4"/>
      <c r="D53" s="4"/>
      <c r="E53" s="4"/>
      <c r="F53" s="4"/>
      <c r="G53" s="4"/>
      <c r="H53" s="4"/>
      <c r="I53" s="4"/>
      <c r="J53" s="4"/>
    </row>
    <row r="54">
      <c r="A54" s="4"/>
      <c r="B54" s="4"/>
      <c r="C54" s="4"/>
      <c r="D54" s="4"/>
      <c r="E54" s="4"/>
      <c r="F54" s="4"/>
      <c r="G54" s="4"/>
      <c r="H54" s="4"/>
      <c r="I54" s="4"/>
      <c r="J54" s="4"/>
    </row>
    <row r="55">
      <c r="A55" s="4"/>
      <c r="B55" s="4"/>
      <c r="C55" s="4"/>
      <c r="D55" s="4"/>
      <c r="E55" s="4"/>
      <c r="F55" s="4"/>
      <c r="G55" s="4"/>
      <c r="H55" s="4"/>
      <c r="I55" s="4"/>
      <c r="J55" s="4"/>
    </row>
    <row r="56">
      <c r="A56" s="4"/>
      <c r="B56" s="4"/>
      <c r="C56" s="4"/>
      <c r="D56" s="4"/>
      <c r="E56" s="4"/>
      <c r="F56" s="4"/>
      <c r="G56" s="4"/>
      <c r="H56" s="4"/>
      <c r="I56" s="4"/>
      <c r="J56" s="4"/>
    </row>
    <row r="57">
      <c r="A57" s="4"/>
      <c r="B57" s="4"/>
      <c r="C57" s="4"/>
      <c r="D57" s="4"/>
      <c r="E57" s="4"/>
      <c r="F57" s="4"/>
      <c r="G57" s="4"/>
      <c r="H57" s="4"/>
      <c r="I57" s="4"/>
      <c r="J57" s="4"/>
    </row>
    <row r="58">
      <c r="A58" s="4"/>
      <c r="B58" s="4"/>
      <c r="C58" s="4"/>
      <c r="D58" s="4"/>
      <c r="E58" s="4"/>
      <c r="F58" s="4"/>
      <c r="G58" s="4"/>
      <c r="H58" s="4"/>
      <c r="I58" s="4"/>
      <c r="J58" s="4"/>
    </row>
    <row r="59">
      <c r="A59" s="4"/>
      <c r="B59" s="4"/>
      <c r="C59" s="4"/>
      <c r="D59" s="4"/>
      <c r="E59" s="4"/>
      <c r="F59" s="4"/>
      <c r="G59" s="4"/>
      <c r="H59" s="4"/>
      <c r="I59" s="4"/>
      <c r="J59" s="4"/>
    </row>
    <row r="60">
      <c r="A60" s="4"/>
      <c r="B60" s="4"/>
      <c r="C60" s="4"/>
      <c r="D60" s="4"/>
      <c r="E60" s="4"/>
      <c r="F60" s="4"/>
      <c r="G60" s="4"/>
      <c r="H60" s="4"/>
      <c r="I60" s="4"/>
      <c r="J60" s="4"/>
    </row>
    <row r="61">
      <c r="A61" s="4"/>
      <c r="B61" s="4"/>
      <c r="C61" s="4"/>
      <c r="D61" s="4"/>
      <c r="E61" s="4"/>
      <c r="F61" s="4"/>
      <c r="G61" s="4"/>
      <c r="H61" s="4"/>
      <c r="I61" s="4"/>
      <c r="J61" s="4"/>
    </row>
    <row r="62">
      <c r="A62" s="4"/>
      <c r="B62" s="4"/>
      <c r="C62" s="4"/>
      <c r="D62" s="4"/>
      <c r="E62" s="4"/>
      <c r="F62" s="4"/>
      <c r="G62" s="4"/>
      <c r="H62" s="4"/>
      <c r="I62" s="4"/>
      <c r="J62" s="4"/>
    </row>
    <row r="63">
      <c r="A63" s="4"/>
      <c r="B63" s="4"/>
      <c r="C63" s="4"/>
      <c r="D63" s="4"/>
      <c r="E63" s="4"/>
      <c r="F63" s="4"/>
      <c r="G63" s="4"/>
      <c r="H63" s="4"/>
      <c r="I63" s="4"/>
      <c r="J63" s="4"/>
    </row>
    <row r="64">
      <c r="A64" s="4"/>
      <c r="B64" s="4"/>
      <c r="C64" s="4"/>
      <c r="D64" s="4"/>
      <c r="E64" s="4"/>
      <c r="F64" s="4"/>
      <c r="G64" s="4"/>
      <c r="H64" s="4"/>
      <c r="I64" s="4"/>
      <c r="J64" s="4"/>
    </row>
    <row r="65">
      <c r="A65" s="4"/>
      <c r="B65" s="4"/>
      <c r="C65" s="4"/>
      <c r="D65" s="4"/>
      <c r="E65" s="4"/>
      <c r="F65" s="4"/>
      <c r="G65" s="4"/>
      <c r="H65" s="4"/>
      <c r="I65" s="4"/>
      <c r="J65" s="4"/>
    </row>
  </sheetData>
  <dataValidations>
    <dataValidation type="custom" allowBlank="1" showDropDown="1" sqref="B51:E51">
      <formula1>#REF!</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v>
      </c>
      <c r="B1" s="6"/>
      <c r="C1" s="4"/>
      <c r="D1" s="4"/>
      <c r="E1" s="4"/>
    </row>
    <row r="2">
      <c r="A2" s="10" t="s">
        <v>11</v>
      </c>
      <c r="B2" s="6"/>
      <c r="C2" s="4"/>
      <c r="D2" s="4"/>
      <c r="E2" s="4"/>
    </row>
    <row r="3">
      <c r="A3" s="10" t="s">
        <v>18</v>
      </c>
      <c r="B3" s="6"/>
      <c r="C3" s="4"/>
      <c r="D3" s="4"/>
      <c r="E3" s="4"/>
    </row>
    <row r="4">
      <c r="A4" s="6" t="s">
        <v>23</v>
      </c>
      <c r="B4" s="6"/>
      <c r="C4" s="4"/>
      <c r="D4" s="4"/>
      <c r="E4" s="4"/>
    </row>
    <row r="5">
      <c r="A5" s="5" t="s">
        <v>25</v>
      </c>
      <c r="B5" s="6"/>
      <c r="C5" s="4"/>
      <c r="D5" s="4"/>
      <c r="E5" s="4"/>
    </row>
    <row r="6">
      <c r="A6" s="6" t="s">
        <v>27</v>
      </c>
      <c r="B6" s="6" t="s">
        <v>29</v>
      </c>
      <c r="C6" s="4"/>
      <c r="D6" s="4"/>
      <c r="E6" s="4"/>
    </row>
    <row r="7">
      <c r="A7" s="10" t="s">
        <v>32</v>
      </c>
      <c r="B7" s="10" t="s">
        <v>34</v>
      </c>
      <c r="C7" s="4"/>
      <c r="D7" s="4"/>
      <c r="E7" s="4"/>
    </row>
    <row r="8">
      <c r="A8" s="6" t="s">
        <v>37</v>
      </c>
      <c r="B8" s="6" t="s">
        <v>38</v>
      </c>
      <c r="C8" s="4"/>
      <c r="D8" s="4"/>
      <c r="E8" s="4"/>
    </row>
    <row r="9">
      <c r="A9" s="10" t="s">
        <v>39</v>
      </c>
      <c r="B9" s="10" t="s">
        <v>40</v>
      </c>
      <c r="C9" s="4"/>
      <c r="D9" s="4"/>
      <c r="E9" s="4"/>
    </row>
    <row r="10">
      <c r="A10" s="10" t="s">
        <v>41</v>
      </c>
      <c r="B10" s="10" t="s">
        <v>43</v>
      </c>
      <c r="C10" s="4"/>
      <c r="D10" s="4"/>
      <c r="E10" s="4"/>
    </row>
    <row r="11">
      <c r="A11" s="10" t="s">
        <v>46</v>
      </c>
      <c r="B11" s="10" t="s">
        <v>48</v>
      </c>
      <c r="C11" s="4"/>
      <c r="D11" s="4"/>
      <c r="E11" s="4"/>
    </row>
    <row r="12">
      <c r="A12" s="10" t="s">
        <v>50</v>
      </c>
      <c r="B12" s="10" t="s">
        <v>51</v>
      </c>
      <c r="C12" s="4"/>
      <c r="D12" s="4"/>
      <c r="E12" s="4"/>
    </row>
    <row r="13">
      <c r="A13" s="10" t="s">
        <v>53</v>
      </c>
      <c r="B13" s="10" t="s">
        <v>54</v>
      </c>
      <c r="C13" s="4"/>
      <c r="D13" s="4"/>
      <c r="E13" s="4"/>
    </row>
    <row r="14">
      <c r="A14" s="10" t="s">
        <v>56</v>
      </c>
      <c r="B14" s="10" t="s">
        <v>57</v>
      </c>
      <c r="C14" s="4"/>
      <c r="D14" s="4"/>
      <c r="E14" s="4"/>
    </row>
    <row r="15">
      <c r="A15" s="10" t="s">
        <v>20</v>
      </c>
      <c r="B15" s="6"/>
      <c r="C15" s="4"/>
      <c r="D15" s="4"/>
      <c r="E15" s="4"/>
    </row>
    <row r="16">
      <c r="A16" s="6" t="s">
        <v>60</v>
      </c>
      <c r="B16" s="6" t="s">
        <v>62</v>
      </c>
      <c r="C16" s="4"/>
      <c r="D16" s="4"/>
      <c r="E16" s="4"/>
    </row>
    <row r="17">
      <c r="A17" s="10" t="s">
        <v>65</v>
      </c>
      <c r="B17" s="6" t="s">
        <v>66</v>
      </c>
      <c r="C17" s="4"/>
      <c r="D17" s="4"/>
      <c r="E17" s="4"/>
    </row>
    <row r="18">
      <c r="A18" s="10" t="s">
        <v>70</v>
      </c>
      <c r="B18" s="6" t="s">
        <v>66</v>
      </c>
      <c r="C18" s="4"/>
      <c r="D18" s="4"/>
      <c r="E18" s="4"/>
    </row>
    <row r="19">
      <c r="A19" s="6"/>
      <c r="B19" s="6"/>
      <c r="C19" s="4"/>
      <c r="D19" s="4"/>
      <c r="E19" s="4"/>
    </row>
    <row r="20">
      <c r="A20" s="6" t="s">
        <v>23</v>
      </c>
      <c r="B20" s="6"/>
      <c r="C20" s="4"/>
      <c r="D20" s="4"/>
      <c r="E20" s="4"/>
    </row>
    <row r="21">
      <c r="A21" s="5" t="s">
        <v>76</v>
      </c>
      <c r="B21" s="6"/>
      <c r="C21" s="4"/>
      <c r="D21" s="4"/>
      <c r="E21" s="4"/>
    </row>
    <row r="22">
      <c r="A22" s="6" t="s">
        <v>27</v>
      </c>
      <c r="B22" s="10" t="s">
        <v>79</v>
      </c>
      <c r="C22" s="4"/>
      <c r="D22" s="4"/>
      <c r="E22" s="4"/>
    </row>
    <row r="23">
      <c r="A23" s="10" t="s">
        <v>82</v>
      </c>
      <c r="B23" s="10" t="s">
        <v>84</v>
      </c>
      <c r="C23" s="4"/>
      <c r="D23" s="4"/>
      <c r="E23" s="4"/>
    </row>
    <row r="24">
      <c r="A24" s="10" t="s">
        <v>85</v>
      </c>
      <c r="B24" s="10" t="s">
        <v>87</v>
      </c>
      <c r="C24" s="4"/>
      <c r="D24" s="4"/>
      <c r="E24" s="4"/>
    </row>
    <row r="25">
      <c r="A25" s="10" t="s">
        <v>88</v>
      </c>
      <c r="B25" s="10" t="s">
        <v>89</v>
      </c>
      <c r="C25" s="4"/>
      <c r="D25" s="4"/>
      <c r="E25" s="4"/>
    </row>
    <row r="26">
      <c r="A26" s="10" t="s">
        <v>92</v>
      </c>
      <c r="B26" s="10" t="s">
        <v>93</v>
      </c>
      <c r="C26" s="4"/>
      <c r="D26" s="4"/>
      <c r="E26" s="4"/>
    </row>
    <row r="27">
      <c r="A27" s="10" t="s">
        <v>32</v>
      </c>
      <c r="B27" s="10" t="s">
        <v>34</v>
      </c>
      <c r="C27" s="4"/>
      <c r="D27" s="4"/>
      <c r="E27" s="4"/>
    </row>
    <row r="28">
      <c r="A28" s="6" t="s">
        <v>37</v>
      </c>
      <c r="B28" s="6" t="s">
        <v>38</v>
      </c>
      <c r="C28" s="4"/>
      <c r="D28" s="4"/>
      <c r="E28" s="4"/>
    </row>
    <row r="29">
      <c r="A29" s="10" t="s">
        <v>46</v>
      </c>
      <c r="B29" s="10" t="s">
        <v>48</v>
      </c>
      <c r="C29" s="4"/>
      <c r="D29" s="4"/>
      <c r="E29" s="4"/>
    </row>
    <row r="30">
      <c r="A30" s="10" t="s">
        <v>50</v>
      </c>
      <c r="B30" s="10" t="s">
        <v>51</v>
      </c>
      <c r="C30" s="4"/>
      <c r="D30" s="4"/>
      <c r="E30" s="4"/>
    </row>
    <row r="31">
      <c r="A31" s="10" t="s">
        <v>56</v>
      </c>
      <c r="B31" s="10" t="s">
        <v>57</v>
      </c>
      <c r="C31" s="4"/>
      <c r="D31" s="4"/>
      <c r="E31" s="4"/>
    </row>
    <row r="32">
      <c r="A32" s="6"/>
      <c r="B32" s="6"/>
      <c r="C32" s="4"/>
      <c r="D32" s="4"/>
      <c r="E32" s="4"/>
    </row>
    <row r="33">
      <c r="A33" s="6" t="s">
        <v>23</v>
      </c>
      <c r="B33" s="6"/>
      <c r="C33" s="4"/>
      <c r="D33" s="4"/>
      <c r="E33" s="4"/>
    </row>
    <row r="34">
      <c r="A34" s="5" t="s">
        <v>102</v>
      </c>
      <c r="B34" s="6"/>
      <c r="C34" s="4"/>
      <c r="D34" s="4"/>
      <c r="E34" s="4"/>
    </row>
    <row r="35">
      <c r="A35" s="6" t="s">
        <v>27</v>
      </c>
      <c r="B35" s="6" t="s">
        <v>29</v>
      </c>
      <c r="C35" s="4"/>
      <c r="D35" s="4"/>
      <c r="E35" s="4"/>
    </row>
    <row r="36">
      <c r="A36" s="10" t="s">
        <v>32</v>
      </c>
      <c r="B36" s="10" t="s">
        <v>34</v>
      </c>
      <c r="C36" s="4"/>
      <c r="D36" s="4"/>
      <c r="E36" s="4"/>
    </row>
    <row r="37">
      <c r="A37" s="6" t="s">
        <v>37</v>
      </c>
      <c r="B37" s="6" t="s">
        <v>38</v>
      </c>
      <c r="C37" s="4"/>
      <c r="D37" s="4"/>
      <c r="E37" s="4"/>
    </row>
    <row r="38">
      <c r="A38" s="10" t="s">
        <v>39</v>
      </c>
      <c r="B38" s="10" t="s">
        <v>40</v>
      </c>
      <c r="C38" s="4"/>
      <c r="D38" s="4"/>
      <c r="E38" s="4"/>
    </row>
    <row r="39">
      <c r="A39" s="10" t="s">
        <v>46</v>
      </c>
      <c r="B39" s="10" t="s">
        <v>48</v>
      </c>
      <c r="C39" s="4"/>
      <c r="D39" s="4"/>
      <c r="E39" s="4"/>
    </row>
    <row r="40">
      <c r="A40" s="10" t="s">
        <v>108</v>
      </c>
      <c r="B40" s="10" t="s">
        <v>110</v>
      </c>
      <c r="C40" s="4"/>
      <c r="D40" s="4"/>
      <c r="E40" s="4"/>
    </row>
    <row r="41">
      <c r="A41" s="10" t="s">
        <v>112</v>
      </c>
      <c r="B41" s="10" t="s">
        <v>113</v>
      </c>
      <c r="C41" s="4"/>
      <c r="D41" s="4"/>
      <c r="E41" s="4"/>
    </row>
    <row r="42">
      <c r="A42" s="10" t="s">
        <v>116</v>
      </c>
      <c r="B42" s="10" t="s">
        <v>117</v>
      </c>
    </row>
    <row r="43">
      <c r="A43" s="10" t="s">
        <v>119</v>
      </c>
      <c r="B43" s="10" t="s">
        <v>120</v>
      </c>
    </row>
    <row r="44">
      <c r="A44" s="10" t="s">
        <v>123</v>
      </c>
      <c r="B44" s="10" t="s">
        <v>125</v>
      </c>
    </row>
    <row r="45">
      <c r="A45" s="10" t="s">
        <v>127</v>
      </c>
      <c r="B45" s="10" t="s">
        <v>128</v>
      </c>
    </row>
    <row r="46">
      <c r="A46" s="31" t="s">
        <v>20</v>
      </c>
      <c r="B46" s="32"/>
    </row>
    <row r="47">
      <c r="A47" s="6" t="s">
        <v>60</v>
      </c>
      <c r="B47" s="6" t="s">
        <v>62</v>
      </c>
    </row>
    <row r="48">
      <c r="A48" s="10" t="s">
        <v>135</v>
      </c>
      <c r="B48" s="6" t="s">
        <v>66</v>
      </c>
    </row>
    <row r="49">
      <c r="A49" s="10" t="s">
        <v>140</v>
      </c>
      <c r="B49" s="6" t="s">
        <v>66</v>
      </c>
    </row>
    <row r="50">
      <c r="A50" s="10" t="s">
        <v>142</v>
      </c>
      <c r="B50" s="6" t="s">
        <v>66</v>
      </c>
    </row>
    <row r="51">
      <c r="A51" s="10" t="s">
        <v>143</v>
      </c>
      <c r="B51" s="6" t="s">
        <v>66</v>
      </c>
    </row>
    <row r="52">
      <c r="A52" s="10" t="s">
        <v>144</v>
      </c>
      <c r="B52" s="6" t="s">
        <v>66</v>
      </c>
    </row>
    <row r="53">
      <c r="A53" s="10" t="s">
        <v>146</v>
      </c>
      <c r="B53" s="6" t="s">
        <v>66</v>
      </c>
    </row>
    <row r="54">
      <c r="A54" s="32"/>
      <c r="B54" s="32"/>
    </row>
    <row r="55">
      <c r="A55" s="6" t="s">
        <v>23</v>
      </c>
      <c r="B55" s="32"/>
    </row>
    <row r="56">
      <c r="A56" s="5" t="s">
        <v>148</v>
      </c>
      <c r="B56" s="32"/>
    </row>
    <row r="57">
      <c r="A57" s="6" t="s">
        <v>27</v>
      </c>
      <c r="B57" s="6" t="s">
        <v>29</v>
      </c>
    </row>
    <row r="58">
      <c r="A58" s="10" t="s">
        <v>32</v>
      </c>
      <c r="B58" s="10" t="s">
        <v>34</v>
      </c>
    </row>
    <row r="59">
      <c r="A59" s="6" t="s">
        <v>37</v>
      </c>
      <c r="B59" s="6" t="s">
        <v>38</v>
      </c>
    </row>
    <row r="60">
      <c r="A60" s="10" t="s">
        <v>39</v>
      </c>
      <c r="B60" s="10" t="s">
        <v>40</v>
      </c>
    </row>
    <row r="61">
      <c r="A61" s="10" t="s">
        <v>46</v>
      </c>
      <c r="B61" s="10" t="s">
        <v>48</v>
      </c>
    </row>
    <row r="62">
      <c r="A62" s="10" t="s">
        <v>41</v>
      </c>
      <c r="B62" s="10" t="s">
        <v>43</v>
      </c>
    </row>
    <row r="63">
      <c r="A63" s="10" t="s">
        <v>56</v>
      </c>
      <c r="B63" s="10" t="s">
        <v>57</v>
      </c>
    </row>
    <row r="64">
      <c r="A64" s="31" t="s">
        <v>154</v>
      </c>
      <c r="B64" s="31" t="s">
        <v>155</v>
      </c>
    </row>
    <row r="65">
      <c r="A65" s="31" t="s">
        <v>157</v>
      </c>
      <c r="B65" s="31" t="s">
        <v>158</v>
      </c>
    </row>
    <row r="66">
      <c r="A66" s="31" t="s">
        <v>159</v>
      </c>
      <c r="B66" s="31" t="s">
        <v>161</v>
      </c>
    </row>
    <row r="67">
      <c r="A67" s="31" t="s">
        <v>163</v>
      </c>
      <c r="B67" s="31" t="s">
        <v>164</v>
      </c>
    </row>
    <row r="68">
      <c r="A68" s="31" t="s">
        <v>165</v>
      </c>
      <c r="B68" s="31" t="s">
        <v>167</v>
      </c>
    </row>
    <row r="69">
      <c r="A69" s="31" t="s">
        <v>168</v>
      </c>
      <c r="B69" s="31" t="s">
        <v>169</v>
      </c>
    </row>
    <row r="70">
      <c r="A70" s="31" t="s">
        <v>170</v>
      </c>
      <c r="B70" s="31" t="s">
        <v>171</v>
      </c>
    </row>
    <row r="71">
      <c r="A71" s="31" t="s">
        <v>20</v>
      </c>
      <c r="B71" s="32"/>
    </row>
    <row r="72">
      <c r="A72" s="6" t="s">
        <v>60</v>
      </c>
      <c r="B72" s="6" t="s">
        <v>62</v>
      </c>
    </row>
    <row r="73">
      <c r="A73" s="31" t="s">
        <v>174</v>
      </c>
      <c r="B73" s="6" t="s">
        <v>66</v>
      </c>
    </row>
    <row r="74">
      <c r="A74" s="31" t="s">
        <v>176</v>
      </c>
      <c r="B74" s="6" t="s">
        <v>66</v>
      </c>
    </row>
    <row r="75">
      <c r="A75" s="31" t="s">
        <v>177</v>
      </c>
      <c r="B75" s="6" t="s">
        <v>66</v>
      </c>
    </row>
    <row r="76">
      <c r="A76" s="31" t="s">
        <v>178</v>
      </c>
      <c r="B76" s="6" t="s">
        <v>66</v>
      </c>
    </row>
    <row r="77">
      <c r="A77" s="31" t="s">
        <v>179</v>
      </c>
      <c r="B77" s="6" t="s">
        <v>66</v>
      </c>
    </row>
    <row r="78">
      <c r="A78" s="31" t="s">
        <v>180</v>
      </c>
      <c r="B78" s="6" t="s">
        <v>66</v>
      </c>
    </row>
    <row r="79">
      <c r="A79" s="31" t="s">
        <v>181</v>
      </c>
      <c r="B79" s="6" t="s">
        <v>66</v>
      </c>
    </row>
    <row r="80">
      <c r="A80" s="32"/>
      <c r="B80" s="32"/>
    </row>
    <row r="81">
      <c r="A81" s="32"/>
      <c r="B81" s="32"/>
    </row>
    <row r="82">
      <c r="A82" s="6" t="s">
        <v>23</v>
      </c>
      <c r="B82" s="32"/>
    </row>
    <row r="83">
      <c r="A83" s="5" t="s">
        <v>183</v>
      </c>
      <c r="B83" s="32"/>
    </row>
    <row r="84">
      <c r="A84" s="10" t="s">
        <v>32</v>
      </c>
      <c r="B84" s="10" t="s">
        <v>34</v>
      </c>
    </row>
    <row r="85">
      <c r="A85" s="31" t="s">
        <v>185</v>
      </c>
      <c r="B85" s="31" t="s">
        <v>186</v>
      </c>
    </row>
    <row r="86">
      <c r="A86" s="31" t="s">
        <v>189</v>
      </c>
      <c r="B86" s="31" t="s">
        <v>191</v>
      </c>
    </row>
    <row r="87">
      <c r="A87" s="10" t="s">
        <v>39</v>
      </c>
      <c r="B87" s="10" t="s">
        <v>40</v>
      </c>
    </row>
    <row r="88">
      <c r="A88" s="10" t="s">
        <v>46</v>
      </c>
      <c r="B88" s="10" t="s">
        <v>48</v>
      </c>
    </row>
    <row r="89">
      <c r="A89" s="31" t="s">
        <v>195</v>
      </c>
      <c r="B89" s="31" t="s">
        <v>196</v>
      </c>
    </row>
    <row r="90">
      <c r="A90" s="6" t="s">
        <v>37</v>
      </c>
      <c r="B90" s="6" t="s">
        <v>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2.38"/>
    <col customWidth="1" min="12" max="12" width="21.63"/>
    <col customWidth="1" min="13" max="13" width="17.63"/>
  </cols>
  <sheetData>
    <row r="1">
      <c r="A1" s="1" t="s">
        <v>1</v>
      </c>
      <c r="B1" s="1" t="s">
        <v>4</v>
      </c>
      <c r="C1" s="1" t="s">
        <v>6</v>
      </c>
      <c r="D1" s="7" t="s">
        <v>7</v>
      </c>
      <c r="E1" s="7" t="s">
        <v>9</v>
      </c>
      <c r="F1" s="1" t="s">
        <v>12</v>
      </c>
      <c r="G1" s="1" t="s">
        <v>14</v>
      </c>
      <c r="H1" s="1" t="s">
        <v>15</v>
      </c>
      <c r="I1" s="7" t="s">
        <v>16</v>
      </c>
      <c r="J1" s="1" t="s">
        <v>17</v>
      </c>
      <c r="K1" s="1" t="s">
        <v>19</v>
      </c>
      <c r="L1" s="1" t="s">
        <v>22</v>
      </c>
      <c r="M1" s="1" t="s">
        <v>24</v>
      </c>
      <c r="N1" s="1" t="s">
        <v>26</v>
      </c>
    </row>
    <row r="2">
      <c r="A2" s="15">
        <v>46303.0</v>
      </c>
      <c r="B2" s="1" t="s">
        <v>64</v>
      </c>
      <c r="C2" s="1" t="s">
        <v>67</v>
      </c>
      <c r="D2" s="7" t="s">
        <v>78</v>
      </c>
      <c r="E2" s="7" t="s">
        <v>80</v>
      </c>
      <c r="F2" s="1" t="s">
        <v>98</v>
      </c>
      <c r="G2" s="1" t="s">
        <v>99</v>
      </c>
      <c r="H2" s="1">
        <v>9.8</v>
      </c>
      <c r="I2" s="7" t="s">
        <v>100</v>
      </c>
      <c r="J2" s="34" t="s">
        <v>129</v>
      </c>
      <c r="K2" s="1" t="s">
        <v>98</v>
      </c>
      <c r="L2" s="1">
        <v>9.8</v>
      </c>
      <c r="M2" s="1" t="s">
        <v>100</v>
      </c>
      <c r="N2" s="20" t="str">
        <f t="shared" ref="N2:N292" si="1">if(OR(H2&lt;&gt;L2, I2&lt;&gt;M2), "FLAG","")</f>
        <v/>
      </c>
    </row>
    <row r="3">
      <c r="A3" s="15">
        <v>46303.0</v>
      </c>
      <c r="B3" s="1" t="s">
        <v>64</v>
      </c>
      <c r="C3" s="1" t="s">
        <v>67</v>
      </c>
      <c r="D3" s="7" t="s">
        <v>78</v>
      </c>
      <c r="E3" s="7" t="s">
        <v>80</v>
      </c>
      <c r="F3" s="1" t="s">
        <v>98</v>
      </c>
      <c r="G3" s="1" t="s">
        <v>104</v>
      </c>
      <c r="H3" s="1">
        <v>5.3</v>
      </c>
      <c r="I3" s="7" t="s">
        <v>100</v>
      </c>
      <c r="J3" s="34" t="s">
        <v>215</v>
      </c>
      <c r="K3" s="1" t="s">
        <v>98</v>
      </c>
      <c r="L3" s="1">
        <v>5.3</v>
      </c>
      <c r="M3" s="7" t="s">
        <v>100</v>
      </c>
      <c r="N3" s="20" t="str">
        <f t="shared" si="1"/>
        <v/>
      </c>
    </row>
    <row r="4">
      <c r="A4" s="15">
        <v>46303.0</v>
      </c>
      <c r="B4" s="1" t="s">
        <v>64</v>
      </c>
      <c r="C4" s="1" t="s">
        <v>67</v>
      </c>
      <c r="D4" s="7" t="s">
        <v>78</v>
      </c>
      <c r="E4" s="7" t="s">
        <v>114</v>
      </c>
      <c r="F4" s="1" t="s">
        <v>121</v>
      </c>
      <c r="G4" s="20"/>
      <c r="H4" s="1">
        <v>47.3</v>
      </c>
      <c r="I4" s="1" t="s">
        <v>100</v>
      </c>
      <c r="J4" s="34" t="s">
        <v>219</v>
      </c>
      <c r="K4" s="1" t="s">
        <v>98</v>
      </c>
      <c r="L4" s="1">
        <v>47.3</v>
      </c>
      <c r="M4" s="1" t="s">
        <v>100</v>
      </c>
      <c r="N4" s="20" t="str">
        <f t="shared" si="1"/>
        <v/>
      </c>
    </row>
    <row r="5">
      <c r="A5" s="15">
        <v>46303.0</v>
      </c>
      <c r="B5" s="1" t="s">
        <v>64</v>
      </c>
      <c r="C5" s="1" t="s">
        <v>67</v>
      </c>
      <c r="D5" s="7" t="s">
        <v>78</v>
      </c>
      <c r="E5" s="7" t="s">
        <v>220</v>
      </c>
      <c r="F5" s="1" t="s">
        <v>121</v>
      </c>
      <c r="G5" s="20"/>
      <c r="H5" s="1">
        <v>0.0</v>
      </c>
      <c r="I5" s="7" t="s">
        <v>150</v>
      </c>
      <c r="J5" s="1" t="s">
        <v>221</v>
      </c>
      <c r="K5" s="1" t="s">
        <v>98</v>
      </c>
      <c r="L5" s="1">
        <v>0.0</v>
      </c>
      <c r="M5" s="7" t="s">
        <v>150</v>
      </c>
      <c r="N5" s="20" t="str">
        <f t="shared" si="1"/>
        <v/>
      </c>
    </row>
    <row r="6">
      <c r="A6" s="15">
        <v>46303.0</v>
      </c>
      <c r="B6" s="1" t="s">
        <v>64</v>
      </c>
      <c r="C6" s="1" t="s">
        <v>67</v>
      </c>
      <c r="D6" s="7" t="s">
        <v>78</v>
      </c>
      <c r="E6" s="7" t="s">
        <v>152</v>
      </c>
      <c r="F6" s="1" t="s">
        <v>121</v>
      </c>
      <c r="G6" s="20"/>
      <c r="H6" s="1">
        <v>23.6</v>
      </c>
      <c r="I6" s="7" t="s">
        <v>100</v>
      </c>
      <c r="J6" s="1" t="s">
        <v>222</v>
      </c>
      <c r="K6" s="1" t="s">
        <v>98</v>
      </c>
      <c r="L6" s="1">
        <v>23.6</v>
      </c>
      <c r="M6" s="7" t="s">
        <v>100</v>
      </c>
      <c r="N6" s="20" t="str">
        <f t="shared" si="1"/>
        <v/>
      </c>
    </row>
    <row r="7">
      <c r="A7" s="15">
        <v>46303.0</v>
      </c>
      <c r="B7" s="1" t="s">
        <v>64</v>
      </c>
      <c r="C7" s="1" t="s">
        <v>67</v>
      </c>
      <c r="D7" s="7" t="s">
        <v>78</v>
      </c>
      <c r="E7" s="7" t="s">
        <v>223</v>
      </c>
      <c r="F7" s="1" t="s">
        <v>121</v>
      </c>
      <c r="G7" s="20"/>
      <c r="H7" s="1">
        <v>0.0</v>
      </c>
      <c r="I7" s="7" t="s">
        <v>150</v>
      </c>
      <c r="J7" s="1" t="s">
        <v>224</v>
      </c>
      <c r="K7" s="1" t="s">
        <v>98</v>
      </c>
      <c r="L7" s="1">
        <v>0.0</v>
      </c>
      <c r="M7" s="7" t="s">
        <v>150</v>
      </c>
      <c r="N7" s="20" t="str">
        <f t="shared" si="1"/>
        <v/>
      </c>
    </row>
    <row r="8">
      <c r="A8" s="15">
        <v>46303.0</v>
      </c>
      <c r="B8" s="1" t="s">
        <v>64</v>
      </c>
      <c r="C8" s="1" t="s">
        <v>67</v>
      </c>
      <c r="D8" s="7" t="s">
        <v>227</v>
      </c>
      <c r="E8" s="7" t="s">
        <v>228</v>
      </c>
      <c r="F8" s="1" t="s">
        <v>194</v>
      </c>
      <c r="G8" s="1" t="s">
        <v>99</v>
      </c>
      <c r="H8" s="1">
        <v>15.0</v>
      </c>
      <c r="I8" s="7" t="s">
        <v>100</v>
      </c>
      <c r="K8" s="1" t="s">
        <v>98</v>
      </c>
      <c r="L8" s="1">
        <v>15.0</v>
      </c>
      <c r="M8" s="7" t="s">
        <v>100</v>
      </c>
      <c r="N8" s="20" t="str">
        <f t="shared" si="1"/>
        <v/>
      </c>
    </row>
    <row r="9">
      <c r="A9" s="15">
        <v>46303.0</v>
      </c>
      <c r="B9" s="1" t="s">
        <v>64</v>
      </c>
      <c r="C9" s="1" t="s">
        <v>67</v>
      </c>
      <c r="D9" s="7" t="s">
        <v>227</v>
      </c>
      <c r="E9" s="7" t="s">
        <v>228</v>
      </c>
      <c r="F9" s="1" t="s">
        <v>194</v>
      </c>
      <c r="G9" s="1" t="s">
        <v>104</v>
      </c>
      <c r="H9" s="1">
        <v>8.5</v>
      </c>
      <c r="I9" s="7" t="s">
        <v>100</v>
      </c>
      <c r="J9" s="34" t="s">
        <v>233</v>
      </c>
      <c r="K9" s="1" t="s">
        <v>98</v>
      </c>
      <c r="L9" s="1">
        <v>8.5</v>
      </c>
      <c r="M9" s="7" t="s">
        <v>100</v>
      </c>
      <c r="N9" s="20" t="str">
        <f t="shared" si="1"/>
        <v/>
      </c>
    </row>
    <row r="10">
      <c r="A10" s="15">
        <v>46303.0</v>
      </c>
      <c r="B10" s="1" t="s">
        <v>64</v>
      </c>
      <c r="C10" s="1" t="s">
        <v>67</v>
      </c>
      <c r="D10" s="7" t="s">
        <v>227</v>
      </c>
      <c r="E10" s="7" t="s">
        <v>237</v>
      </c>
      <c r="F10" s="1" t="s">
        <v>194</v>
      </c>
      <c r="G10" s="20"/>
      <c r="H10" s="1">
        <v>0.0</v>
      </c>
      <c r="I10" s="7" t="s">
        <v>150</v>
      </c>
      <c r="K10" s="1" t="s">
        <v>98</v>
      </c>
      <c r="L10" s="1">
        <v>0.0</v>
      </c>
      <c r="M10" s="7" t="s">
        <v>150</v>
      </c>
      <c r="N10" s="20" t="str">
        <f t="shared" si="1"/>
        <v/>
      </c>
    </row>
    <row r="11">
      <c r="A11" s="15">
        <v>46303.0</v>
      </c>
      <c r="B11" s="1" t="s">
        <v>64</v>
      </c>
      <c r="C11" s="1" t="s">
        <v>67</v>
      </c>
      <c r="D11" s="7" t="s">
        <v>227</v>
      </c>
      <c r="E11" s="7" t="s">
        <v>239</v>
      </c>
      <c r="F11" s="1" t="s">
        <v>194</v>
      </c>
      <c r="G11" s="1" t="s">
        <v>104</v>
      </c>
      <c r="H11" s="1">
        <v>16.4</v>
      </c>
      <c r="I11" s="7" t="s">
        <v>100</v>
      </c>
      <c r="J11" s="34" t="s">
        <v>241</v>
      </c>
      <c r="K11" s="1" t="s">
        <v>98</v>
      </c>
      <c r="L11" s="1">
        <v>16.4</v>
      </c>
      <c r="M11" s="7" t="s">
        <v>100</v>
      </c>
      <c r="N11" s="20" t="str">
        <f t="shared" si="1"/>
        <v/>
      </c>
    </row>
    <row r="12">
      <c r="A12" s="15">
        <v>46303.0</v>
      </c>
      <c r="B12" s="1" t="s">
        <v>64</v>
      </c>
      <c r="C12" s="1" t="s">
        <v>67</v>
      </c>
      <c r="D12" s="7" t="s">
        <v>227</v>
      </c>
      <c r="E12" s="7" t="s">
        <v>239</v>
      </c>
      <c r="F12" s="1" t="s">
        <v>194</v>
      </c>
      <c r="G12" s="1" t="s">
        <v>99</v>
      </c>
      <c r="H12" s="1">
        <v>18.0</v>
      </c>
      <c r="I12" s="7" t="s">
        <v>100</v>
      </c>
      <c r="J12" s="34" t="s">
        <v>245</v>
      </c>
      <c r="K12" s="1" t="s">
        <v>98</v>
      </c>
      <c r="L12" s="1">
        <v>18.0</v>
      </c>
      <c r="M12" s="7" t="s">
        <v>100</v>
      </c>
      <c r="N12" s="20" t="str">
        <f t="shared" si="1"/>
        <v/>
      </c>
    </row>
    <row r="13">
      <c r="A13" s="15">
        <v>46303.0</v>
      </c>
      <c r="B13" s="1" t="s">
        <v>64</v>
      </c>
      <c r="C13" s="1" t="s">
        <v>67</v>
      </c>
      <c r="D13" s="7" t="s">
        <v>227</v>
      </c>
      <c r="E13" s="7" t="s">
        <v>247</v>
      </c>
      <c r="F13" s="1" t="s">
        <v>194</v>
      </c>
      <c r="G13" s="20"/>
      <c r="H13" s="1">
        <v>0.0</v>
      </c>
      <c r="I13" s="7" t="s">
        <v>150</v>
      </c>
      <c r="J13" s="34" t="s">
        <v>150</v>
      </c>
      <c r="K13" s="1" t="s">
        <v>98</v>
      </c>
      <c r="L13" s="1">
        <v>0.0</v>
      </c>
      <c r="M13" s="7" t="s">
        <v>150</v>
      </c>
      <c r="N13" s="20" t="str">
        <f t="shared" si="1"/>
        <v/>
      </c>
    </row>
    <row r="14">
      <c r="A14" s="15">
        <v>46303.0</v>
      </c>
      <c r="B14" s="1" t="s">
        <v>234</v>
      </c>
      <c r="C14" s="1" t="s">
        <v>67</v>
      </c>
      <c r="D14" s="7" t="s">
        <v>202</v>
      </c>
      <c r="E14" s="7" t="s">
        <v>80</v>
      </c>
      <c r="F14" s="1" t="s">
        <v>194</v>
      </c>
      <c r="G14" s="20"/>
      <c r="H14" s="1">
        <v>12.0</v>
      </c>
      <c r="I14" s="7" t="s">
        <v>100</v>
      </c>
      <c r="J14" s="36"/>
      <c r="K14" s="1" t="s">
        <v>98</v>
      </c>
      <c r="L14" s="1">
        <v>12.0</v>
      </c>
      <c r="M14" s="7" t="s">
        <v>100</v>
      </c>
      <c r="N14" s="20" t="str">
        <f t="shared" si="1"/>
        <v/>
      </c>
    </row>
    <row r="15">
      <c r="A15" s="15">
        <v>46303.0</v>
      </c>
      <c r="B15" s="1" t="s">
        <v>234</v>
      </c>
      <c r="C15" s="1" t="s">
        <v>67</v>
      </c>
      <c r="D15" s="7" t="s">
        <v>202</v>
      </c>
      <c r="E15" s="7" t="s">
        <v>252</v>
      </c>
      <c r="F15" s="1" t="s">
        <v>194</v>
      </c>
      <c r="G15" s="20"/>
      <c r="H15" s="1">
        <v>11.5</v>
      </c>
      <c r="I15" s="7" t="s">
        <v>100</v>
      </c>
      <c r="J15" s="36"/>
      <c r="K15" s="1" t="s">
        <v>98</v>
      </c>
      <c r="L15" s="1">
        <v>11.5</v>
      </c>
      <c r="M15" s="7" t="s">
        <v>100</v>
      </c>
      <c r="N15" s="20" t="str">
        <f t="shared" si="1"/>
        <v/>
      </c>
    </row>
    <row r="16">
      <c r="A16" s="15">
        <v>46303.0</v>
      </c>
      <c r="B16" s="1" t="s">
        <v>234</v>
      </c>
      <c r="C16" s="1" t="s">
        <v>67</v>
      </c>
      <c r="D16" s="7" t="s">
        <v>202</v>
      </c>
      <c r="E16" s="7" t="s">
        <v>262</v>
      </c>
      <c r="F16" s="1" t="s">
        <v>194</v>
      </c>
      <c r="G16" s="20"/>
      <c r="H16" s="1">
        <v>15.0</v>
      </c>
      <c r="I16" s="7" t="s">
        <v>100</v>
      </c>
      <c r="J16" s="36"/>
      <c r="K16" s="1" t="s">
        <v>98</v>
      </c>
      <c r="L16" s="1">
        <v>15.0</v>
      </c>
      <c r="M16" s="7" t="s">
        <v>100</v>
      </c>
      <c r="N16" s="20" t="str">
        <f t="shared" si="1"/>
        <v/>
      </c>
    </row>
    <row r="17">
      <c r="A17" s="15">
        <v>46303.0</v>
      </c>
      <c r="B17" s="1" t="s">
        <v>234</v>
      </c>
      <c r="C17" s="1" t="s">
        <v>67</v>
      </c>
      <c r="D17" s="7" t="s">
        <v>202</v>
      </c>
      <c r="E17" s="7" t="s">
        <v>248</v>
      </c>
      <c r="F17" s="1" t="s">
        <v>235</v>
      </c>
      <c r="G17" s="20"/>
      <c r="H17" s="1">
        <v>23.0</v>
      </c>
      <c r="I17" s="7" t="s">
        <v>100</v>
      </c>
      <c r="J17" s="36"/>
      <c r="K17" s="1" t="s">
        <v>98</v>
      </c>
      <c r="L17" s="1">
        <v>23.0</v>
      </c>
      <c r="M17" s="7" t="s">
        <v>100</v>
      </c>
      <c r="N17" s="20" t="str">
        <f t="shared" si="1"/>
        <v/>
      </c>
    </row>
    <row r="18">
      <c r="A18" s="15">
        <v>46303.0</v>
      </c>
      <c r="B18" s="1" t="s">
        <v>234</v>
      </c>
      <c r="C18" s="1" t="s">
        <v>67</v>
      </c>
      <c r="D18" s="7" t="s">
        <v>202</v>
      </c>
      <c r="E18" s="7" t="s">
        <v>231</v>
      </c>
      <c r="F18" s="1" t="s">
        <v>235</v>
      </c>
      <c r="G18" s="20"/>
      <c r="H18" s="1">
        <v>90.0</v>
      </c>
      <c r="I18" s="7" t="s">
        <v>100</v>
      </c>
      <c r="J18" s="34" t="s">
        <v>268</v>
      </c>
      <c r="K18" s="1" t="s">
        <v>98</v>
      </c>
      <c r="L18" s="1">
        <v>90.0</v>
      </c>
      <c r="M18" s="7" t="s">
        <v>100</v>
      </c>
      <c r="N18" s="20" t="str">
        <f t="shared" si="1"/>
        <v/>
      </c>
    </row>
    <row r="19">
      <c r="A19" s="15">
        <v>46303.0</v>
      </c>
      <c r="B19" s="1" t="s">
        <v>234</v>
      </c>
      <c r="C19" s="1" t="s">
        <v>67</v>
      </c>
      <c r="D19" s="7" t="s">
        <v>202</v>
      </c>
      <c r="E19" s="7" t="s">
        <v>242</v>
      </c>
      <c r="F19" s="1" t="s">
        <v>235</v>
      </c>
      <c r="G19" s="20"/>
      <c r="H19" s="1">
        <v>64.5</v>
      </c>
      <c r="I19" s="7" t="s">
        <v>100</v>
      </c>
      <c r="J19" s="34" t="s">
        <v>272</v>
      </c>
      <c r="K19" s="1" t="s">
        <v>98</v>
      </c>
      <c r="L19" s="1">
        <v>64.5</v>
      </c>
      <c r="M19" s="7" t="s">
        <v>100</v>
      </c>
      <c r="N19" s="20" t="str">
        <f t="shared" si="1"/>
        <v/>
      </c>
    </row>
    <row r="20">
      <c r="A20" s="15">
        <v>46303.0</v>
      </c>
      <c r="B20" s="1" t="s">
        <v>234</v>
      </c>
      <c r="C20" s="1" t="s">
        <v>67</v>
      </c>
      <c r="D20" s="7" t="s">
        <v>202</v>
      </c>
      <c r="E20" s="7" t="s">
        <v>253</v>
      </c>
      <c r="F20" s="1" t="s">
        <v>235</v>
      </c>
      <c r="G20" s="20"/>
      <c r="H20" s="1">
        <v>52.0</v>
      </c>
      <c r="I20" s="7" t="s">
        <v>100</v>
      </c>
      <c r="J20" s="34" t="s">
        <v>276</v>
      </c>
      <c r="K20" s="1" t="s">
        <v>98</v>
      </c>
      <c r="L20" s="1">
        <v>52.0</v>
      </c>
      <c r="M20" s="7" t="s">
        <v>100</v>
      </c>
      <c r="N20" s="20" t="str">
        <f t="shared" si="1"/>
        <v/>
      </c>
    </row>
    <row r="21">
      <c r="A21" s="15">
        <v>46303.0</v>
      </c>
      <c r="B21" s="1" t="s">
        <v>209</v>
      </c>
      <c r="C21" s="1" t="s">
        <v>67</v>
      </c>
      <c r="D21" s="7" t="s">
        <v>202</v>
      </c>
      <c r="E21" s="7" t="s">
        <v>278</v>
      </c>
      <c r="F21" s="1" t="s">
        <v>121</v>
      </c>
      <c r="G21" s="20"/>
      <c r="H21" s="1">
        <v>0.0</v>
      </c>
      <c r="I21" s="7" t="s">
        <v>150</v>
      </c>
      <c r="J21" s="1" t="s">
        <v>279</v>
      </c>
      <c r="K21" s="1" t="s">
        <v>98</v>
      </c>
      <c r="L21" s="1">
        <v>0.0</v>
      </c>
      <c r="M21" s="7" t="s">
        <v>150</v>
      </c>
      <c r="N21" s="20" t="str">
        <f t="shared" si="1"/>
        <v/>
      </c>
    </row>
    <row r="22">
      <c r="A22" s="15">
        <v>46303.0</v>
      </c>
      <c r="B22" s="1" t="s">
        <v>209</v>
      </c>
      <c r="C22" s="1" t="s">
        <v>67</v>
      </c>
      <c r="D22" s="7" t="s">
        <v>202</v>
      </c>
      <c r="E22" s="7" t="s">
        <v>284</v>
      </c>
      <c r="F22" s="1" t="s">
        <v>121</v>
      </c>
      <c r="G22" s="20"/>
      <c r="H22" s="1">
        <v>0.0</v>
      </c>
      <c r="I22" s="7" t="s">
        <v>150</v>
      </c>
      <c r="J22" s="1" t="s">
        <v>279</v>
      </c>
      <c r="K22" s="1" t="s">
        <v>98</v>
      </c>
      <c r="L22" s="1">
        <v>0.0</v>
      </c>
      <c r="M22" s="7" t="s">
        <v>150</v>
      </c>
      <c r="N22" s="20" t="str">
        <f t="shared" si="1"/>
        <v/>
      </c>
    </row>
    <row r="23">
      <c r="A23" s="15">
        <v>46303.0</v>
      </c>
      <c r="B23" s="1" t="s">
        <v>209</v>
      </c>
      <c r="C23" s="1" t="s">
        <v>67</v>
      </c>
      <c r="D23" s="7" t="s">
        <v>202</v>
      </c>
      <c r="E23" s="7" t="s">
        <v>203</v>
      </c>
      <c r="F23" s="1" t="s">
        <v>121</v>
      </c>
      <c r="G23" s="20"/>
      <c r="H23" s="1">
        <v>56.0</v>
      </c>
      <c r="I23" s="7" t="s">
        <v>100</v>
      </c>
      <c r="K23" s="1" t="s">
        <v>98</v>
      </c>
      <c r="L23" s="1">
        <v>56.0</v>
      </c>
      <c r="M23" s="7" t="s">
        <v>100</v>
      </c>
      <c r="N23" s="20" t="str">
        <f t="shared" si="1"/>
        <v/>
      </c>
    </row>
    <row r="24">
      <c r="A24" s="15">
        <v>46303.0</v>
      </c>
      <c r="B24" s="1" t="s">
        <v>209</v>
      </c>
      <c r="C24" s="1" t="s">
        <v>67</v>
      </c>
      <c r="D24" s="7" t="s">
        <v>202</v>
      </c>
      <c r="E24" s="7" t="s">
        <v>292</v>
      </c>
      <c r="F24" s="1" t="s">
        <v>121</v>
      </c>
      <c r="G24" s="20"/>
      <c r="H24" s="1">
        <v>0.0</v>
      </c>
      <c r="I24" s="7" t="s">
        <v>150</v>
      </c>
      <c r="J24" s="1" t="s">
        <v>279</v>
      </c>
      <c r="K24" s="1" t="s">
        <v>98</v>
      </c>
      <c r="L24" s="1">
        <v>0.0</v>
      </c>
      <c r="M24" s="7" t="s">
        <v>150</v>
      </c>
      <c r="N24" s="20" t="str">
        <f t="shared" si="1"/>
        <v/>
      </c>
    </row>
    <row r="25">
      <c r="A25" s="15">
        <v>46303.0</v>
      </c>
      <c r="B25" s="1" t="s">
        <v>209</v>
      </c>
      <c r="C25" s="1" t="s">
        <v>67</v>
      </c>
      <c r="D25" s="7" t="s">
        <v>202</v>
      </c>
      <c r="E25" s="7" t="s">
        <v>294</v>
      </c>
      <c r="F25" s="1" t="s">
        <v>121</v>
      </c>
      <c r="G25" s="20"/>
      <c r="H25" s="1">
        <v>0.0</v>
      </c>
      <c r="I25" s="7" t="s">
        <v>150</v>
      </c>
      <c r="J25" s="1" t="s">
        <v>279</v>
      </c>
      <c r="K25" s="1" t="s">
        <v>98</v>
      </c>
      <c r="L25" s="1">
        <v>0.0</v>
      </c>
      <c r="M25" s="7" t="s">
        <v>150</v>
      </c>
      <c r="N25" s="20" t="str">
        <f t="shared" si="1"/>
        <v/>
      </c>
    </row>
    <row r="26">
      <c r="A26" s="15">
        <v>46303.0</v>
      </c>
      <c r="B26" s="1" t="s">
        <v>209</v>
      </c>
      <c r="C26" s="1" t="s">
        <v>67</v>
      </c>
      <c r="D26" s="7" t="s">
        <v>202</v>
      </c>
      <c r="E26" s="7" t="s">
        <v>298</v>
      </c>
      <c r="F26" s="1" t="s">
        <v>98</v>
      </c>
      <c r="G26" s="20"/>
      <c r="H26" s="1">
        <v>0.0</v>
      </c>
      <c r="I26" s="7" t="s">
        <v>150</v>
      </c>
      <c r="J26" s="1" t="s">
        <v>279</v>
      </c>
      <c r="K26" s="1" t="s">
        <v>98</v>
      </c>
      <c r="L26" s="1">
        <v>0.0</v>
      </c>
      <c r="M26" s="7" t="s">
        <v>150</v>
      </c>
      <c r="N26" s="20" t="str">
        <f t="shared" si="1"/>
        <v/>
      </c>
    </row>
    <row r="27">
      <c r="A27" s="15">
        <v>46303.0</v>
      </c>
      <c r="B27" s="1" t="s">
        <v>209</v>
      </c>
      <c r="C27" s="1" t="s">
        <v>67</v>
      </c>
      <c r="D27" s="7" t="s">
        <v>202</v>
      </c>
      <c r="E27" s="7" t="s">
        <v>225</v>
      </c>
      <c r="F27" s="1" t="s">
        <v>98</v>
      </c>
      <c r="G27" s="20"/>
      <c r="H27" s="1">
        <v>8.0</v>
      </c>
      <c r="I27" s="7" t="s">
        <v>100</v>
      </c>
      <c r="J27" s="34" t="s">
        <v>302</v>
      </c>
      <c r="K27" s="1" t="s">
        <v>98</v>
      </c>
      <c r="L27" s="1">
        <v>8.0</v>
      </c>
      <c r="M27" s="7" t="s">
        <v>100</v>
      </c>
      <c r="N27" s="20" t="str">
        <f t="shared" si="1"/>
        <v/>
      </c>
    </row>
    <row r="28">
      <c r="A28" s="15">
        <v>46303.0</v>
      </c>
      <c r="B28" s="1" t="s">
        <v>209</v>
      </c>
      <c r="C28" s="1" t="s">
        <v>67</v>
      </c>
      <c r="D28" s="7" t="s">
        <v>202</v>
      </c>
      <c r="E28" s="7" t="s">
        <v>309</v>
      </c>
      <c r="F28" s="1" t="s">
        <v>98</v>
      </c>
      <c r="G28" s="20"/>
      <c r="H28" s="1">
        <v>0.0</v>
      </c>
      <c r="I28" s="7" t="s">
        <v>150</v>
      </c>
      <c r="J28" s="1" t="s">
        <v>279</v>
      </c>
      <c r="K28" s="1" t="s">
        <v>98</v>
      </c>
      <c r="L28" s="1">
        <v>0.0</v>
      </c>
      <c r="M28" s="7" t="s">
        <v>150</v>
      </c>
      <c r="N28" s="20" t="str">
        <f t="shared" si="1"/>
        <v/>
      </c>
    </row>
    <row r="29">
      <c r="A29" s="15">
        <v>46303.0</v>
      </c>
      <c r="B29" s="1" t="s">
        <v>99</v>
      </c>
      <c r="C29" s="1" t="s">
        <v>67</v>
      </c>
      <c r="D29" s="7" t="s">
        <v>281</v>
      </c>
      <c r="E29" s="7" t="s">
        <v>315</v>
      </c>
      <c r="F29" s="1" t="s">
        <v>194</v>
      </c>
      <c r="G29" s="20"/>
      <c r="H29" s="1">
        <v>0.0</v>
      </c>
      <c r="I29" s="7" t="s">
        <v>150</v>
      </c>
      <c r="J29" s="36"/>
      <c r="K29" s="1" t="s">
        <v>98</v>
      </c>
      <c r="L29" s="1">
        <v>0.0</v>
      </c>
      <c r="M29" s="7" t="s">
        <v>150</v>
      </c>
      <c r="N29" s="20" t="str">
        <f t="shared" si="1"/>
        <v/>
      </c>
    </row>
    <row r="30">
      <c r="A30" s="15">
        <v>46303.0</v>
      </c>
      <c r="B30" s="1" t="s">
        <v>99</v>
      </c>
      <c r="C30" s="1" t="s">
        <v>67</v>
      </c>
      <c r="D30" s="7" t="s">
        <v>281</v>
      </c>
      <c r="E30" s="7" t="s">
        <v>307</v>
      </c>
      <c r="F30" s="1" t="s">
        <v>194</v>
      </c>
      <c r="G30" s="1" t="s">
        <v>99</v>
      </c>
      <c r="H30" s="1">
        <v>16.5</v>
      </c>
      <c r="I30" s="7" t="s">
        <v>100</v>
      </c>
      <c r="J30" s="34" t="s">
        <v>319</v>
      </c>
      <c r="K30" s="1" t="s">
        <v>98</v>
      </c>
      <c r="L30" s="1">
        <v>16.5</v>
      </c>
      <c r="M30" s="7" t="s">
        <v>100</v>
      </c>
      <c r="N30" s="20" t="str">
        <f t="shared" si="1"/>
        <v/>
      </c>
    </row>
    <row r="31">
      <c r="A31" s="15">
        <v>46303.0</v>
      </c>
      <c r="B31" s="1" t="s">
        <v>99</v>
      </c>
      <c r="C31" s="1" t="s">
        <v>67</v>
      </c>
      <c r="D31" s="7" t="s">
        <v>281</v>
      </c>
      <c r="E31" s="7" t="s">
        <v>307</v>
      </c>
      <c r="F31" s="1" t="s">
        <v>194</v>
      </c>
      <c r="G31" s="1" t="s">
        <v>104</v>
      </c>
      <c r="H31" s="1">
        <v>15.5</v>
      </c>
      <c r="I31" s="7" t="s">
        <v>100</v>
      </c>
      <c r="J31" s="34" t="s">
        <v>319</v>
      </c>
      <c r="K31" s="1" t="s">
        <v>98</v>
      </c>
      <c r="L31" s="1">
        <v>15.5</v>
      </c>
      <c r="M31" s="7" t="s">
        <v>100</v>
      </c>
      <c r="N31" s="20" t="str">
        <f t="shared" si="1"/>
        <v/>
      </c>
    </row>
    <row r="32">
      <c r="A32" s="15">
        <v>46303.0</v>
      </c>
      <c r="B32" s="1" t="s">
        <v>99</v>
      </c>
      <c r="C32" s="1" t="s">
        <v>67</v>
      </c>
      <c r="D32" s="7" t="s">
        <v>281</v>
      </c>
      <c r="E32" s="7" t="s">
        <v>307</v>
      </c>
      <c r="F32" s="1" t="s">
        <v>194</v>
      </c>
      <c r="G32" s="1" t="s">
        <v>209</v>
      </c>
      <c r="H32" s="1">
        <v>13.5</v>
      </c>
      <c r="I32" s="7" t="s">
        <v>100</v>
      </c>
      <c r="J32" s="34" t="s">
        <v>319</v>
      </c>
      <c r="K32" s="1" t="s">
        <v>98</v>
      </c>
      <c r="L32" s="1">
        <v>13.5</v>
      </c>
      <c r="M32" s="7" t="s">
        <v>100</v>
      </c>
      <c r="N32" s="20" t="str">
        <f t="shared" si="1"/>
        <v/>
      </c>
    </row>
    <row r="33">
      <c r="A33" s="15">
        <v>46303.0</v>
      </c>
      <c r="B33" s="1" t="s">
        <v>99</v>
      </c>
      <c r="C33" s="1" t="s">
        <v>67</v>
      </c>
      <c r="D33" s="7" t="s">
        <v>281</v>
      </c>
      <c r="E33" s="7" t="s">
        <v>303</v>
      </c>
      <c r="F33" s="1" t="s">
        <v>194</v>
      </c>
      <c r="G33" s="20"/>
      <c r="H33" s="1">
        <v>10.0</v>
      </c>
      <c r="I33" s="7" t="s">
        <v>100</v>
      </c>
      <c r="J33" s="36"/>
      <c r="K33" s="1" t="s">
        <v>98</v>
      </c>
      <c r="L33" s="1">
        <v>10.0</v>
      </c>
      <c r="M33" s="7" t="s">
        <v>100</v>
      </c>
      <c r="N33" s="20" t="str">
        <f t="shared" si="1"/>
        <v/>
      </c>
    </row>
    <row r="34">
      <c r="A34" s="15">
        <v>46303.0</v>
      </c>
      <c r="B34" s="1" t="s">
        <v>192</v>
      </c>
      <c r="C34" s="1" t="s">
        <v>67</v>
      </c>
      <c r="D34" s="7" t="s">
        <v>78</v>
      </c>
      <c r="E34" s="7" t="s">
        <v>188</v>
      </c>
      <c r="F34" s="1" t="s">
        <v>194</v>
      </c>
      <c r="G34" s="20"/>
      <c r="H34" s="1">
        <v>17.9</v>
      </c>
      <c r="I34" s="7" t="s">
        <v>100</v>
      </c>
      <c r="K34" s="1" t="s">
        <v>98</v>
      </c>
      <c r="L34" s="1">
        <v>17.9</v>
      </c>
      <c r="M34" s="7" t="s">
        <v>100</v>
      </c>
      <c r="N34" s="20" t="str">
        <f t="shared" si="1"/>
        <v/>
      </c>
    </row>
    <row r="35">
      <c r="A35" s="15">
        <v>46303.0</v>
      </c>
      <c r="B35" s="1" t="s">
        <v>192</v>
      </c>
      <c r="C35" s="1" t="s">
        <v>67</v>
      </c>
      <c r="D35" s="7" t="s">
        <v>78</v>
      </c>
      <c r="E35" s="7" t="s">
        <v>338</v>
      </c>
      <c r="F35" s="1" t="s">
        <v>194</v>
      </c>
      <c r="G35" s="20"/>
      <c r="H35" s="1">
        <v>0.0</v>
      </c>
      <c r="I35" s="7" t="s">
        <v>150</v>
      </c>
      <c r="J35" s="1" t="s">
        <v>354</v>
      </c>
      <c r="K35" s="1" t="s">
        <v>98</v>
      </c>
      <c r="L35" s="1">
        <v>0.0</v>
      </c>
      <c r="M35" s="7" t="s">
        <v>150</v>
      </c>
      <c r="N35" s="20" t="str">
        <f t="shared" si="1"/>
        <v/>
      </c>
    </row>
    <row r="36">
      <c r="A36" s="15">
        <v>46303.0</v>
      </c>
      <c r="B36" s="1" t="s">
        <v>192</v>
      </c>
      <c r="C36" s="1" t="s">
        <v>67</v>
      </c>
      <c r="D36" s="7" t="s">
        <v>78</v>
      </c>
      <c r="E36" s="7" t="s">
        <v>356</v>
      </c>
      <c r="F36" s="1" t="s">
        <v>194</v>
      </c>
      <c r="G36" s="20"/>
      <c r="H36" s="1">
        <v>0.0</v>
      </c>
      <c r="I36" s="7" t="s">
        <v>150</v>
      </c>
      <c r="J36" s="1" t="s">
        <v>354</v>
      </c>
      <c r="K36" s="1" t="s">
        <v>98</v>
      </c>
      <c r="L36" s="1">
        <v>0.0</v>
      </c>
      <c r="M36" s="7" t="s">
        <v>150</v>
      </c>
      <c r="N36" s="20" t="str">
        <f t="shared" si="1"/>
        <v/>
      </c>
    </row>
    <row r="37">
      <c r="A37" s="15">
        <v>46303.0</v>
      </c>
      <c r="B37" s="1" t="s">
        <v>192</v>
      </c>
      <c r="C37" s="1" t="s">
        <v>67</v>
      </c>
      <c r="D37" s="7" t="s">
        <v>78</v>
      </c>
      <c r="E37" s="7" t="s">
        <v>359</v>
      </c>
      <c r="F37" s="1" t="s">
        <v>194</v>
      </c>
      <c r="G37" s="20"/>
      <c r="H37" s="1">
        <v>0.0</v>
      </c>
      <c r="I37" s="7" t="s">
        <v>150</v>
      </c>
      <c r="J37" s="1" t="s">
        <v>354</v>
      </c>
      <c r="K37" s="1" t="s">
        <v>98</v>
      </c>
      <c r="L37" s="1">
        <v>0.0</v>
      </c>
      <c r="M37" s="7" t="s">
        <v>150</v>
      </c>
      <c r="N37" s="20" t="str">
        <f t="shared" si="1"/>
        <v/>
      </c>
    </row>
    <row r="38">
      <c r="A38" s="15">
        <v>46303.0</v>
      </c>
      <c r="B38" s="1" t="s">
        <v>192</v>
      </c>
      <c r="C38" s="1" t="s">
        <v>67</v>
      </c>
      <c r="D38" s="7" t="s">
        <v>227</v>
      </c>
      <c r="E38" s="7" t="s">
        <v>320</v>
      </c>
      <c r="F38" s="1" t="s">
        <v>98</v>
      </c>
      <c r="G38" s="20"/>
      <c r="H38" s="1">
        <v>8.0</v>
      </c>
      <c r="I38" s="7" t="s">
        <v>100</v>
      </c>
      <c r="K38" s="1" t="s">
        <v>98</v>
      </c>
      <c r="L38" s="1">
        <v>8.0</v>
      </c>
      <c r="M38" s="7" t="s">
        <v>100</v>
      </c>
      <c r="N38" s="20" t="str">
        <f t="shared" si="1"/>
        <v/>
      </c>
    </row>
    <row r="39">
      <c r="A39" s="15">
        <v>46303.0</v>
      </c>
      <c r="B39" s="1" t="s">
        <v>192</v>
      </c>
      <c r="C39" s="1" t="s">
        <v>67</v>
      </c>
      <c r="D39" s="7" t="s">
        <v>227</v>
      </c>
      <c r="E39" s="7" t="s">
        <v>365</v>
      </c>
      <c r="F39" s="1" t="s">
        <v>98</v>
      </c>
      <c r="G39" s="20"/>
      <c r="H39" s="1">
        <v>0.0</v>
      </c>
      <c r="I39" s="7" t="s">
        <v>150</v>
      </c>
      <c r="J39" s="1" t="s">
        <v>354</v>
      </c>
      <c r="K39" s="1" t="s">
        <v>98</v>
      </c>
      <c r="L39" s="1">
        <v>0.0</v>
      </c>
      <c r="M39" s="7" t="s">
        <v>150</v>
      </c>
      <c r="N39" s="20" t="str">
        <f t="shared" si="1"/>
        <v/>
      </c>
    </row>
    <row r="40">
      <c r="A40" s="15">
        <v>46303.0</v>
      </c>
      <c r="B40" s="1" t="s">
        <v>192</v>
      </c>
      <c r="C40" s="1" t="s">
        <v>67</v>
      </c>
      <c r="D40" s="7" t="s">
        <v>227</v>
      </c>
      <c r="E40" s="7" t="s">
        <v>324</v>
      </c>
      <c r="F40" s="1" t="s">
        <v>98</v>
      </c>
      <c r="G40" s="20"/>
      <c r="H40" s="1">
        <v>10.7</v>
      </c>
      <c r="I40" s="7" t="s">
        <v>100</v>
      </c>
      <c r="K40" s="1" t="s">
        <v>98</v>
      </c>
      <c r="L40" s="1">
        <v>10.7</v>
      </c>
      <c r="M40" s="7" t="s">
        <v>100</v>
      </c>
      <c r="N40" s="20" t="str">
        <f t="shared" si="1"/>
        <v/>
      </c>
    </row>
    <row r="41">
      <c r="A41" s="15">
        <v>46303.0</v>
      </c>
      <c r="B41" s="1" t="s">
        <v>192</v>
      </c>
      <c r="C41" s="1" t="s">
        <v>67</v>
      </c>
      <c r="D41" s="7" t="s">
        <v>227</v>
      </c>
      <c r="E41" s="7" t="s">
        <v>372</v>
      </c>
      <c r="F41" s="1" t="s">
        <v>121</v>
      </c>
      <c r="G41" s="20"/>
      <c r="H41" s="1">
        <v>0.0</v>
      </c>
      <c r="I41" s="7" t="s">
        <v>150</v>
      </c>
      <c r="J41" s="1" t="s">
        <v>354</v>
      </c>
      <c r="K41" s="1" t="s">
        <v>98</v>
      </c>
      <c r="L41" s="1">
        <v>0.0</v>
      </c>
      <c r="M41" s="7" t="s">
        <v>150</v>
      </c>
      <c r="N41" s="20" t="str">
        <f t="shared" si="1"/>
        <v/>
      </c>
    </row>
    <row r="42">
      <c r="A42" s="15">
        <v>46303.0</v>
      </c>
      <c r="B42" s="1" t="s">
        <v>192</v>
      </c>
      <c r="C42" s="1" t="s">
        <v>67</v>
      </c>
      <c r="D42" s="7" t="s">
        <v>227</v>
      </c>
      <c r="E42" s="7" t="s">
        <v>376</v>
      </c>
      <c r="F42" s="1" t="s">
        <v>121</v>
      </c>
      <c r="G42" s="20"/>
      <c r="H42" s="1">
        <v>0.0</v>
      </c>
      <c r="I42" s="7" t="s">
        <v>150</v>
      </c>
      <c r="J42" s="1" t="s">
        <v>354</v>
      </c>
      <c r="K42" s="1" t="s">
        <v>98</v>
      </c>
      <c r="L42" s="1">
        <v>0.0</v>
      </c>
      <c r="M42" s="7" t="s">
        <v>150</v>
      </c>
      <c r="N42" s="20" t="str">
        <f t="shared" si="1"/>
        <v/>
      </c>
    </row>
    <row r="43">
      <c r="A43" s="15">
        <v>46303.0</v>
      </c>
      <c r="B43" s="1" t="s">
        <v>192</v>
      </c>
      <c r="C43" s="1" t="s">
        <v>67</v>
      </c>
      <c r="D43" s="7" t="s">
        <v>227</v>
      </c>
      <c r="E43" s="7" t="s">
        <v>378</v>
      </c>
      <c r="F43" s="1" t="s">
        <v>121</v>
      </c>
      <c r="G43" s="20"/>
      <c r="H43" s="1">
        <v>0.0</v>
      </c>
      <c r="I43" s="7" t="s">
        <v>150</v>
      </c>
      <c r="J43" s="1" t="s">
        <v>354</v>
      </c>
      <c r="K43" s="1" t="s">
        <v>98</v>
      </c>
      <c r="L43" s="1">
        <v>0.0</v>
      </c>
      <c r="M43" s="7" t="s">
        <v>150</v>
      </c>
      <c r="N43" s="20" t="str">
        <f t="shared" si="1"/>
        <v/>
      </c>
    </row>
    <row r="44">
      <c r="A44" s="15">
        <v>46303.0</v>
      </c>
      <c r="B44" s="1" t="s">
        <v>104</v>
      </c>
      <c r="C44" s="1" t="s">
        <v>67</v>
      </c>
      <c r="D44" s="7" t="s">
        <v>281</v>
      </c>
      <c r="E44" s="7" t="s">
        <v>382</v>
      </c>
      <c r="F44" s="1" t="s">
        <v>121</v>
      </c>
      <c r="G44" s="20"/>
      <c r="H44" s="1">
        <v>0.0</v>
      </c>
      <c r="I44" s="7" t="s">
        <v>150</v>
      </c>
      <c r="J44" s="34" t="s">
        <v>383</v>
      </c>
      <c r="K44" s="1" t="s">
        <v>98</v>
      </c>
      <c r="L44" s="1">
        <v>0.0</v>
      </c>
      <c r="M44" s="7" t="s">
        <v>150</v>
      </c>
      <c r="N44" s="20" t="str">
        <f t="shared" si="1"/>
        <v/>
      </c>
    </row>
    <row r="45">
      <c r="A45" s="15">
        <v>46303.0</v>
      </c>
      <c r="B45" s="1" t="s">
        <v>104</v>
      </c>
      <c r="C45" s="1" t="s">
        <v>67</v>
      </c>
      <c r="D45" s="7" t="s">
        <v>281</v>
      </c>
      <c r="E45" s="7" t="s">
        <v>282</v>
      </c>
      <c r="F45" s="1" t="s">
        <v>121</v>
      </c>
      <c r="G45" s="20"/>
      <c r="H45" s="1">
        <v>18.7</v>
      </c>
      <c r="I45" s="7" t="s">
        <v>100</v>
      </c>
      <c r="K45" s="1" t="s">
        <v>98</v>
      </c>
      <c r="L45" s="1">
        <v>18.7</v>
      </c>
      <c r="M45" s="7" t="s">
        <v>100</v>
      </c>
      <c r="N45" s="20" t="str">
        <f t="shared" si="1"/>
        <v/>
      </c>
    </row>
    <row r="46">
      <c r="A46" s="15">
        <v>46303.0</v>
      </c>
      <c r="B46" s="1" t="s">
        <v>104</v>
      </c>
      <c r="C46" s="1" t="s">
        <v>67</v>
      </c>
      <c r="D46" s="7" t="s">
        <v>281</v>
      </c>
      <c r="E46" s="7" t="s">
        <v>390</v>
      </c>
      <c r="F46" s="1" t="s">
        <v>121</v>
      </c>
      <c r="G46" s="20"/>
      <c r="H46" s="1">
        <v>0.0</v>
      </c>
      <c r="I46" s="7" t="s">
        <v>150</v>
      </c>
      <c r="K46" s="1" t="s">
        <v>98</v>
      </c>
      <c r="L46" s="1">
        <v>0.0</v>
      </c>
      <c r="M46" s="7" t="s">
        <v>150</v>
      </c>
      <c r="N46" s="20" t="str">
        <f t="shared" si="1"/>
        <v/>
      </c>
    </row>
    <row r="47">
      <c r="A47" s="15">
        <v>46303.0</v>
      </c>
      <c r="B47" s="1" t="s">
        <v>104</v>
      </c>
      <c r="C47" s="1" t="s">
        <v>67</v>
      </c>
      <c r="D47" s="7" t="s">
        <v>281</v>
      </c>
      <c r="E47" s="7" t="s">
        <v>393</v>
      </c>
      <c r="F47" s="1" t="s">
        <v>98</v>
      </c>
      <c r="G47" s="20"/>
      <c r="H47" s="1">
        <v>13.5</v>
      </c>
      <c r="I47" s="7" t="s">
        <v>100</v>
      </c>
      <c r="K47" s="1" t="s">
        <v>98</v>
      </c>
      <c r="L47" s="1">
        <v>13.5</v>
      </c>
      <c r="M47" s="7" t="s">
        <v>100</v>
      </c>
      <c r="N47" s="20" t="str">
        <f t="shared" si="1"/>
        <v/>
      </c>
    </row>
    <row r="48">
      <c r="A48" s="15">
        <v>46303.0</v>
      </c>
      <c r="B48" s="1" t="s">
        <v>104</v>
      </c>
      <c r="C48" s="1" t="s">
        <v>67</v>
      </c>
      <c r="D48" s="7" t="s">
        <v>281</v>
      </c>
      <c r="E48" s="7" t="s">
        <v>290</v>
      </c>
      <c r="F48" s="1" t="s">
        <v>98</v>
      </c>
      <c r="G48" s="20"/>
      <c r="H48" s="1">
        <v>13.3</v>
      </c>
      <c r="I48" s="7" t="s">
        <v>100</v>
      </c>
      <c r="K48" s="1" t="s">
        <v>98</v>
      </c>
      <c r="L48" s="1">
        <v>13.3</v>
      </c>
      <c r="M48" s="7" t="s">
        <v>100</v>
      </c>
      <c r="N48" s="20" t="str">
        <f t="shared" si="1"/>
        <v/>
      </c>
    </row>
    <row r="49">
      <c r="A49" s="15">
        <v>46303.0</v>
      </c>
      <c r="B49" s="1" t="s">
        <v>104</v>
      </c>
      <c r="C49" s="1" t="s">
        <v>67</v>
      </c>
      <c r="D49" s="7" t="s">
        <v>281</v>
      </c>
      <c r="E49" s="7" t="s">
        <v>285</v>
      </c>
      <c r="F49" s="1" t="s">
        <v>98</v>
      </c>
      <c r="G49" s="20"/>
      <c r="H49" s="1">
        <v>19.0</v>
      </c>
      <c r="I49" s="7" t="s">
        <v>100</v>
      </c>
      <c r="K49" s="1" t="s">
        <v>98</v>
      </c>
      <c r="L49" s="1">
        <v>19.0</v>
      </c>
      <c r="M49" s="7" t="s">
        <v>100</v>
      </c>
      <c r="N49" s="20" t="str">
        <f t="shared" si="1"/>
        <v/>
      </c>
    </row>
    <row r="50">
      <c r="A50" s="15">
        <v>46303.0</v>
      </c>
      <c r="B50" s="1" t="s">
        <v>104</v>
      </c>
      <c r="C50" s="1" t="s">
        <v>67</v>
      </c>
      <c r="D50" s="7" t="s">
        <v>281</v>
      </c>
      <c r="E50" s="7" t="s">
        <v>402</v>
      </c>
      <c r="F50" s="1" t="s">
        <v>98</v>
      </c>
      <c r="G50" s="20"/>
      <c r="H50" s="1">
        <v>0.0</v>
      </c>
      <c r="I50" s="7" t="s">
        <v>150</v>
      </c>
      <c r="J50" s="34" t="s">
        <v>403</v>
      </c>
      <c r="K50" s="1" t="s">
        <v>98</v>
      </c>
      <c r="L50" s="1">
        <v>0.0</v>
      </c>
      <c r="M50" s="1" t="s">
        <v>150</v>
      </c>
      <c r="N50" s="20" t="str">
        <f t="shared" si="1"/>
        <v/>
      </c>
    </row>
    <row r="51">
      <c r="A51" s="15">
        <v>46310.0</v>
      </c>
      <c r="B51" s="1" t="s">
        <v>407</v>
      </c>
      <c r="C51" s="1" t="s">
        <v>409</v>
      </c>
      <c r="D51" s="7" t="s">
        <v>350</v>
      </c>
      <c r="E51" s="7" t="s">
        <v>410</v>
      </c>
      <c r="F51" s="1" t="s">
        <v>194</v>
      </c>
      <c r="G51" s="1" t="s">
        <v>399</v>
      </c>
      <c r="H51" s="1">
        <v>0.0</v>
      </c>
      <c r="I51" s="7" t="s">
        <v>150</v>
      </c>
      <c r="J51" s="1" t="s">
        <v>399</v>
      </c>
      <c r="K51" s="1" t="s">
        <v>411</v>
      </c>
      <c r="L51" s="1">
        <v>0.0</v>
      </c>
      <c r="M51" s="7" t="s">
        <v>150</v>
      </c>
      <c r="N51" s="20" t="str">
        <f t="shared" si="1"/>
        <v/>
      </c>
      <c r="O51" s="42"/>
      <c r="P51" s="42"/>
      <c r="Q51" s="42"/>
      <c r="R51" s="42"/>
      <c r="S51" s="42"/>
      <c r="T51" s="42"/>
      <c r="U51" s="42"/>
      <c r="V51" s="42"/>
      <c r="W51" s="42"/>
      <c r="X51" s="42"/>
      <c r="Y51" s="42"/>
      <c r="Z51" s="42"/>
      <c r="AA51" s="42"/>
      <c r="AB51" s="42"/>
    </row>
    <row r="52">
      <c r="A52" s="15">
        <v>46310.0</v>
      </c>
      <c r="B52" s="1" t="s">
        <v>407</v>
      </c>
      <c r="C52" s="1" t="s">
        <v>409</v>
      </c>
      <c r="D52" s="7" t="s">
        <v>350</v>
      </c>
      <c r="E52" s="7" t="s">
        <v>410</v>
      </c>
      <c r="F52" s="1" t="s">
        <v>194</v>
      </c>
      <c r="G52" s="1" t="s">
        <v>413</v>
      </c>
      <c r="H52" s="1">
        <v>0.0</v>
      </c>
      <c r="I52" s="7" t="s">
        <v>150</v>
      </c>
      <c r="J52" s="1" t="s">
        <v>413</v>
      </c>
      <c r="K52" s="1" t="s">
        <v>411</v>
      </c>
      <c r="L52" s="1">
        <v>0.0</v>
      </c>
      <c r="M52" s="7" t="s">
        <v>150</v>
      </c>
      <c r="N52" s="20" t="str">
        <f t="shared" si="1"/>
        <v/>
      </c>
      <c r="O52" s="42"/>
      <c r="P52" s="42"/>
      <c r="Q52" s="42"/>
      <c r="R52" s="42"/>
      <c r="S52" s="42"/>
      <c r="T52" s="42"/>
      <c r="U52" s="42"/>
      <c r="V52" s="42"/>
      <c r="W52" s="42"/>
      <c r="X52" s="42"/>
      <c r="Y52" s="42"/>
      <c r="Z52" s="42"/>
      <c r="AA52" s="42"/>
      <c r="AB52" s="42"/>
    </row>
    <row r="53">
      <c r="A53" s="15">
        <v>46310.0</v>
      </c>
      <c r="B53" s="1" t="s">
        <v>407</v>
      </c>
      <c r="C53" s="1" t="s">
        <v>409</v>
      </c>
      <c r="D53" s="7" t="s">
        <v>350</v>
      </c>
      <c r="E53" s="7" t="s">
        <v>421</v>
      </c>
      <c r="F53" s="1" t="s">
        <v>194</v>
      </c>
      <c r="G53" s="1" t="s">
        <v>399</v>
      </c>
      <c r="H53" s="1">
        <v>0.0</v>
      </c>
      <c r="I53" s="7" t="s">
        <v>150</v>
      </c>
      <c r="J53" s="1" t="s">
        <v>399</v>
      </c>
      <c r="K53" s="1" t="s">
        <v>411</v>
      </c>
      <c r="L53" s="1">
        <v>0.0</v>
      </c>
      <c r="M53" s="7" t="s">
        <v>150</v>
      </c>
      <c r="N53" s="20" t="str">
        <f t="shared" si="1"/>
        <v/>
      </c>
      <c r="O53" s="42"/>
      <c r="P53" s="42"/>
      <c r="Q53" s="42"/>
      <c r="R53" s="42"/>
      <c r="S53" s="42"/>
      <c r="T53" s="42"/>
      <c r="U53" s="42"/>
      <c r="V53" s="42"/>
      <c r="W53" s="42"/>
      <c r="X53" s="42"/>
      <c r="Y53" s="42"/>
      <c r="Z53" s="42"/>
      <c r="AA53" s="42"/>
      <c r="AB53" s="42"/>
    </row>
    <row r="54">
      <c r="A54" s="15">
        <v>46310.0</v>
      </c>
      <c r="B54" s="1" t="s">
        <v>407</v>
      </c>
      <c r="C54" s="1" t="s">
        <v>409</v>
      </c>
      <c r="D54" s="7" t="s">
        <v>350</v>
      </c>
      <c r="E54" s="7" t="s">
        <v>427</v>
      </c>
      <c r="F54" s="1" t="s">
        <v>194</v>
      </c>
      <c r="G54" s="1" t="s">
        <v>413</v>
      </c>
      <c r="H54" s="1">
        <v>12.9</v>
      </c>
      <c r="I54" s="7" t="s">
        <v>100</v>
      </c>
      <c r="J54" s="1" t="s">
        <v>413</v>
      </c>
      <c r="K54" s="1" t="s">
        <v>411</v>
      </c>
      <c r="L54" s="1">
        <v>12.9</v>
      </c>
      <c r="M54" s="7" t="s">
        <v>100</v>
      </c>
      <c r="N54" s="20" t="str">
        <f t="shared" si="1"/>
        <v/>
      </c>
      <c r="O54" s="42"/>
      <c r="P54" s="42"/>
      <c r="Q54" s="42"/>
      <c r="R54" s="42"/>
      <c r="S54" s="42"/>
      <c r="T54" s="42"/>
      <c r="U54" s="42"/>
      <c r="V54" s="42"/>
      <c r="W54" s="42"/>
      <c r="X54" s="42"/>
      <c r="Y54" s="42"/>
      <c r="Z54" s="42"/>
      <c r="AA54" s="42"/>
      <c r="AB54" s="42"/>
    </row>
    <row r="55">
      <c r="A55" s="15">
        <v>46310.0</v>
      </c>
      <c r="B55" s="1" t="s">
        <v>407</v>
      </c>
      <c r="C55" s="1" t="s">
        <v>409</v>
      </c>
      <c r="D55" s="7" t="s">
        <v>350</v>
      </c>
      <c r="E55" s="7" t="s">
        <v>427</v>
      </c>
      <c r="F55" s="1" t="s">
        <v>194</v>
      </c>
      <c r="G55" s="1" t="s">
        <v>399</v>
      </c>
      <c r="H55" s="1">
        <v>13.0</v>
      </c>
      <c r="I55" s="7" t="s">
        <v>100</v>
      </c>
      <c r="J55" s="1" t="s">
        <v>399</v>
      </c>
      <c r="K55" s="1" t="s">
        <v>411</v>
      </c>
      <c r="L55" s="1">
        <v>13.0</v>
      </c>
      <c r="M55" s="7" t="s">
        <v>100</v>
      </c>
      <c r="N55" s="20" t="str">
        <f t="shared" si="1"/>
        <v/>
      </c>
      <c r="O55" s="42"/>
      <c r="P55" s="42"/>
      <c r="Q55" s="42"/>
      <c r="R55" s="42"/>
      <c r="S55" s="42"/>
      <c r="T55" s="42"/>
      <c r="U55" s="42"/>
      <c r="V55" s="42"/>
      <c r="W55" s="42"/>
      <c r="X55" s="42"/>
      <c r="Y55" s="42"/>
      <c r="Z55" s="42"/>
      <c r="AA55" s="42"/>
      <c r="AB55" s="42"/>
    </row>
    <row r="56">
      <c r="A56" s="15">
        <v>46310.0</v>
      </c>
      <c r="B56" s="1" t="s">
        <v>407</v>
      </c>
      <c r="C56" s="1" t="s">
        <v>409</v>
      </c>
      <c r="D56" s="7" t="s">
        <v>350</v>
      </c>
      <c r="E56" s="7" t="s">
        <v>432</v>
      </c>
      <c r="F56" s="1" t="s">
        <v>194</v>
      </c>
      <c r="H56" s="1">
        <v>23.9</v>
      </c>
      <c r="I56" s="7" t="s">
        <v>100</v>
      </c>
      <c r="K56" s="1" t="s">
        <v>411</v>
      </c>
      <c r="L56" s="1">
        <v>23.9</v>
      </c>
      <c r="M56" s="7" t="s">
        <v>100</v>
      </c>
      <c r="N56" s="20" t="str">
        <f t="shared" si="1"/>
        <v/>
      </c>
      <c r="O56" s="42"/>
      <c r="P56" s="42"/>
      <c r="Q56" s="42"/>
      <c r="R56" s="42"/>
      <c r="S56" s="42"/>
      <c r="T56" s="42"/>
      <c r="U56" s="42"/>
      <c r="V56" s="42"/>
      <c r="W56" s="42"/>
      <c r="X56" s="42"/>
      <c r="Y56" s="42"/>
      <c r="Z56" s="42"/>
      <c r="AA56" s="42"/>
      <c r="AB56" s="42"/>
    </row>
    <row r="57">
      <c r="A57" s="15">
        <v>46310.0</v>
      </c>
      <c r="B57" s="1" t="s">
        <v>407</v>
      </c>
      <c r="C57" s="1" t="s">
        <v>409</v>
      </c>
      <c r="D57" s="7" t="s">
        <v>350</v>
      </c>
      <c r="E57" s="7" t="s">
        <v>309</v>
      </c>
      <c r="F57" s="1" t="s">
        <v>436</v>
      </c>
      <c r="G57" s="1" t="s">
        <v>399</v>
      </c>
      <c r="H57" s="1">
        <v>16.0</v>
      </c>
      <c r="I57" s="7" t="s">
        <v>100</v>
      </c>
      <c r="J57" s="1" t="s">
        <v>399</v>
      </c>
      <c r="K57" s="1" t="s">
        <v>411</v>
      </c>
      <c r="L57" s="1">
        <v>16.0</v>
      </c>
      <c r="M57" s="7" t="s">
        <v>100</v>
      </c>
      <c r="N57" s="20" t="str">
        <f t="shared" si="1"/>
        <v/>
      </c>
      <c r="O57" s="42"/>
      <c r="P57" s="42"/>
      <c r="Q57" s="42"/>
      <c r="R57" s="42"/>
      <c r="S57" s="42"/>
      <c r="T57" s="42"/>
      <c r="U57" s="42"/>
      <c r="V57" s="42"/>
      <c r="W57" s="42"/>
      <c r="X57" s="42"/>
      <c r="Y57" s="42"/>
      <c r="Z57" s="42"/>
      <c r="AA57" s="42"/>
      <c r="AB57" s="42"/>
    </row>
    <row r="58">
      <c r="A58" s="15">
        <v>46310.0</v>
      </c>
      <c r="B58" s="1" t="s">
        <v>407</v>
      </c>
      <c r="C58" s="1" t="s">
        <v>409</v>
      </c>
      <c r="D58" s="7" t="s">
        <v>350</v>
      </c>
      <c r="E58" s="7" t="s">
        <v>442</v>
      </c>
      <c r="F58" s="1" t="s">
        <v>436</v>
      </c>
      <c r="G58" s="1" t="s">
        <v>399</v>
      </c>
      <c r="H58" s="1">
        <v>0.0</v>
      </c>
      <c r="I58" s="7" t="s">
        <v>150</v>
      </c>
      <c r="J58" s="1" t="s">
        <v>399</v>
      </c>
      <c r="K58" s="1" t="s">
        <v>411</v>
      </c>
      <c r="L58" s="1">
        <v>0.0</v>
      </c>
      <c r="M58" s="7" t="s">
        <v>150</v>
      </c>
      <c r="N58" s="20" t="str">
        <f t="shared" si="1"/>
        <v/>
      </c>
      <c r="O58" s="42"/>
      <c r="P58" s="42"/>
      <c r="Q58" s="42"/>
      <c r="R58" s="42"/>
      <c r="S58" s="42"/>
      <c r="T58" s="42"/>
      <c r="U58" s="42"/>
      <c r="V58" s="42"/>
      <c r="W58" s="42"/>
      <c r="X58" s="42"/>
      <c r="Y58" s="42"/>
      <c r="Z58" s="42"/>
      <c r="AA58" s="42"/>
      <c r="AB58" s="42"/>
    </row>
    <row r="59">
      <c r="A59" s="15">
        <v>46310.0</v>
      </c>
      <c r="B59" s="1" t="s">
        <v>407</v>
      </c>
      <c r="C59" s="1" t="s">
        <v>409</v>
      </c>
      <c r="D59" s="7" t="s">
        <v>350</v>
      </c>
      <c r="E59" s="7" t="s">
        <v>446</v>
      </c>
      <c r="F59" s="1" t="s">
        <v>436</v>
      </c>
      <c r="G59" s="1" t="s">
        <v>399</v>
      </c>
      <c r="H59" s="1">
        <v>7.9</v>
      </c>
      <c r="I59" s="7" t="s">
        <v>100</v>
      </c>
      <c r="J59" s="1" t="s">
        <v>399</v>
      </c>
      <c r="K59" s="1" t="s">
        <v>411</v>
      </c>
      <c r="L59" s="1">
        <v>7.9</v>
      </c>
      <c r="M59" s="7" t="s">
        <v>100</v>
      </c>
      <c r="N59" s="20" t="str">
        <f t="shared" si="1"/>
        <v/>
      </c>
      <c r="O59" s="42"/>
      <c r="P59" s="42"/>
      <c r="Q59" s="42"/>
      <c r="R59" s="42"/>
      <c r="S59" s="42"/>
      <c r="T59" s="42"/>
      <c r="U59" s="42"/>
      <c r="V59" s="42"/>
      <c r="W59" s="42"/>
      <c r="X59" s="42"/>
      <c r="Y59" s="42"/>
      <c r="Z59" s="42"/>
      <c r="AA59" s="42"/>
      <c r="AB59" s="42"/>
    </row>
    <row r="60">
      <c r="A60" s="15">
        <v>46310.0</v>
      </c>
      <c r="B60" s="1" t="s">
        <v>407</v>
      </c>
      <c r="C60" s="1" t="s">
        <v>409</v>
      </c>
      <c r="D60" s="7" t="s">
        <v>350</v>
      </c>
      <c r="E60" s="7" t="s">
        <v>446</v>
      </c>
      <c r="F60" s="1" t="s">
        <v>436</v>
      </c>
      <c r="G60" s="1" t="s">
        <v>413</v>
      </c>
      <c r="H60" s="1">
        <v>11.0</v>
      </c>
      <c r="I60" s="7" t="s">
        <v>100</v>
      </c>
      <c r="J60" s="1" t="s">
        <v>413</v>
      </c>
      <c r="K60" s="1" t="s">
        <v>411</v>
      </c>
      <c r="L60" s="1">
        <v>11.0</v>
      </c>
      <c r="M60" s="7" t="s">
        <v>100</v>
      </c>
      <c r="N60" s="20" t="str">
        <f t="shared" si="1"/>
        <v/>
      </c>
      <c r="O60" s="42"/>
      <c r="P60" s="42"/>
      <c r="Q60" s="42"/>
      <c r="R60" s="42"/>
      <c r="S60" s="42"/>
      <c r="T60" s="42"/>
      <c r="U60" s="42"/>
      <c r="V60" s="42"/>
      <c r="W60" s="42"/>
      <c r="X60" s="42"/>
      <c r="Y60" s="42"/>
      <c r="Z60" s="42"/>
      <c r="AA60" s="42"/>
      <c r="AB60" s="42"/>
    </row>
    <row r="61">
      <c r="A61" s="15">
        <v>46310.0</v>
      </c>
      <c r="B61" s="1" t="s">
        <v>407</v>
      </c>
      <c r="C61" s="1" t="s">
        <v>409</v>
      </c>
      <c r="D61" s="7" t="s">
        <v>350</v>
      </c>
      <c r="E61" s="7" t="s">
        <v>446</v>
      </c>
      <c r="F61" s="1" t="s">
        <v>436</v>
      </c>
      <c r="G61" s="1" t="s">
        <v>453</v>
      </c>
      <c r="H61" s="1">
        <v>15.4</v>
      </c>
      <c r="I61" s="7" t="s">
        <v>100</v>
      </c>
      <c r="J61" s="1" t="s">
        <v>453</v>
      </c>
      <c r="K61" s="1" t="s">
        <v>411</v>
      </c>
      <c r="L61" s="1">
        <v>15.4</v>
      </c>
      <c r="M61" s="7" t="s">
        <v>100</v>
      </c>
      <c r="N61" s="20" t="str">
        <f t="shared" si="1"/>
        <v/>
      </c>
      <c r="O61" s="42"/>
      <c r="P61" s="42"/>
      <c r="Q61" s="42"/>
      <c r="R61" s="42"/>
      <c r="S61" s="42"/>
      <c r="T61" s="42"/>
      <c r="U61" s="42"/>
      <c r="V61" s="42"/>
      <c r="W61" s="42"/>
      <c r="X61" s="42"/>
      <c r="Y61" s="42"/>
      <c r="Z61" s="42"/>
      <c r="AA61" s="42"/>
      <c r="AB61" s="42"/>
    </row>
    <row r="62">
      <c r="A62" s="15">
        <v>46310.0</v>
      </c>
      <c r="B62" s="1" t="s">
        <v>407</v>
      </c>
      <c r="C62" s="1" t="s">
        <v>409</v>
      </c>
      <c r="D62" s="7" t="s">
        <v>350</v>
      </c>
      <c r="E62" s="7" t="s">
        <v>455</v>
      </c>
      <c r="F62" s="1" t="s">
        <v>98</v>
      </c>
      <c r="G62" s="1" t="s">
        <v>399</v>
      </c>
      <c r="H62" s="1">
        <v>12.0</v>
      </c>
      <c r="I62" s="7" t="s">
        <v>100</v>
      </c>
      <c r="J62" s="1" t="s">
        <v>399</v>
      </c>
      <c r="K62" s="1" t="s">
        <v>411</v>
      </c>
      <c r="L62" s="1">
        <v>12.0</v>
      </c>
      <c r="M62" s="7" t="s">
        <v>100</v>
      </c>
      <c r="N62" s="20" t="str">
        <f t="shared" si="1"/>
        <v/>
      </c>
      <c r="O62" s="42"/>
      <c r="P62" s="42"/>
      <c r="Q62" s="42"/>
      <c r="R62" s="42"/>
      <c r="S62" s="42"/>
      <c r="T62" s="42"/>
      <c r="U62" s="42"/>
      <c r="V62" s="42"/>
      <c r="W62" s="42"/>
      <c r="X62" s="42"/>
      <c r="Y62" s="42"/>
      <c r="Z62" s="42"/>
      <c r="AA62" s="42"/>
      <c r="AB62" s="42"/>
    </row>
    <row r="63">
      <c r="A63" s="15">
        <v>46310.0</v>
      </c>
      <c r="B63" s="1" t="s">
        <v>407</v>
      </c>
      <c r="C63" s="1" t="s">
        <v>409</v>
      </c>
      <c r="D63" s="7" t="s">
        <v>350</v>
      </c>
      <c r="E63" s="7" t="s">
        <v>351</v>
      </c>
      <c r="F63" s="1" t="s">
        <v>98</v>
      </c>
      <c r="G63" s="1" t="s">
        <v>399</v>
      </c>
      <c r="H63" s="1">
        <v>13.0</v>
      </c>
      <c r="I63" s="7" t="s">
        <v>100</v>
      </c>
      <c r="J63" s="1" t="s">
        <v>399</v>
      </c>
      <c r="K63" s="1" t="s">
        <v>411</v>
      </c>
      <c r="L63" s="1">
        <v>13.0</v>
      </c>
      <c r="M63" s="7" t="s">
        <v>100</v>
      </c>
      <c r="N63" s="20" t="str">
        <f t="shared" si="1"/>
        <v/>
      </c>
      <c r="O63" s="42"/>
      <c r="P63" s="42"/>
      <c r="Q63" s="42"/>
      <c r="R63" s="42"/>
      <c r="S63" s="42"/>
      <c r="T63" s="42"/>
      <c r="U63" s="42"/>
      <c r="V63" s="42"/>
      <c r="W63" s="42"/>
      <c r="X63" s="42"/>
      <c r="Y63" s="42"/>
      <c r="Z63" s="42"/>
      <c r="AA63" s="42"/>
      <c r="AB63" s="42"/>
    </row>
    <row r="64">
      <c r="A64" s="15">
        <v>46310.0</v>
      </c>
      <c r="B64" s="1" t="s">
        <v>407</v>
      </c>
      <c r="C64" s="1" t="s">
        <v>409</v>
      </c>
      <c r="D64" s="7" t="s">
        <v>350</v>
      </c>
      <c r="E64" s="7" t="s">
        <v>460</v>
      </c>
      <c r="F64" s="1" t="s">
        <v>98</v>
      </c>
      <c r="H64" s="1">
        <v>0.0</v>
      </c>
      <c r="I64" s="7" t="s">
        <v>150</v>
      </c>
      <c r="K64" s="1" t="s">
        <v>411</v>
      </c>
      <c r="L64" s="1">
        <v>0.0</v>
      </c>
      <c r="M64" s="7" t="s">
        <v>150</v>
      </c>
      <c r="N64" s="20" t="str">
        <f t="shared" si="1"/>
        <v/>
      </c>
      <c r="O64" s="42"/>
      <c r="P64" s="42"/>
      <c r="Q64" s="42"/>
      <c r="R64" s="42"/>
      <c r="S64" s="42"/>
      <c r="T64" s="42"/>
      <c r="U64" s="42"/>
      <c r="V64" s="42"/>
      <c r="W64" s="42"/>
      <c r="X64" s="42"/>
      <c r="Y64" s="42"/>
      <c r="Z64" s="42"/>
      <c r="AA64" s="42"/>
      <c r="AB64" s="42"/>
    </row>
    <row r="65">
      <c r="A65" s="15">
        <v>46310.0</v>
      </c>
      <c r="B65" s="1" t="s">
        <v>407</v>
      </c>
      <c r="C65" s="1" t="s">
        <v>409</v>
      </c>
      <c r="D65" s="7" t="s">
        <v>114</v>
      </c>
      <c r="E65" s="7" t="s">
        <v>463</v>
      </c>
      <c r="F65" s="1" t="s">
        <v>436</v>
      </c>
      <c r="G65" s="1" t="s">
        <v>399</v>
      </c>
      <c r="H65" s="1">
        <v>13.0</v>
      </c>
      <c r="I65" s="7" t="s">
        <v>100</v>
      </c>
      <c r="J65" s="1" t="s">
        <v>399</v>
      </c>
      <c r="K65" s="1" t="s">
        <v>411</v>
      </c>
      <c r="L65" s="1">
        <v>13.0</v>
      </c>
      <c r="M65" s="7" t="s">
        <v>100</v>
      </c>
      <c r="N65" s="20" t="str">
        <f t="shared" si="1"/>
        <v/>
      </c>
      <c r="O65" s="42"/>
      <c r="P65" s="42"/>
      <c r="Q65" s="42"/>
      <c r="R65" s="42"/>
      <c r="S65" s="42"/>
      <c r="T65" s="42"/>
      <c r="U65" s="42"/>
      <c r="V65" s="42"/>
      <c r="W65" s="42"/>
      <c r="X65" s="42"/>
      <c r="Y65" s="42"/>
      <c r="Z65" s="42"/>
      <c r="AA65" s="42"/>
      <c r="AB65" s="42"/>
    </row>
    <row r="66">
      <c r="A66" s="15">
        <v>46310.0</v>
      </c>
      <c r="B66" s="1" t="s">
        <v>407</v>
      </c>
      <c r="C66" s="1" t="s">
        <v>409</v>
      </c>
      <c r="D66" s="7" t="s">
        <v>114</v>
      </c>
      <c r="E66" s="7" t="s">
        <v>466</v>
      </c>
      <c r="F66" s="1" t="s">
        <v>436</v>
      </c>
      <c r="G66" s="1" t="s">
        <v>399</v>
      </c>
      <c r="H66" s="1">
        <v>7.0</v>
      </c>
      <c r="I66" s="7" t="s">
        <v>100</v>
      </c>
      <c r="J66" s="1" t="s">
        <v>399</v>
      </c>
      <c r="K66" s="1" t="s">
        <v>411</v>
      </c>
      <c r="L66" s="1">
        <v>7.0</v>
      </c>
      <c r="M66" s="7" t="s">
        <v>100</v>
      </c>
      <c r="N66" s="20" t="str">
        <f t="shared" si="1"/>
        <v/>
      </c>
      <c r="O66" s="42"/>
      <c r="P66" s="42"/>
      <c r="Q66" s="42"/>
      <c r="R66" s="42"/>
      <c r="S66" s="42"/>
      <c r="T66" s="42"/>
      <c r="U66" s="42"/>
      <c r="V66" s="42"/>
      <c r="W66" s="42"/>
      <c r="X66" s="42"/>
      <c r="Y66" s="42"/>
      <c r="Z66" s="42"/>
      <c r="AA66" s="42"/>
      <c r="AB66" s="42"/>
    </row>
    <row r="67">
      <c r="A67" s="15">
        <v>46310.0</v>
      </c>
      <c r="B67" s="1" t="s">
        <v>407</v>
      </c>
      <c r="C67" s="1" t="s">
        <v>409</v>
      </c>
      <c r="D67" s="7" t="s">
        <v>114</v>
      </c>
      <c r="E67" s="7" t="s">
        <v>470</v>
      </c>
      <c r="F67" s="1" t="s">
        <v>235</v>
      </c>
      <c r="G67" s="20"/>
      <c r="H67" s="1">
        <v>28.0</v>
      </c>
      <c r="I67" s="7" t="s">
        <v>100</v>
      </c>
      <c r="J67" s="1" t="s">
        <v>472</v>
      </c>
      <c r="K67" s="1" t="s">
        <v>411</v>
      </c>
      <c r="L67" s="1">
        <v>28.0</v>
      </c>
      <c r="M67" s="7" t="s">
        <v>100</v>
      </c>
      <c r="N67" s="20" t="str">
        <f t="shared" si="1"/>
        <v/>
      </c>
      <c r="O67" s="42"/>
      <c r="P67" s="42"/>
      <c r="Q67" s="42"/>
      <c r="R67" s="42"/>
      <c r="S67" s="42"/>
      <c r="T67" s="42"/>
      <c r="U67" s="42"/>
      <c r="V67" s="42"/>
      <c r="W67" s="42"/>
      <c r="X67" s="42"/>
      <c r="Y67" s="42"/>
      <c r="Z67" s="42"/>
      <c r="AA67" s="42"/>
      <c r="AB67" s="42"/>
    </row>
    <row r="68">
      <c r="A68" s="15">
        <v>46310.0</v>
      </c>
      <c r="B68" s="1" t="s">
        <v>407</v>
      </c>
      <c r="C68" s="1" t="s">
        <v>409</v>
      </c>
      <c r="D68" s="7" t="s">
        <v>114</v>
      </c>
      <c r="E68" s="7" t="s">
        <v>474</v>
      </c>
      <c r="F68" s="1" t="s">
        <v>194</v>
      </c>
      <c r="G68" s="20"/>
      <c r="H68" s="1">
        <v>0.0</v>
      </c>
      <c r="I68" s="7" t="s">
        <v>150</v>
      </c>
      <c r="J68" s="1" t="s">
        <v>476</v>
      </c>
      <c r="K68" s="1" t="s">
        <v>411</v>
      </c>
      <c r="L68" s="1">
        <v>0.0</v>
      </c>
      <c r="M68" s="7" t="s">
        <v>150</v>
      </c>
      <c r="N68" s="20" t="str">
        <f t="shared" si="1"/>
        <v/>
      </c>
      <c r="O68" s="42"/>
      <c r="P68" s="42"/>
      <c r="Q68" s="42"/>
      <c r="R68" s="42"/>
      <c r="S68" s="42"/>
      <c r="T68" s="42"/>
      <c r="U68" s="42"/>
      <c r="V68" s="42"/>
      <c r="W68" s="42"/>
      <c r="X68" s="42"/>
      <c r="Y68" s="42"/>
      <c r="Z68" s="42"/>
      <c r="AA68" s="42"/>
      <c r="AB68" s="42"/>
    </row>
    <row r="69">
      <c r="A69" s="15">
        <v>46310.0</v>
      </c>
      <c r="B69" s="1" t="s">
        <v>407</v>
      </c>
      <c r="C69" s="1" t="s">
        <v>409</v>
      </c>
      <c r="D69" s="7" t="s">
        <v>114</v>
      </c>
      <c r="E69" s="7" t="s">
        <v>478</v>
      </c>
      <c r="F69" s="1" t="s">
        <v>194</v>
      </c>
      <c r="G69" s="20"/>
      <c r="H69" s="1">
        <v>0.0</v>
      </c>
      <c r="I69" s="7" t="s">
        <v>150</v>
      </c>
      <c r="J69" s="1" t="s">
        <v>476</v>
      </c>
      <c r="K69" s="1" t="s">
        <v>411</v>
      </c>
      <c r="L69" s="1">
        <v>0.0</v>
      </c>
      <c r="M69" s="7" t="s">
        <v>150</v>
      </c>
      <c r="N69" s="20" t="str">
        <f t="shared" si="1"/>
        <v/>
      </c>
      <c r="O69" s="42"/>
      <c r="P69" s="42"/>
      <c r="Q69" s="42"/>
      <c r="R69" s="42"/>
      <c r="S69" s="42"/>
      <c r="T69" s="42"/>
      <c r="U69" s="42"/>
      <c r="V69" s="42"/>
      <c r="W69" s="42"/>
      <c r="X69" s="42"/>
      <c r="Y69" s="42"/>
      <c r="Z69" s="42"/>
      <c r="AA69" s="42"/>
      <c r="AB69" s="42"/>
    </row>
    <row r="70">
      <c r="A70" s="15">
        <v>46310.0</v>
      </c>
      <c r="B70" s="1" t="s">
        <v>407</v>
      </c>
      <c r="C70" s="1" t="s">
        <v>409</v>
      </c>
      <c r="D70" s="7" t="s">
        <v>114</v>
      </c>
      <c r="E70" s="7" t="s">
        <v>482</v>
      </c>
      <c r="F70" s="1" t="s">
        <v>235</v>
      </c>
      <c r="G70" s="20"/>
      <c r="H70" s="1">
        <v>0.0</v>
      </c>
      <c r="I70" s="7" t="s">
        <v>150</v>
      </c>
      <c r="J70" s="1" t="s">
        <v>476</v>
      </c>
      <c r="K70" s="1" t="s">
        <v>411</v>
      </c>
      <c r="L70" s="1">
        <v>0.0</v>
      </c>
      <c r="M70" s="7" t="s">
        <v>150</v>
      </c>
      <c r="N70" s="20" t="str">
        <f t="shared" si="1"/>
        <v/>
      </c>
      <c r="O70" s="42"/>
      <c r="P70" s="42"/>
      <c r="Q70" s="42"/>
      <c r="R70" s="42"/>
      <c r="S70" s="42"/>
      <c r="T70" s="42"/>
      <c r="U70" s="42"/>
      <c r="V70" s="42"/>
      <c r="W70" s="42"/>
      <c r="X70" s="42"/>
      <c r="Y70" s="42"/>
      <c r="Z70" s="42"/>
      <c r="AA70" s="42"/>
      <c r="AB70" s="42"/>
    </row>
    <row r="71">
      <c r="A71" s="15">
        <v>46310.0</v>
      </c>
      <c r="B71" s="1" t="s">
        <v>407</v>
      </c>
      <c r="C71" s="1" t="s">
        <v>409</v>
      </c>
      <c r="D71" s="7" t="s">
        <v>114</v>
      </c>
      <c r="E71" s="7" t="s">
        <v>488</v>
      </c>
      <c r="F71" s="1" t="s">
        <v>194</v>
      </c>
      <c r="G71" s="1" t="s">
        <v>399</v>
      </c>
      <c r="H71" s="1">
        <v>0.0</v>
      </c>
      <c r="I71" s="7" t="s">
        <v>150</v>
      </c>
      <c r="J71" s="1" t="s">
        <v>489</v>
      </c>
      <c r="K71" s="1" t="s">
        <v>411</v>
      </c>
      <c r="L71" s="1">
        <v>0.0</v>
      </c>
      <c r="M71" s="7" t="s">
        <v>150</v>
      </c>
      <c r="N71" s="20" t="str">
        <f t="shared" si="1"/>
        <v/>
      </c>
      <c r="O71" s="42"/>
      <c r="P71" s="42"/>
      <c r="Q71" s="42"/>
      <c r="R71" s="42"/>
      <c r="S71" s="42"/>
      <c r="T71" s="42"/>
      <c r="U71" s="42"/>
      <c r="V71" s="42"/>
      <c r="W71" s="42"/>
      <c r="X71" s="42"/>
      <c r="Y71" s="42"/>
      <c r="Z71" s="42"/>
      <c r="AA71" s="42"/>
      <c r="AB71" s="42"/>
    </row>
    <row r="72">
      <c r="A72" s="15">
        <v>46310.0</v>
      </c>
      <c r="B72" s="1" t="s">
        <v>407</v>
      </c>
      <c r="C72" s="1" t="s">
        <v>409</v>
      </c>
      <c r="D72" s="7" t="s">
        <v>114</v>
      </c>
      <c r="E72" s="7" t="s">
        <v>493</v>
      </c>
      <c r="F72" s="1" t="s">
        <v>194</v>
      </c>
      <c r="G72" s="20"/>
      <c r="H72" s="1">
        <v>0.0</v>
      </c>
      <c r="I72" s="7" t="s">
        <v>150</v>
      </c>
      <c r="J72" s="1" t="s">
        <v>476</v>
      </c>
      <c r="K72" s="1" t="s">
        <v>411</v>
      </c>
      <c r="L72" s="1">
        <v>0.0</v>
      </c>
      <c r="M72" s="7" t="s">
        <v>150</v>
      </c>
      <c r="N72" s="20" t="str">
        <f t="shared" si="1"/>
        <v/>
      </c>
      <c r="O72" s="42"/>
      <c r="P72" s="42"/>
      <c r="Q72" s="42"/>
      <c r="R72" s="42"/>
      <c r="S72" s="42"/>
      <c r="T72" s="42"/>
      <c r="U72" s="42"/>
      <c r="V72" s="42"/>
      <c r="W72" s="42"/>
      <c r="X72" s="42"/>
      <c r="Y72" s="42"/>
      <c r="Z72" s="42"/>
      <c r="AA72" s="42"/>
      <c r="AB72" s="42"/>
    </row>
    <row r="73">
      <c r="A73" s="15">
        <v>46310.0</v>
      </c>
      <c r="B73" s="1" t="s">
        <v>407</v>
      </c>
      <c r="C73" s="1" t="s">
        <v>409</v>
      </c>
      <c r="D73" s="7" t="s">
        <v>114</v>
      </c>
      <c r="E73" s="7" t="s">
        <v>497</v>
      </c>
      <c r="F73" s="1" t="s">
        <v>235</v>
      </c>
      <c r="G73" s="20"/>
      <c r="H73" s="1">
        <v>0.0</v>
      </c>
      <c r="I73" s="7" t="s">
        <v>150</v>
      </c>
      <c r="J73" s="1" t="s">
        <v>354</v>
      </c>
      <c r="K73" s="1" t="s">
        <v>411</v>
      </c>
      <c r="L73" s="1">
        <v>0.0</v>
      </c>
      <c r="M73" s="7" t="s">
        <v>150</v>
      </c>
      <c r="N73" s="20" t="str">
        <f t="shared" si="1"/>
        <v/>
      </c>
      <c r="O73" s="42"/>
      <c r="P73" s="42"/>
      <c r="Q73" s="42"/>
      <c r="R73" s="42"/>
      <c r="S73" s="42"/>
      <c r="T73" s="42"/>
      <c r="U73" s="42"/>
      <c r="V73" s="42"/>
      <c r="W73" s="42"/>
      <c r="X73" s="42"/>
      <c r="Y73" s="42"/>
      <c r="Z73" s="42"/>
      <c r="AA73" s="42"/>
      <c r="AB73" s="42"/>
    </row>
    <row r="74">
      <c r="A74" s="15">
        <v>46310.0</v>
      </c>
      <c r="B74" s="1" t="s">
        <v>407</v>
      </c>
      <c r="C74" s="1" t="s">
        <v>409</v>
      </c>
      <c r="D74" s="7" t="s">
        <v>114</v>
      </c>
      <c r="E74" s="7" t="s">
        <v>501</v>
      </c>
      <c r="F74" s="1" t="s">
        <v>436</v>
      </c>
      <c r="G74" s="20"/>
      <c r="H74" s="1">
        <v>0.0</v>
      </c>
      <c r="I74" s="7" t="s">
        <v>150</v>
      </c>
      <c r="J74" s="1" t="s">
        <v>476</v>
      </c>
      <c r="K74" s="1" t="s">
        <v>411</v>
      </c>
      <c r="L74" s="1">
        <v>0.0</v>
      </c>
      <c r="M74" s="7" t="s">
        <v>150</v>
      </c>
      <c r="N74" s="20" t="str">
        <f t="shared" si="1"/>
        <v/>
      </c>
      <c r="O74" s="42"/>
      <c r="P74" s="42"/>
      <c r="Q74" s="42"/>
      <c r="R74" s="42"/>
      <c r="S74" s="42"/>
      <c r="T74" s="42"/>
      <c r="U74" s="42"/>
      <c r="V74" s="42"/>
      <c r="W74" s="42"/>
      <c r="X74" s="42"/>
      <c r="Y74" s="42"/>
      <c r="Z74" s="42"/>
      <c r="AA74" s="42"/>
      <c r="AB74" s="42"/>
    </row>
    <row r="75">
      <c r="A75" s="15">
        <v>46310.0</v>
      </c>
      <c r="B75" s="1" t="s">
        <v>407</v>
      </c>
      <c r="C75" s="1" t="s">
        <v>409</v>
      </c>
      <c r="D75" s="7" t="s">
        <v>338</v>
      </c>
      <c r="E75" s="7" t="s">
        <v>504</v>
      </c>
      <c r="F75" s="1" t="s">
        <v>436</v>
      </c>
      <c r="G75" s="20"/>
      <c r="H75" s="1">
        <v>0.0</v>
      </c>
      <c r="I75" s="7" t="s">
        <v>150</v>
      </c>
      <c r="J75" s="1" t="s">
        <v>507</v>
      </c>
      <c r="K75" s="1" t="s">
        <v>411</v>
      </c>
      <c r="L75" s="1">
        <v>0.0</v>
      </c>
      <c r="M75" s="7" t="s">
        <v>150</v>
      </c>
      <c r="N75" s="20" t="str">
        <f t="shared" si="1"/>
        <v/>
      </c>
      <c r="O75" s="42"/>
      <c r="P75" s="42"/>
      <c r="Q75" s="42"/>
      <c r="R75" s="42"/>
      <c r="S75" s="42"/>
      <c r="T75" s="42"/>
      <c r="U75" s="42"/>
      <c r="V75" s="42"/>
      <c r="W75" s="42"/>
      <c r="X75" s="42"/>
      <c r="Y75" s="42"/>
      <c r="Z75" s="42"/>
      <c r="AA75" s="42"/>
      <c r="AB75" s="42"/>
    </row>
    <row r="76">
      <c r="A76" s="15">
        <v>46310.0</v>
      </c>
      <c r="B76" s="1" t="s">
        <v>407</v>
      </c>
      <c r="C76" s="1" t="s">
        <v>409</v>
      </c>
      <c r="D76" s="7" t="s">
        <v>338</v>
      </c>
      <c r="E76" s="7" t="s">
        <v>367</v>
      </c>
      <c r="F76" s="1" t="s">
        <v>436</v>
      </c>
      <c r="G76" s="20"/>
      <c r="H76" s="1">
        <v>19.0</v>
      </c>
      <c r="I76" s="7" t="s">
        <v>100</v>
      </c>
      <c r="J76" s="1" t="s">
        <v>510</v>
      </c>
      <c r="K76" s="1" t="s">
        <v>411</v>
      </c>
      <c r="L76" s="1">
        <v>19.0</v>
      </c>
      <c r="M76" s="7" t="s">
        <v>100</v>
      </c>
      <c r="N76" s="20" t="str">
        <f t="shared" si="1"/>
        <v/>
      </c>
      <c r="O76" s="42"/>
      <c r="P76" s="42"/>
      <c r="Q76" s="42"/>
      <c r="R76" s="42"/>
      <c r="S76" s="42"/>
      <c r="T76" s="42"/>
      <c r="U76" s="42"/>
      <c r="V76" s="42"/>
      <c r="W76" s="42"/>
      <c r="X76" s="42"/>
      <c r="Y76" s="42"/>
      <c r="Z76" s="42"/>
      <c r="AA76" s="42"/>
      <c r="AB76" s="42"/>
    </row>
    <row r="77">
      <c r="A77" s="15">
        <v>46310.0</v>
      </c>
      <c r="B77" s="1" t="s">
        <v>407</v>
      </c>
      <c r="C77" s="1" t="s">
        <v>409</v>
      </c>
      <c r="D77" s="7" t="s">
        <v>338</v>
      </c>
      <c r="E77" s="7" t="s">
        <v>397</v>
      </c>
      <c r="F77" s="1" t="s">
        <v>194</v>
      </c>
      <c r="G77" s="1" t="s">
        <v>399</v>
      </c>
      <c r="H77" s="1">
        <v>16.5</v>
      </c>
      <c r="I77" s="7" t="s">
        <v>100</v>
      </c>
      <c r="J77" s="1" t="s">
        <v>399</v>
      </c>
      <c r="K77" s="1" t="s">
        <v>411</v>
      </c>
      <c r="L77" s="1">
        <v>16.5</v>
      </c>
      <c r="M77" s="7" t="s">
        <v>100</v>
      </c>
      <c r="N77" s="20" t="str">
        <f t="shared" si="1"/>
        <v/>
      </c>
      <c r="O77" s="42"/>
      <c r="P77" s="42"/>
      <c r="Q77" s="42"/>
      <c r="R77" s="42"/>
      <c r="S77" s="42"/>
      <c r="T77" s="42"/>
      <c r="U77" s="42"/>
      <c r="V77" s="42"/>
      <c r="W77" s="42"/>
      <c r="X77" s="42"/>
      <c r="Y77" s="42"/>
      <c r="Z77" s="42"/>
      <c r="AA77" s="42"/>
      <c r="AB77" s="42"/>
    </row>
    <row r="78">
      <c r="A78" s="15">
        <v>46310.0</v>
      </c>
      <c r="B78" s="1" t="s">
        <v>407</v>
      </c>
      <c r="C78" s="1" t="s">
        <v>409</v>
      </c>
      <c r="D78" s="7" t="s">
        <v>338</v>
      </c>
      <c r="E78" s="7" t="s">
        <v>374</v>
      </c>
      <c r="F78" s="1" t="s">
        <v>194</v>
      </c>
      <c r="G78" s="1" t="s">
        <v>399</v>
      </c>
      <c r="H78" s="1">
        <v>11.0</v>
      </c>
      <c r="I78" s="7" t="s">
        <v>100</v>
      </c>
      <c r="J78" s="1" t="s">
        <v>399</v>
      </c>
      <c r="K78" s="1" t="s">
        <v>411</v>
      </c>
      <c r="L78" s="1">
        <v>11.0</v>
      </c>
      <c r="M78" s="7" t="s">
        <v>100</v>
      </c>
      <c r="N78" s="20" t="str">
        <f t="shared" si="1"/>
        <v/>
      </c>
      <c r="O78" s="42"/>
      <c r="P78" s="42"/>
      <c r="Q78" s="42"/>
      <c r="R78" s="42"/>
      <c r="S78" s="42"/>
      <c r="T78" s="42"/>
      <c r="U78" s="42"/>
      <c r="V78" s="42"/>
      <c r="W78" s="42"/>
      <c r="X78" s="42"/>
      <c r="Y78" s="42"/>
      <c r="Z78" s="42"/>
      <c r="AA78" s="42"/>
      <c r="AB78" s="42"/>
    </row>
    <row r="79">
      <c r="A79" s="15">
        <v>46310.0</v>
      </c>
      <c r="B79" s="1" t="s">
        <v>407</v>
      </c>
      <c r="C79" s="1" t="s">
        <v>409</v>
      </c>
      <c r="D79" s="7" t="s">
        <v>338</v>
      </c>
      <c r="E79" s="7" t="s">
        <v>374</v>
      </c>
      <c r="F79" s="1" t="s">
        <v>194</v>
      </c>
      <c r="G79" s="1" t="s">
        <v>413</v>
      </c>
      <c r="H79" s="1">
        <v>12.5</v>
      </c>
      <c r="I79" s="7" t="s">
        <v>100</v>
      </c>
      <c r="J79" s="1" t="s">
        <v>413</v>
      </c>
      <c r="K79" s="1" t="s">
        <v>411</v>
      </c>
      <c r="L79" s="1">
        <v>12.5</v>
      </c>
      <c r="M79" s="7" t="s">
        <v>100</v>
      </c>
      <c r="N79" s="20" t="str">
        <f t="shared" si="1"/>
        <v/>
      </c>
      <c r="O79" s="42"/>
      <c r="P79" s="42"/>
      <c r="Q79" s="42"/>
      <c r="R79" s="42"/>
      <c r="S79" s="42"/>
      <c r="T79" s="42"/>
      <c r="U79" s="42"/>
      <c r="V79" s="42"/>
      <c r="W79" s="42"/>
      <c r="X79" s="42"/>
      <c r="Y79" s="42"/>
      <c r="Z79" s="42"/>
      <c r="AA79" s="42"/>
      <c r="AB79" s="42"/>
    </row>
    <row r="80">
      <c r="A80" s="15">
        <v>46310.0</v>
      </c>
      <c r="B80" s="1" t="s">
        <v>407</v>
      </c>
      <c r="C80" s="1" t="s">
        <v>409</v>
      </c>
      <c r="D80" s="7" t="s">
        <v>338</v>
      </c>
      <c r="E80" s="7" t="s">
        <v>524</v>
      </c>
      <c r="F80" s="1" t="s">
        <v>194</v>
      </c>
      <c r="G80" s="20"/>
      <c r="H80" s="1">
        <v>0.0</v>
      </c>
      <c r="I80" s="7" t="s">
        <v>150</v>
      </c>
      <c r="J80" s="1" t="s">
        <v>507</v>
      </c>
      <c r="K80" s="1" t="s">
        <v>411</v>
      </c>
      <c r="L80" s="1">
        <v>0.0</v>
      </c>
      <c r="M80" s="7" t="s">
        <v>150</v>
      </c>
      <c r="N80" s="20" t="str">
        <f t="shared" si="1"/>
        <v/>
      </c>
      <c r="O80" s="42"/>
      <c r="P80" s="42"/>
      <c r="Q80" s="42"/>
      <c r="R80" s="42"/>
      <c r="S80" s="42"/>
      <c r="T80" s="42"/>
      <c r="U80" s="42"/>
      <c r="V80" s="42"/>
      <c r="W80" s="42"/>
      <c r="X80" s="42"/>
      <c r="Y80" s="42"/>
      <c r="Z80" s="42"/>
      <c r="AA80" s="42"/>
      <c r="AB80" s="42"/>
    </row>
    <row r="81">
      <c r="A81" s="15">
        <v>46310.0</v>
      </c>
      <c r="B81" s="1" t="s">
        <v>407</v>
      </c>
      <c r="C81" s="1" t="s">
        <v>409</v>
      </c>
      <c r="D81" s="7" t="s">
        <v>338</v>
      </c>
      <c r="E81" s="7" t="s">
        <v>416</v>
      </c>
      <c r="F81" s="1" t="s">
        <v>235</v>
      </c>
      <c r="G81" s="20"/>
      <c r="H81" s="1">
        <v>35.0</v>
      </c>
      <c r="I81" s="7" t="s">
        <v>100</v>
      </c>
      <c r="J81" s="1" t="s">
        <v>530</v>
      </c>
      <c r="K81" s="1" t="s">
        <v>411</v>
      </c>
      <c r="L81" s="1">
        <v>35.0</v>
      </c>
      <c r="M81" s="7" t="s">
        <v>100</v>
      </c>
      <c r="N81" s="20" t="str">
        <f t="shared" si="1"/>
        <v/>
      </c>
      <c r="O81" s="42"/>
      <c r="P81" s="42"/>
      <c r="Q81" s="42"/>
      <c r="R81" s="42"/>
      <c r="S81" s="42"/>
      <c r="T81" s="42"/>
      <c r="U81" s="42"/>
      <c r="V81" s="42"/>
      <c r="W81" s="42"/>
      <c r="X81" s="42"/>
      <c r="Y81" s="42"/>
      <c r="Z81" s="42"/>
      <c r="AA81" s="42"/>
      <c r="AB81" s="42"/>
    </row>
    <row r="82">
      <c r="A82" s="15">
        <v>46310.0</v>
      </c>
      <c r="B82" s="1" t="s">
        <v>407</v>
      </c>
      <c r="C82" s="1" t="s">
        <v>409</v>
      </c>
      <c r="D82" s="7" t="s">
        <v>338</v>
      </c>
      <c r="E82" s="7" t="s">
        <v>534</v>
      </c>
      <c r="F82" s="1" t="s">
        <v>194</v>
      </c>
      <c r="G82" s="20"/>
      <c r="H82" s="1">
        <v>0.0</v>
      </c>
      <c r="I82" s="7" t="s">
        <v>150</v>
      </c>
      <c r="J82" s="1" t="s">
        <v>507</v>
      </c>
      <c r="K82" s="1" t="s">
        <v>411</v>
      </c>
      <c r="L82" s="1">
        <v>0.0</v>
      </c>
      <c r="M82" s="7" t="s">
        <v>150</v>
      </c>
      <c r="N82" s="20" t="str">
        <f t="shared" si="1"/>
        <v/>
      </c>
      <c r="O82" s="42"/>
      <c r="P82" s="42"/>
      <c r="Q82" s="42"/>
      <c r="R82" s="42"/>
      <c r="S82" s="42"/>
      <c r="T82" s="42"/>
      <c r="U82" s="42"/>
      <c r="V82" s="42"/>
      <c r="W82" s="42"/>
      <c r="X82" s="42"/>
      <c r="Y82" s="42"/>
      <c r="Z82" s="42"/>
      <c r="AA82" s="42"/>
      <c r="AB82" s="42"/>
    </row>
    <row r="83">
      <c r="A83" s="15">
        <v>46310.0</v>
      </c>
      <c r="B83" s="1" t="s">
        <v>407</v>
      </c>
      <c r="C83" s="1" t="s">
        <v>409</v>
      </c>
      <c r="D83" s="7" t="s">
        <v>338</v>
      </c>
      <c r="E83" s="7" t="s">
        <v>540</v>
      </c>
      <c r="F83" s="1" t="s">
        <v>194</v>
      </c>
      <c r="G83" s="20"/>
      <c r="H83" s="1">
        <v>0.0</v>
      </c>
      <c r="I83" s="7" t="s">
        <v>150</v>
      </c>
      <c r="J83" s="1" t="s">
        <v>507</v>
      </c>
      <c r="K83" s="1" t="s">
        <v>411</v>
      </c>
      <c r="L83" s="1">
        <v>0.0</v>
      </c>
      <c r="M83" s="7" t="s">
        <v>150</v>
      </c>
      <c r="N83" s="20" t="str">
        <f t="shared" si="1"/>
        <v/>
      </c>
      <c r="O83" s="42"/>
      <c r="P83" s="42"/>
      <c r="Q83" s="42"/>
      <c r="R83" s="42"/>
      <c r="S83" s="42"/>
      <c r="T83" s="42"/>
      <c r="U83" s="42"/>
      <c r="V83" s="42"/>
      <c r="W83" s="42"/>
      <c r="X83" s="42"/>
      <c r="Y83" s="42"/>
      <c r="Z83" s="42"/>
      <c r="AA83" s="42"/>
      <c r="AB83" s="42"/>
    </row>
    <row r="84">
      <c r="A84" s="15">
        <v>46310.0</v>
      </c>
      <c r="B84" s="1" t="s">
        <v>407</v>
      </c>
      <c r="C84" s="1" t="s">
        <v>409</v>
      </c>
      <c r="D84" s="7" t="s">
        <v>338</v>
      </c>
      <c r="E84" s="7" t="s">
        <v>422</v>
      </c>
      <c r="F84" s="1" t="s">
        <v>98</v>
      </c>
      <c r="G84" s="20"/>
      <c r="H84" s="1">
        <v>10.0</v>
      </c>
      <c r="I84" s="7" t="s">
        <v>100</v>
      </c>
      <c r="K84" s="1" t="s">
        <v>411</v>
      </c>
      <c r="L84" s="1">
        <v>10.0</v>
      </c>
      <c r="M84" s="7" t="s">
        <v>100</v>
      </c>
      <c r="N84" s="20" t="str">
        <f t="shared" si="1"/>
        <v/>
      </c>
      <c r="O84" s="42"/>
      <c r="P84" s="42"/>
      <c r="Q84" s="42"/>
      <c r="R84" s="42"/>
      <c r="S84" s="42"/>
      <c r="T84" s="42"/>
      <c r="U84" s="42"/>
      <c r="V84" s="42"/>
      <c r="W84" s="42"/>
      <c r="X84" s="42"/>
      <c r="Y84" s="42"/>
      <c r="Z84" s="42"/>
      <c r="AA84" s="42"/>
      <c r="AB84" s="42"/>
    </row>
    <row r="85">
      <c r="A85" s="15">
        <v>46310.0</v>
      </c>
      <c r="B85" s="1" t="s">
        <v>407</v>
      </c>
      <c r="C85" s="1" t="s">
        <v>409</v>
      </c>
      <c r="D85" s="7" t="s">
        <v>338</v>
      </c>
      <c r="E85" s="7" t="s">
        <v>547</v>
      </c>
      <c r="F85" s="1" t="s">
        <v>98</v>
      </c>
      <c r="G85" s="20"/>
      <c r="H85" s="1">
        <v>0.0</v>
      </c>
      <c r="I85" s="7" t="s">
        <v>150</v>
      </c>
      <c r="K85" s="1" t="s">
        <v>411</v>
      </c>
      <c r="L85" s="1">
        <v>0.0</v>
      </c>
      <c r="M85" s="7" t="s">
        <v>150</v>
      </c>
      <c r="N85" s="20" t="str">
        <f t="shared" si="1"/>
        <v/>
      </c>
      <c r="O85" s="42"/>
      <c r="P85" s="42"/>
      <c r="Q85" s="42"/>
      <c r="R85" s="42"/>
      <c r="S85" s="42"/>
      <c r="T85" s="42"/>
      <c r="U85" s="42"/>
      <c r="V85" s="42"/>
      <c r="W85" s="42"/>
      <c r="X85" s="42"/>
      <c r="Y85" s="42"/>
      <c r="Z85" s="42"/>
      <c r="AA85" s="42"/>
      <c r="AB85" s="42"/>
    </row>
    <row r="86">
      <c r="A86" s="15">
        <v>46310.0</v>
      </c>
      <c r="B86" s="1" t="s">
        <v>407</v>
      </c>
      <c r="C86" s="1" t="s">
        <v>409</v>
      </c>
      <c r="D86" s="7" t="s">
        <v>338</v>
      </c>
      <c r="E86" s="7" t="s">
        <v>418</v>
      </c>
      <c r="F86" s="1" t="s">
        <v>98</v>
      </c>
      <c r="G86" s="1" t="s">
        <v>399</v>
      </c>
      <c r="H86" s="1">
        <v>14.0</v>
      </c>
      <c r="I86" s="7" t="s">
        <v>100</v>
      </c>
      <c r="J86" s="1" t="s">
        <v>399</v>
      </c>
      <c r="K86" s="1" t="s">
        <v>411</v>
      </c>
      <c r="L86" s="1">
        <v>14.0</v>
      </c>
      <c r="M86" s="7" t="s">
        <v>100</v>
      </c>
      <c r="N86" s="20" t="str">
        <f t="shared" si="1"/>
        <v/>
      </c>
      <c r="O86" s="42"/>
      <c r="P86" s="42"/>
      <c r="Q86" s="42"/>
      <c r="R86" s="42"/>
      <c r="S86" s="42"/>
      <c r="T86" s="42"/>
      <c r="U86" s="42"/>
      <c r="V86" s="42"/>
      <c r="W86" s="42"/>
      <c r="X86" s="42"/>
      <c r="Y86" s="42"/>
      <c r="Z86" s="42"/>
      <c r="AA86" s="42"/>
      <c r="AB86" s="42"/>
    </row>
    <row r="87">
      <c r="A87" s="15">
        <v>46310.0</v>
      </c>
      <c r="B87" s="1" t="s">
        <v>407</v>
      </c>
      <c r="C87" s="1" t="s">
        <v>409</v>
      </c>
      <c r="D87" s="7" t="s">
        <v>338</v>
      </c>
      <c r="E87" s="7" t="s">
        <v>418</v>
      </c>
      <c r="F87" s="1" t="s">
        <v>98</v>
      </c>
      <c r="G87" s="1" t="s">
        <v>413</v>
      </c>
      <c r="H87" s="1">
        <v>15.5</v>
      </c>
      <c r="I87" s="7" t="s">
        <v>100</v>
      </c>
      <c r="J87" s="1" t="s">
        <v>413</v>
      </c>
      <c r="K87" s="1" t="s">
        <v>411</v>
      </c>
      <c r="L87" s="1">
        <v>15.5</v>
      </c>
      <c r="M87" s="7" t="s">
        <v>100</v>
      </c>
      <c r="N87" s="20" t="str">
        <f t="shared" si="1"/>
        <v/>
      </c>
      <c r="O87" s="42"/>
      <c r="P87" s="42"/>
      <c r="Q87" s="42"/>
      <c r="R87" s="42"/>
      <c r="S87" s="42"/>
      <c r="T87" s="42"/>
      <c r="U87" s="42"/>
      <c r="V87" s="42"/>
      <c r="W87" s="42"/>
      <c r="X87" s="42"/>
      <c r="Y87" s="42"/>
      <c r="Z87" s="42"/>
      <c r="AA87" s="42"/>
      <c r="AB87" s="42"/>
    </row>
    <row r="88">
      <c r="A88" s="15">
        <v>46310.0</v>
      </c>
      <c r="B88" s="1" t="s">
        <v>407</v>
      </c>
      <c r="C88" s="1" t="s">
        <v>409</v>
      </c>
      <c r="D88" s="7" t="s">
        <v>338</v>
      </c>
      <c r="E88" s="7" t="s">
        <v>435</v>
      </c>
      <c r="F88" s="1" t="s">
        <v>98</v>
      </c>
      <c r="G88" s="1" t="s">
        <v>413</v>
      </c>
      <c r="H88" s="1">
        <v>12.0</v>
      </c>
      <c r="I88" s="7" t="s">
        <v>100</v>
      </c>
      <c r="J88" s="1" t="s">
        <v>413</v>
      </c>
      <c r="K88" s="1" t="s">
        <v>411</v>
      </c>
      <c r="L88" s="1">
        <v>12.0</v>
      </c>
      <c r="M88" s="7" t="s">
        <v>100</v>
      </c>
      <c r="N88" s="20" t="str">
        <f t="shared" si="1"/>
        <v/>
      </c>
      <c r="O88" s="42"/>
      <c r="P88" s="42"/>
      <c r="Q88" s="42"/>
      <c r="R88" s="42"/>
      <c r="S88" s="42"/>
      <c r="T88" s="42"/>
      <c r="U88" s="42"/>
      <c r="V88" s="42"/>
      <c r="W88" s="42"/>
      <c r="X88" s="42"/>
      <c r="Y88" s="42"/>
      <c r="Z88" s="42"/>
      <c r="AA88" s="42"/>
      <c r="AB88" s="42"/>
    </row>
    <row r="89">
      <c r="A89" s="15">
        <v>46310.0</v>
      </c>
      <c r="B89" s="1" t="s">
        <v>407</v>
      </c>
      <c r="C89" s="1" t="s">
        <v>409</v>
      </c>
      <c r="D89" s="7" t="s">
        <v>338</v>
      </c>
      <c r="E89" s="7" t="s">
        <v>562</v>
      </c>
      <c r="F89" s="1" t="s">
        <v>98</v>
      </c>
      <c r="G89" s="20"/>
      <c r="H89" s="1">
        <v>0.0</v>
      </c>
      <c r="I89" s="7" t="s">
        <v>150</v>
      </c>
      <c r="K89" s="1" t="s">
        <v>411</v>
      </c>
      <c r="L89" s="1">
        <v>0.0</v>
      </c>
      <c r="M89" s="7" t="s">
        <v>150</v>
      </c>
      <c r="N89" s="20" t="str">
        <f t="shared" si="1"/>
        <v/>
      </c>
      <c r="O89" s="42"/>
      <c r="P89" s="42"/>
      <c r="Q89" s="42"/>
      <c r="R89" s="42"/>
      <c r="S89" s="42"/>
      <c r="T89" s="42"/>
      <c r="U89" s="42"/>
      <c r="V89" s="42"/>
      <c r="W89" s="42"/>
      <c r="X89" s="42"/>
      <c r="Y89" s="42"/>
      <c r="Z89" s="42"/>
      <c r="AA89" s="42"/>
      <c r="AB89" s="42"/>
    </row>
    <row r="90">
      <c r="A90" s="15">
        <v>46310.0</v>
      </c>
      <c r="B90" s="1" t="s">
        <v>407</v>
      </c>
      <c r="C90" s="1" t="s">
        <v>409</v>
      </c>
      <c r="D90" s="7" t="s">
        <v>338</v>
      </c>
      <c r="E90" s="7" t="s">
        <v>566</v>
      </c>
      <c r="F90" s="1" t="s">
        <v>235</v>
      </c>
      <c r="G90" s="20"/>
      <c r="H90" s="1">
        <v>0.0</v>
      </c>
      <c r="I90" s="7" t="s">
        <v>150</v>
      </c>
      <c r="K90" s="1" t="s">
        <v>411</v>
      </c>
      <c r="L90" s="1">
        <v>0.0</v>
      </c>
      <c r="M90" s="7" t="s">
        <v>150</v>
      </c>
      <c r="N90" s="20" t="str">
        <f t="shared" si="1"/>
        <v/>
      </c>
      <c r="O90" s="42"/>
      <c r="P90" s="42"/>
      <c r="Q90" s="42"/>
      <c r="R90" s="42"/>
      <c r="S90" s="42"/>
      <c r="T90" s="42"/>
      <c r="U90" s="42"/>
      <c r="V90" s="42"/>
      <c r="W90" s="42"/>
      <c r="X90" s="42"/>
      <c r="Y90" s="42"/>
      <c r="Z90" s="42"/>
      <c r="AA90" s="42"/>
      <c r="AB90" s="42"/>
    </row>
    <row r="91">
      <c r="A91" s="15">
        <v>46310.0</v>
      </c>
      <c r="B91" s="1" t="s">
        <v>407</v>
      </c>
      <c r="C91" s="1" t="s">
        <v>409</v>
      </c>
      <c r="D91" s="7" t="s">
        <v>364</v>
      </c>
      <c r="E91" s="7" t="s">
        <v>569</v>
      </c>
      <c r="F91" s="1" t="s">
        <v>194</v>
      </c>
      <c r="G91" s="20"/>
      <c r="H91" s="1">
        <v>0.0</v>
      </c>
      <c r="I91" s="7" t="s">
        <v>150</v>
      </c>
      <c r="K91" s="1" t="s">
        <v>411</v>
      </c>
      <c r="L91" s="1">
        <v>0.0</v>
      </c>
      <c r="M91" s="7" t="s">
        <v>150</v>
      </c>
      <c r="N91" s="20" t="str">
        <f t="shared" si="1"/>
        <v/>
      </c>
      <c r="O91" s="42"/>
      <c r="P91" s="42"/>
      <c r="Q91" s="42"/>
      <c r="R91" s="42"/>
      <c r="S91" s="42"/>
      <c r="T91" s="42"/>
      <c r="U91" s="42"/>
      <c r="V91" s="42"/>
      <c r="W91" s="42"/>
      <c r="X91" s="42"/>
      <c r="Y91" s="42"/>
      <c r="Z91" s="42"/>
      <c r="AA91" s="42"/>
      <c r="AB91" s="42"/>
    </row>
    <row r="92">
      <c r="A92" s="15">
        <v>46310.0</v>
      </c>
      <c r="B92" s="1" t="s">
        <v>407</v>
      </c>
      <c r="C92" s="1" t="s">
        <v>409</v>
      </c>
      <c r="D92" s="7" t="s">
        <v>364</v>
      </c>
      <c r="E92" s="7" t="s">
        <v>570</v>
      </c>
      <c r="F92" s="1" t="s">
        <v>235</v>
      </c>
      <c r="G92" s="20"/>
      <c r="H92" s="1">
        <v>21.5</v>
      </c>
      <c r="I92" s="7" t="s">
        <v>100</v>
      </c>
      <c r="K92" s="1" t="s">
        <v>411</v>
      </c>
      <c r="L92" s="1">
        <v>21.5</v>
      </c>
      <c r="M92" s="7" t="s">
        <v>100</v>
      </c>
      <c r="N92" s="20" t="str">
        <f t="shared" si="1"/>
        <v/>
      </c>
      <c r="O92" s="42"/>
      <c r="P92" s="42"/>
      <c r="Q92" s="42"/>
      <c r="R92" s="42"/>
      <c r="S92" s="42"/>
      <c r="T92" s="42"/>
      <c r="U92" s="42"/>
      <c r="V92" s="42"/>
      <c r="W92" s="42"/>
      <c r="X92" s="42"/>
      <c r="Y92" s="42"/>
      <c r="Z92" s="42"/>
      <c r="AA92" s="42"/>
      <c r="AB92" s="42"/>
    </row>
    <row r="93">
      <c r="A93" s="15">
        <v>46310.0</v>
      </c>
      <c r="B93" s="1" t="s">
        <v>407</v>
      </c>
      <c r="C93" s="1" t="s">
        <v>409</v>
      </c>
      <c r="D93" s="7" t="s">
        <v>364</v>
      </c>
      <c r="E93" s="7" t="s">
        <v>559</v>
      </c>
      <c r="F93" s="1" t="s">
        <v>98</v>
      </c>
      <c r="G93" s="20"/>
      <c r="H93" s="1">
        <v>8.0</v>
      </c>
      <c r="I93" s="7" t="s">
        <v>100</v>
      </c>
      <c r="K93" s="1" t="s">
        <v>411</v>
      </c>
      <c r="L93" s="1">
        <v>8.0</v>
      </c>
      <c r="M93" s="7" t="s">
        <v>100</v>
      </c>
      <c r="N93" s="20" t="str">
        <f t="shared" si="1"/>
        <v/>
      </c>
      <c r="O93" s="42"/>
      <c r="P93" s="42"/>
      <c r="Q93" s="42"/>
      <c r="R93" s="42"/>
      <c r="S93" s="42"/>
      <c r="T93" s="42"/>
      <c r="U93" s="42"/>
      <c r="V93" s="42"/>
      <c r="W93" s="42"/>
      <c r="X93" s="42"/>
      <c r="Y93" s="42"/>
      <c r="Z93" s="42"/>
      <c r="AA93" s="42"/>
      <c r="AB93" s="42"/>
    </row>
    <row r="94">
      <c r="A94" s="15">
        <v>46310.0</v>
      </c>
      <c r="B94" s="1" t="s">
        <v>407</v>
      </c>
      <c r="C94" s="1" t="s">
        <v>409</v>
      </c>
      <c r="D94" s="7" t="s">
        <v>364</v>
      </c>
      <c r="E94" s="7" t="s">
        <v>579</v>
      </c>
      <c r="F94" s="1" t="s">
        <v>98</v>
      </c>
      <c r="G94" s="20"/>
      <c r="H94" s="1">
        <v>0.0</v>
      </c>
      <c r="I94" s="7" t="s">
        <v>150</v>
      </c>
      <c r="K94" s="1" t="s">
        <v>411</v>
      </c>
      <c r="L94" s="1">
        <v>0.0</v>
      </c>
      <c r="M94" s="7" t="s">
        <v>150</v>
      </c>
      <c r="N94" s="20" t="str">
        <f t="shared" si="1"/>
        <v/>
      </c>
      <c r="O94" s="42"/>
      <c r="P94" s="42"/>
      <c r="Q94" s="42"/>
      <c r="R94" s="42"/>
      <c r="S94" s="42"/>
      <c r="T94" s="42"/>
      <c r="U94" s="42"/>
      <c r="V94" s="42"/>
      <c r="W94" s="42"/>
      <c r="X94" s="42"/>
      <c r="Y94" s="42"/>
      <c r="Z94" s="42"/>
      <c r="AA94" s="42"/>
      <c r="AB94" s="42"/>
    </row>
    <row r="95">
      <c r="A95" s="15">
        <v>46310.0</v>
      </c>
      <c r="B95" s="1" t="s">
        <v>407</v>
      </c>
      <c r="C95" s="1" t="s">
        <v>409</v>
      </c>
      <c r="D95" s="7" t="s">
        <v>364</v>
      </c>
      <c r="E95" s="7" t="s">
        <v>583</v>
      </c>
      <c r="F95" s="1" t="s">
        <v>98</v>
      </c>
      <c r="G95" s="20"/>
      <c r="H95" s="1">
        <v>0.0</v>
      </c>
      <c r="I95" s="7" t="s">
        <v>150</v>
      </c>
      <c r="K95" s="1" t="s">
        <v>411</v>
      </c>
      <c r="L95" s="1">
        <v>0.0</v>
      </c>
      <c r="M95" s="7" t="s">
        <v>150</v>
      </c>
      <c r="N95" s="20" t="str">
        <f t="shared" si="1"/>
        <v/>
      </c>
      <c r="O95" s="42"/>
      <c r="P95" s="42"/>
      <c r="Q95" s="42"/>
      <c r="R95" s="42"/>
      <c r="S95" s="42"/>
      <c r="T95" s="42"/>
      <c r="U95" s="42"/>
      <c r="V95" s="42"/>
      <c r="W95" s="42"/>
      <c r="X95" s="42"/>
      <c r="Y95" s="42"/>
      <c r="Z95" s="42"/>
      <c r="AA95" s="42"/>
      <c r="AB95" s="42"/>
    </row>
    <row r="96">
      <c r="A96" s="15">
        <v>46310.0</v>
      </c>
      <c r="B96" s="1" t="s">
        <v>407</v>
      </c>
      <c r="C96" s="1" t="s">
        <v>409</v>
      </c>
      <c r="D96" s="7" t="s">
        <v>364</v>
      </c>
      <c r="E96" s="7" t="s">
        <v>564</v>
      </c>
      <c r="F96" s="1" t="s">
        <v>194</v>
      </c>
      <c r="G96" s="20"/>
      <c r="H96" s="1">
        <v>15.0</v>
      </c>
      <c r="I96" s="7" t="s">
        <v>100</v>
      </c>
      <c r="K96" s="1" t="s">
        <v>411</v>
      </c>
      <c r="L96" s="1">
        <v>15.0</v>
      </c>
      <c r="M96" s="7" t="s">
        <v>100</v>
      </c>
      <c r="N96" s="20" t="str">
        <f t="shared" si="1"/>
        <v/>
      </c>
      <c r="O96" s="42"/>
      <c r="P96" s="42"/>
      <c r="Q96" s="42"/>
      <c r="R96" s="42"/>
      <c r="S96" s="42"/>
      <c r="T96" s="42"/>
      <c r="U96" s="42"/>
      <c r="V96" s="42"/>
      <c r="W96" s="42"/>
      <c r="X96" s="42"/>
      <c r="Y96" s="42"/>
      <c r="Z96" s="42"/>
      <c r="AA96" s="42"/>
      <c r="AB96" s="42"/>
    </row>
    <row r="97">
      <c r="A97" s="15">
        <v>46310.0</v>
      </c>
      <c r="B97" s="1" t="s">
        <v>407</v>
      </c>
      <c r="C97" s="1" t="s">
        <v>409</v>
      </c>
      <c r="D97" s="7" t="s">
        <v>364</v>
      </c>
      <c r="E97" s="7" t="s">
        <v>592</v>
      </c>
      <c r="F97" s="1" t="s">
        <v>194</v>
      </c>
      <c r="G97" s="20"/>
      <c r="H97" s="1">
        <v>0.0</v>
      </c>
      <c r="I97" s="7" t="s">
        <v>150</v>
      </c>
      <c r="K97" s="1" t="s">
        <v>411</v>
      </c>
      <c r="L97" s="1">
        <v>0.0</v>
      </c>
      <c r="M97" s="7" t="s">
        <v>150</v>
      </c>
      <c r="N97" s="20" t="str">
        <f t="shared" si="1"/>
        <v/>
      </c>
      <c r="O97" s="42"/>
      <c r="P97" s="42"/>
      <c r="Q97" s="42"/>
      <c r="R97" s="42"/>
      <c r="S97" s="42"/>
      <c r="T97" s="42"/>
      <c r="U97" s="42"/>
      <c r="V97" s="42"/>
      <c r="W97" s="42"/>
      <c r="X97" s="42"/>
      <c r="Y97" s="42"/>
      <c r="Z97" s="42"/>
      <c r="AA97" s="42"/>
      <c r="AB97" s="42"/>
    </row>
    <row r="98">
      <c r="A98" s="15">
        <v>46310.0</v>
      </c>
      <c r="B98" s="1" t="s">
        <v>407</v>
      </c>
      <c r="C98" s="1" t="s">
        <v>409</v>
      </c>
      <c r="D98" s="7" t="s">
        <v>364</v>
      </c>
      <c r="E98" s="7" t="s">
        <v>595</v>
      </c>
      <c r="F98" s="1" t="s">
        <v>194</v>
      </c>
      <c r="G98" s="20"/>
      <c r="H98" s="1">
        <v>0.0</v>
      </c>
      <c r="I98" s="7" t="s">
        <v>150</v>
      </c>
      <c r="K98" s="1" t="s">
        <v>411</v>
      </c>
      <c r="L98" s="1">
        <v>0.0</v>
      </c>
      <c r="M98" s="7" t="s">
        <v>150</v>
      </c>
      <c r="N98" s="20" t="str">
        <f t="shared" si="1"/>
        <v/>
      </c>
      <c r="O98" s="42"/>
      <c r="P98" s="42"/>
      <c r="Q98" s="42"/>
      <c r="R98" s="42"/>
      <c r="S98" s="42"/>
      <c r="T98" s="42"/>
      <c r="U98" s="42"/>
      <c r="V98" s="42"/>
      <c r="W98" s="42"/>
      <c r="X98" s="42"/>
      <c r="Y98" s="42"/>
      <c r="Z98" s="42"/>
      <c r="AA98" s="42"/>
      <c r="AB98" s="42"/>
    </row>
    <row r="99">
      <c r="A99" s="15">
        <v>46310.0</v>
      </c>
      <c r="B99" s="1" t="s">
        <v>407</v>
      </c>
      <c r="C99" s="1" t="s">
        <v>409</v>
      </c>
      <c r="D99" s="7" t="s">
        <v>364</v>
      </c>
      <c r="E99" s="7" t="s">
        <v>599</v>
      </c>
      <c r="F99" s="1" t="s">
        <v>194</v>
      </c>
      <c r="G99" s="20"/>
      <c r="H99" s="1">
        <v>0.0</v>
      </c>
      <c r="I99" s="7" t="s">
        <v>150</v>
      </c>
      <c r="K99" s="1" t="s">
        <v>411</v>
      </c>
      <c r="L99" s="1">
        <v>0.0</v>
      </c>
      <c r="M99" s="7" t="s">
        <v>150</v>
      </c>
      <c r="N99" s="20" t="str">
        <f t="shared" si="1"/>
        <v/>
      </c>
      <c r="O99" s="42"/>
      <c r="P99" s="42"/>
      <c r="Q99" s="42"/>
      <c r="R99" s="42"/>
      <c r="S99" s="42"/>
      <c r="T99" s="42"/>
      <c r="U99" s="42"/>
      <c r="V99" s="42"/>
      <c r="W99" s="42"/>
      <c r="X99" s="42"/>
      <c r="Y99" s="42"/>
      <c r="Z99" s="42"/>
      <c r="AA99" s="42"/>
      <c r="AB99" s="42"/>
    </row>
    <row r="100">
      <c r="A100" s="15">
        <v>46310.0</v>
      </c>
      <c r="B100" s="1" t="s">
        <v>407</v>
      </c>
      <c r="C100" s="1" t="s">
        <v>409</v>
      </c>
      <c r="D100" s="7" t="s">
        <v>114</v>
      </c>
      <c r="E100" s="7" t="s">
        <v>604</v>
      </c>
      <c r="F100" s="1" t="s">
        <v>436</v>
      </c>
      <c r="G100" s="20"/>
      <c r="H100" s="1">
        <v>0.0</v>
      </c>
      <c r="I100" s="7" t="s">
        <v>150</v>
      </c>
      <c r="J100" s="1" t="s">
        <v>476</v>
      </c>
      <c r="K100" s="1" t="s">
        <v>411</v>
      </c>
      <c r="L100" s="1">
        <v>0.0</v>
      </c>
      <c r="M100" s="7" t="s">
        <v>150</v>
      </c>
      <c r="N100" s="20" t="str">
        <f t="shared" si="1"/>
        <v/>
      </c>
      <c r="O100" s="42"/>
      <c r="P100" s="42"/>
      <c r="Q100" s="42"/>
      <c r="R100" s="42"/>
      <c r="S100" s="42"/>
      <c r="T100" s="42"/>
      <c r="U100" s="42"/>
      <c r="V100" s="42"/>
      <c r="W100" s="42"/>
      <c r="X100" s="42"/>
      <c r="Y100" s="42"/>
      <c r="Z100" s="42"/>
      <c r="AA100" s="42"/>
      <c r="AB100" s="42"/>
    </row>
    <row r="101">
      <c r="A101" s="15">
        <v>46310.0</v>
      </c>
      <c r="B101" s="1" t="s">
        <v>407</v>
      </c>
      <c r="C101" s="1" t="s">
        <v>409</v>
      </c>
      <c r="D101" s="7" t="s">
        <v>114</v>
      </c>
      <c r="E101" s="7" t="s">
        <v>609</v>
      </c>
      <c r="F101" s="1" t="s">
        <v>436</v>
      </c>
      <c r="G101" s="20"/>
      <c r="H101" s="1">
        <v>0.0</v>
      </c>
      <c r="I101" s="7" t="s">
        <v>150</v>
      </c>
      <c r="J101" s="1" t="s">
        <v>476</v>
      </c>
      <c r="K101" s="1" t="s">
        <v>411</v>
      </c>
      <c r="L101" s="1">
        <v>0.0</v>
      </c>
      <c r="M101" s="7" t="s">
        <v>150</v>
      </c>
      <c r="N101" s="20" t="str">
        <f t="shared" si="1"/>
        <v/>
      </c>
      <c r="O101" s="42"/>
      <c r="P101" s="42"/>
      <c r="Q101" s="42"/>
      <c r="R101" s="42"/>
      <c r="S101" s="42"/>
      <c r="T101" s="42"/>
      <c r="U101" s="42"/>
      <c r="V101" s="42"/>
      <c r="W101" s="42"/>
      <c r="X101" s="42"/>
      <c r="Y101" s="42"/>
      <c r="Z101" s="42"/>
      <c r="AA101" s="42"/>
      <c r="AB101" s="42"/>
    </row>
    <row r="102">
      <c r="A102" s="15">
        <v>46310.0</v>
      </c>
      <c r="B102" s="1" t="s">
        <v>407</v>
      </c>
      <c r="C102" s="1" t="s">
        <v>409</v>
      </c>
      <c r="D102" s="7" t="s">
        <v>114</v>
      </c>
      <c r="E102" s="7" t="s">
        <v>612</v>
      </c>
      <c r="F102" s="1" t="s">
        <v>98</v>
      </c>
      <c r="G102" s="20"/>
      <c r="H102" s="1">
        <v>0.0</v>
      </c>
      <c r="I102" s="7" t="s">
        <v>150</v>
      </c>
      <c r="J102" s="1" t="s">
        <v>476</v>
      </c>
      <c r="K102" s="1" t="s">
        <v>411</v>
      </c>
      <c r="L102" s="1">
        <v>0.0</v>
      </c>
      <c r="M102" s="7" t="s">
        <v>150</v>
      </c>
      <c r="N102" s="20" t="str">
        <f t="shared" si="1"/>
        <v/>
      </c>
      <c r="O102" s="42"/>
      <c r="P102" s="42"/>
      <c r="Q102" s="42"/>
      <c r="R102" s="42"/>
      <c r="S102" s="42"/>
      <c r="T102" s="42"/>
      <c r="U102" s="42"/>
      <c r="V102" s="42"/>
      <c r="W102" s="42"/>
      <c r="X102" s="42"/>
      <c r="Y102" s="42"/>
      <c r="Z102" s="42"/>
      <c r="AA102" s="42"/>
      <c r="AB102" s="42"/>
    </row>
    <row r="103">
      <c r="A103" s="15">
        <v>46310.0</v>
      </c>
      <c r="B103" s="1" t="s">
        <v>407</v>
      </c>
      <c r="C103" s="1" t="s">
        <v>409</v>
      </c>
      <c r="D103" s="7" t="s">
        <v>114</v>
      </c>
      <c r="E103" s="7" t="s">
        <v>619</v>
      </c>
      <c r="F103" s="1" t="s">
        <v>98</v>
      </c>
      <c r="G103" s="20"/>
      <c r="H103" s="1">
        <v>0.0</v>
      </c>
      <c r="I103" s="7" t="s">
        <v>150</v>
      </c>
      <c r="J103" s="1" t="s">
        <v>476</v>
      </c>
      <c r="K103" s="1" t="s">
        <v>411</v>
      </c>
      <c r="L103" s="1">
        <v>0.0</v>
      </c>
      <c r="M103" s="7" t="s">
        <v>150</v>
      </c>
      <c r="N103" s="20" t="str">
        <f t="shared" si="1"/>
        <v/>
      </c>
      <c r="O103" s="42"/>
      <c r="P103" s="42"/>
      <c r="Q103" s="42"/>
      <c r="R103" s="42"/>
      <c r="S103" s="42"/>
      <c r="T103" s="42"/>
      <c r="U103" s="42"/>
      <c r="V103" s="42"/>
      <c r="W103" s="42"/>
      <c r="X103" s="42"/>
      <c r="Y103" s="42"/>
      <c r="Z103" s="42"/>
      <c r="AA103" s="42"/>
      <c r="AB103" s="42"/>
    </row>
    <row r="104">
      <c r="A104" s="15">
        <v>46310.0</v>
      </c>
      <c r="B104" s="1" t="s">
        <v>407</v>
      </c>
      <c r="C104" s="1" t="s">
        <v>409</v>
      </c>
      <c r="D104" s="7" t="s">
        <v>114</v>
      </c>
      <c r="E104" s="7" t="s">
        <v>533</v>
      </c>
      <c r="F104" s="1" t="s">
        <v>98</v>
      </c>
      <c r="G104" s="1" t="s">
        <v>399</v>
      </c>
      <c r="H104" s="1">
        <v>0.0</v>
      </c>
      <c r="I104" s="7" t="s">
        <v>150</v>
      </c>
      <c r="J104" s="1" t="s">
        <v>399</v>
      </c>
      <c r="K104" s="1" t="s">
        <v>411</v>
      </c>
      <c r="L104" s="1">
        <v>0.0</v>
      </c>
      <c r="M104" s="7" t="s">
        <v>150</v>
      </c>
      <c r="N104" s="20" t="str">
        <f t="shared" si="1"/>
        <v/>
      </c>
      <c r="O104" s="42"/>
      <c r="P104" s="42"/>
      <c r="Q104" s="42"/>
      <c r="R104" s="42"/>
      <c r="S104" s="42"/>
      <c r="T104" s="42"/>
      <c r="U104" s="42"/>
      <c r="V104" s="42"/>
      <c r="W104" s="42"/>
      <c r="X104" s="42"/>
      <c r="Y104" s="42"/>
      <c r="Z104" s="42"/>
      <c r="AA104" s="42"/>
      <c r="AB104" s="42"/>
    </row>
    <row r="105">
      <c r="A105" s="15">
        <v>46310.0</v>
      </c>
      <c r="B105" s="1" t="s">
        <v>407</v>
      </c>
      <c r="C105" s="1" t="s">
        <v>409</v>
      </c>
      <c r="D105" s="7" t="s">
        <v>114</v>
      </c>
      <c r="E105" s="7" t="s">
        <v>533</v>
      </c>
      <c r="F105" s="1" t="s">
        <v>98</v>
      </c>
      <c r="G105" s="1" t="s">
        <v>413</v>
      </c>
      <c r="H105" s="1">
        <v>0.0</v>
      </c>
      <c r="I105" s="7" t="s">
        <v>150</v>
      </c>
      <c r="J105" s="1" t="s">
        <v>413</v>
      </c>
      <c r="K105" s="1" t="s">
        <v>411</v>
      </c>
      <c r="L105" s="1">
        <v>0.0</v>
      </c>
      <c r="M105" s="7" t="s">
        <v>150</v>
      </c>
      <c r="N105" s="20" t="str">
        <f t="shared" si="1"/>
        <v/>
      </c>
      <c r="O105" s="42"/>
      <c r="P105" s="42"/>
      <c r="Q105" s="42"/>
      <c r="R105" s="42"/>
      <c r="S105" s="42"/>
      <c r="T105" s="42"/>
      <c r="U105" s="42"/>
      <c r="V105" s="42"/>
      <c r="W105" s="42"/>
      <c r="X105" s="42"/>
      <c r="Y105" s="42"/>
      <c r="Z105" s="42"/>
      <c r="AA105" s="42"/>
      <c r="AB105" s="42"/>
    </row>
    <row r="106">
      <c r="A106" s="15">
        <v>46310.0</v>
      </c>
      <c r="B106" s="1" t="s">
        <v>407</v>
      </c>
      <c r="C106" s="1" t="s">
        <v>409</v>
      </c>
      <c r="D106" s="7" t="s">
        <v>114</v>
      </c>
      <c r="E106" s="7" t="s">
        <v>627</v>
      </c>
      <c r="F106" s="1" t="s">
        <v>98</v>
      </c>
      <c r="G106" s="20"/>
      <c r="H106" s="1">
        <v>0.0</v>
      </c>
      <c r="I106" s="7" t="s">
        <v>150</v>
      </c>
      <c r="J106" s="1" t="s">
        <v>476</v>
      </c>
      <c r="K106" s="1" t="s">
        <v>411</v>
      </c>
      <c r="L106" s="1">
        <v>0.0</v>
      </c>
      <c r="M106" s="7" t="s">
        <v>150</v>
      </c>
      <c r="N106" s="20" t="str">
        <f t="shared" si="1"/>
        <v/>
      </c>
      <c r="O106" s="42"/>
      <c r="P106" s="42"/>
      <c r="Q106" s="42"/>
      <c r="R106" s="42"/>
      <c r="S106" s="42"/>
      <c r="T106" s="42"/>
      <c r="U106" s="42"/>
      <c r="V106" s="42"/>
      <c r="W106" s="42"/>
      <c r="X106" s="42"/>
      <c r="Y106" s="42"/>
      <c r="Z106" s="42"/>
      <c r="AA106" s="42"/>
      <c r="AB106" s="42"/>
    </row>
    <row r="107">
      <c r="A107" s="15">
        <v>46310.0</v>
      </c>
      <c r="B107" s="1" t="s">
        <v>407</v>
      </c>
      <c r="C107" s="1" t="s">
        <v>409</v>
      </c>
      <c r="D107" s="7" t="s">
        <v>114</v>
      </c>
      <c r="E107" s="7" t="s">
        <v>505</v>
      </c>
      <c r="F107" s="1" t="s">
        <v>98</v>
      </c>
      <c r="G107" s="1" t="s">
        <v>399</v>
      </c>
      <c r="H107" s="1">
        <v>14.0</v>
      </c>
      <c r="I107" s="7" t="s">
        <v>100</v>
      </c>
      <c r="J107" s="1" t="s">
        <v>399</v>
      </c>
      <c r="K107" s="1" t="s">
        <v>411</v>
      </c>
      <c r="L107" s="1">
        <v>14.0</v>
      </c>
      <c r="M107" s="7" t="s">
        <v>100</v>
      </c>
      <c r="N107" s="20" t="str">
        <f t="shared" si="1"/>
        <v/>
      </c>
      <c r="O107" s="42"/>
      <c r="P107" s="42"/>
      <c r="Q107" s="42"/>
      <c r="R107" s="42"/>
      <c r="S107" s="42"/>
      <c r="T107" s="42"/>
      <c r="U107" s="42"/>
      <c r="V107" s="42"/>
      <c r="W107" s="42"/>
      <c r="X107" s="42"/>
      <c r="Y107" s="42"/>
      <c r="Z107" s="42"/>
      <c r="AA107" s="42"/>
      <c r="AB107" s="42"/>
    </row>
    <row r="108">
      <c r="A108" s="15">
        <v>46310.0</v>
      </c>
      <c r="B108" s="1" t="s">
        <v>407</v>
      </c>
      <c r="C108" s="1" t="s">
        <v>409</v>
      </c>
      <c r="D108" s="7" t="s">
        <v>114</v>
      </c>
      <c r="E108" s="7" t="s">
        <v>505</v>
      </c>
      <c r="F108" s="1" t="s">
        <v>98</v>
      </c>
      <c r="G108" s="1" t="s">
        <v>413</v>
      </c>
      <c r="H108" s="1">
        <v>21.0</v>
      </c>
      <c r="I108" s="7" t="s">
        <v>100</v>
      </c>
      <c r="J108" s="1" t="s">
        <v>413</v>
      </c>
      <c r="K108" s="1" t="s">
        <v>411</v>
      </c>
      <c r="L108" s="1">
        <v>21.0</v>
      </c>
      <c r="M108" s="7" t="s">
        <v>100</v>
      </c>
      <c r="N108" s="20" t="str">
        <f t="shared" si="1"/>
        <v/>
      </c>
      <c r="O108" s="42"/>
      <c r="P108" s="42"/>
      <c r="Q108" s="42"/>
      <c r="R108" s="42"/>
      <c r="S108" s="42"/>
      <c r="T108" s="42"/>
      <c r="U108" s="42"/>
      <c r="V108" s="42"/>
      <c r="W108" s="42"/>
      <c r="X108" s="42"/>
      <c r="Y108" s="42"/>
      <c r="Z108" s="42"/>
      <c r="AA108" s="42"/>
      <c r="AB108" s="42"/>
    </row>
    <row r="109">
      <c r="A109" s="15">
        <v>46310.0</v>
      </c>
      <c r="B109" s="1" t="s">
        <v>407</v>
      </c>
      <c r="C109" s="1" t="s">
        <v>409</v>
      </c>
      <c r="D109" s="7" t="s">
        <v>114</v>
      </c>
      <c r="E109" s="7" t="s">
        <v>505</v>
      </c>
      <c r="F109" s="1" t="s">
        <v>98</v>
      </c>
      <c r="G109" s="1" t="s">
        <v>453</v>
      </c>
      <c r="H109" s="1">
        <v>14.0</v>
      </c>
      <c r="I109" s="7" t="s">
        <v>100</v>
      </c>
      <c r="J109" s="1" t="s">
        <v>453</v>
      </c>
      <c r="K109" s="1" t="s">
        <v>411</v>
      </c>
      <c r="L109" s="1">
        <v>14.0</v>
      </c>
      <c r="M109" s="7" t="s">
        <v>100</v>
      </c>
      <c r="N109" s="20" t="str">
        <f t="shared" si="1"/>
        <v/>
      </c>
      <c r="O109" s="42"/>
      <c r="P109" s="42"/>
      <c r="Q109" s="42"/>
      <c r="R109" s="42"/>
      <c r="S109" s="42"/>
      <c r="T109" s="42"/>
      <c r="U109" s="42"/>
      <c r="V109" s="42"/>
      <c r="W109" s="42"/>
      <c r="X109" s="42"/>
      <c r="Y109" s="42"/>
      <c r="Z109" s="42"/>
      <c r="AA109" s="42"/>
      <c r="AB109" s="42"/>
    </row>
    <row r="110">
      <c r="A110" s="15">
        <v>46310.0</v>
      </c>
      <c r="B110" s="1" t="s">
        <v>407</v>
      </c>
      <c r="C110" s="1" t="s">
        <v>409</v>
      </c>
      <c r="D110" s="7" t="s">
        <v>114</v>
      </c>
      <c r="E110" s="7" t="s">
        <v>515</v>
      </c>
      <c r="F110" s="1" t="s">
        <v>98</v>
      </c>
      <c r="G110" s="1" t="s">
        <v>399</v>
      </c>
      <c r="H110" s="1">
        <v>22.0</v>
      </c>
      <c r="I110" s="7" t="s">
        <v>100</v>
      </c>
      <c r="J110" s="1" t="s">
        <v>636</v>
      </c>
      <c r="K110" s="1" t="s">
        <v>411</v>
      </c>
      <c r="L110" s="1">
        <v>22.0</v>
      </c>
      <c r="M110" s="7" t="s">
        <v>100</v>
      </c>
      <c r="N110" s="20" t="str">
        <f t="shared" si="1"/>
        <v/>
      </c>
      <c r="O110" s="42"/>
      <c r="P110" s="42"/>
      <c r="Q110" s="42"/>
      <c r="R110" s="42"/>
      <c r="S110" s="42"/>
      <c r="T110" s="42"/>
      <c r="U110" s="42"/>
      <c r="V110" s="42"/>
      <c r="W110" s="42"/>
      <c r="X110" s="42"/>
      <c r="Y110" s="42"/>
      <c r="Z110" s="42"/>
      <c r="AA110" s="42"/>
      <c r="AB110" s="42"/>
    </row>
    <row r="111">
      <c r="A111" s="15">
        <v>46310.0</v>
      </c>
      <c r="B111" s="1" t="s">
        <v>407</v>
      </c>
      <c r="C111" s="1" t="s">
        <v>409</v>
      </c>
      <c r="D111" s="7" t="s">
        <v>114</v>
      </c>
      <c r="E111" s="7" t="s">
        <v>515</v>
      </c>
      <c r="F111" s="1" t="s">
        <v>98</v>
      </c>
      <c r="G111" s="1" t="s">
        <v>413</v>
      </c>
      <c r="H111" s="1">
        <v>15.0</v>
      </c>
      <c r="I111" s="7" t="s">
        <v>100</v>
      </c>
      <c r="J111" s="1" t="s">
        <v>637</v>
      </c>
      <c r="K111" s="1" t="s">
        <v>411</v>
      </c>
      <c r="L111" s="1">
        <v>15.0</v>
      </c>
      <c r="M111" s="7" t="s">
        <v>100</v>
      </c>
      <c r="N111" s="20" t="str">
        <f t="shared" si="1"/>
        <v/>
      </c>
      <c r="O111" s="42"/>
      <c r="P111" s="42"/>
      <c r="Q111" s="42"/>
      <c r="R111" s="42"/>
      <c r="S111" s="42"/>
      <c r="T111" s="42"/>
      <c r="U111" s="42"/>
      <c r="V111" s="42"/>
      <c r="W111" s="42"/>
      <c r="X111" s="42"/>
      <c r="Y111" s="42"/>
      <c r="Z111" s="42"/>
      <c r="AA111" s="42"/>
      <c r="AB111" s="42"/>
    </row>
    <row r="112">
      <c r="A112" s="15">
        <v>46310.0</v>
      </c>
      <c r="B112" s="1" t="s">
        <v>407</v>
      </c>
      <c r="C112" s="1" t="s">
        <v>409</v>
      </c>
      <c r="D112" s="7" t="s">
        <v>114</v>
      </c>
      <c r="E112" s="7" t="s">
        <v>515</v>
      </c>
      <c r="F112" s="1" t="s">
        <v>98</v>
      </c>
      <c r="G112" s="1" t="s">
        <v>453</v>
      </c>
      <c r="H112" s="1">
        <v>12.0</v>
      </c>
      <c r="I112" s="7" t="s">
        <v>100</v>
      </c>
      <c r="J112" s="1" t="s">
        <v>638</v>
      </c>
      <c r="K112" s="1" t="s">
        <v>411</v>
      </c>
      <c r="L112" s="1">
        <v>12.0</v>
      </c>
      <c r="M112" s="7" t="s">
        <v>100</v>
      </c>
      <c r="N112" s="20" t="str">
        <f t="shared" si="1"/>
        <v/>
      </c>
      <c r="O112" s="42"/>
      <c r="P112" s="42"/>
      <c r="Q112" s="42"/>
      <c r="R112" s="42"/>
      <c r="S112" s="42"/>
      <c r="T112" s="42"/>
      <c r="U112" s="42"/>
      <c r="V112" s="42"/>
      <c r="W112" s="42"/>
      <c r="X112" s="42"/>
      <c r="Y112" s="42"/>
      <c r="Z112" s="42"/>
      <c r="AA112" s="42"/>
      <c r="AB112" s="42"/>
    </row>
    <row r="113">
      <c r="A113" s="15">
        <v>46310.0</v>
      </c>
      <c r="B113" s="1" t="s">
        <v>407</v>
      </c>
      <c r="C113" s="1" t="s">
        <v>409</v>
      </c>
      <c r="D113" s="7" t="s">
        <v>114</v>
      </c>
      <c r="E113" s="7" t="s">
        <v>527</v>
      </c>
      <c r="F113" s="1" t="s">
        <v>235</v>
      </c>
      <c r="G113" s="20"/>
      <c r="H113" s="1">
        <v>23.0</v>
      </c>
      <c r="I113" s="7" t="s">
        <v>100</v>
      </c>
      <c r="J113" s="1" t="s">
        <v>639</v>
      </c>
      <c r="K113" s="1" t="s">
        <v>411</v>
      </c>
      <c r="L113" s="1">
        <v>23.0</v>
      </c>
      <c r="M113" s="7" t="s">
        <v>100</v>
      </c>
      <c r="N113" s="20" t="str">
        <f t="shared" si="1"/>
        <v/>
      </c>
      <c r="O113" s="42"/>
      <c r="P113" s="42"/>
      <c r="Q113" s="42"/>
      <c r="R113" s="42"/>
      <c r="S113" s="42"/>
      <c r="T113" s="42"/>
      <c r="U113" s="42"/>
      <c r="V113" s="42"/>
      <c r="W113" s="42"/>
      <c r="X113" s="42"/>
      <c r="Y113" s="42"/>
      <c r="Z113" s="42"/>
      <c r="AA113" s="42"/>
      <c r="AB113" s="42"/>
    </row>
    <row r="114">
      <c r="A114" s="15">
        <v>46310.0</v>
      </c>
      <c r="B114" s="1" t="s">
        <v>407</v>
      </c>
      <c r="C114" s="1" t="s">
        <v>409</v>
      </c>
      <c r="D114" s="7" t="s">
        <v>114</v>
      </c>
      <c r="E114" s="7" t="s">
        <v>543</v>
      </c>
      <c r="F114" s="1" t="s">
        <v>235</v>
      </c>
      <c r="G114" s="20"/>
      <c r="H114" s="1">
        <v>26.0</v>
      </c>
      <c r="I114" s="41"/>
      <c r="K114" s="1" t="s">
        <v>411</v>
      </c>
      <c r="L114" s="1">
        <v>26.0</v>
      </c>
      <c r="M114" s="41"/>
      <c r="N114" s="20" t="str">
        <f t="shared" si="1"/>
        <v/>
      </c>
      <c r="O114" s="42"/>
      <c r="P114" s="42"/>
      <c r="Q114" s="42"/>
      <c r="R114" s="42"/>
      <c r="S114" s="42"/>
      <c r="T114" s="42"/>
      <c r="U114" s="42"/>
      <c r="V114" s="42"/>
      <c r="W114" s="42"/>
      <c r="X114" s="42"/>
      <c r="Y114" s="42"/>
      <c r="Z114" s="42"/>
      <c r="AA114" s="42"/>
      <c r="AB114" s="42"/>
    </row>
    <row r="115">
      <c r="A115" s="15">
        <v>46310.0</v>
      </c>
      <c r="B115" s="1" t="s">
        <v>407</v>
      </c>
      <c r="C115" s="1" t="s">
        <v>409</v>
      </c>
      <c r="D115" s="7" t="s">
        <v>114</v>
      </c>
      <c r="E115" s="7" t="s">
        <v>640</v>
      </c>
      <c r="F115" s="1" t="s">
        <v>235</v>
      </c>
      <c r="G115" s="20"/>
      <c r="H115" s="1">
        <v>0.0</v>
      </c>
      <c r="I115" s="7" t="s">
        <v>150</v>
      </c>
      <c r="K115" s="1" t="s">
        <v>411</v>
      </c>
      <c r="L115" s="1">
        <v>0.0</v>
      </c>
      <c r="M115" s="7" t="s">
        <v>150</v>
      </c>
      <c r="N115" s="20" t="str">
        <f t="shared" si="1"/>
        <v/>
      </c>
      <c r="O115" s="42"/>
      <c r="P115" s="42"/>
      <c r="Q115" s="42"/>
      <c r="R115" s="42"/>
      <c r="S115" s="42"/>
      <c r="T115" s="42"/>
      <c r="U115" s="42"/>
      <c r="V115" s="42"/>
      <c r="W115" s="42"/>
      <c r="X115" s="42"/>
      <c r="Y115" s="42"/>
      <c r="Z115" s="42"/>
      <c r="AA115" s="42"/>
      <c r="AB115" s="42"/>
    </row>
    <row r="116">
      <c r="A116" s="15">
        <v>46310.0</v>
      </c>
      <c r="B116" s="1" t="s">
        <v>407</v>
      </c>
      <c r="C116" s="1" t="s">
        <v>409</v>
      </c>
      <c r="D116" s="7" t="s">
        <v>364</v>
      </c>
      <c r="E116" s="7" t="s">
        <v>642</v>
      </c>
      <c r="F116" s="1" t="s">
        <v>436</v>
      </c>
      <c r="G116" s="20"/>
      <c r="H116" s="1">
        <v>0.0</v>
      </c>
      <c r="I116" s="7" t="s">
        <v>150</v>
      </c>
      <c r="K116" s="1" t="s">
        <v>411</v>
      </c>
      <c r="L116" s="1">
        <v>0.0</v>
      </c>
      <c r="M116" s="7" t="s">
        <v>150</v>
      </c>
      <c r="N116" s="20" t="str">
        <f t="shared" si="1"/>
        <v/>
      </c>
      <c r="O116" s="42"/>
      <c r="P116" s="42"/>
      <c r="Q116" s="42"/>
      <c r="R116" s="42"/>
      <c r="S116" s="42"/>
      <c r="T116" s="42"/>
      <c r="U116" s="42"/>
      <c r="V116" s="42"/>
      <c r="W116" s="42"/>
      <c r="X116" s="42"/>
      <c r="Y116" s="42"/>
      <c r="Z116" s="42"/>
      <c r="AA116" s="42"/>
      <c r="AB116" s="42"/>
    </row>
    <row r="117">
      <c r="A117" s="15">
        <v>46310.0</v>
      </c>
      <c r="B117" s="1" t="s">
        <v>407</v>
      </c>
      <c r="C117" s="1" t="s">
        <v>409</v>
      </c>
      <c r="D117" s="7" t="s">
        <v>364</v>
      </c>
      <c r="E117" s="7" t="s">
        <v>644</v>
      </c>
      <c r="F117" s="1" t="s">
        <v>436</v>
      </c>
      <c r="G117" s="1" t="s">
        <v>399</v>
      </c>
      <c r="H117" s="1">
        <v>0.0</v>
      </c>
      <c r="I117" s="7" t="s">
        <v>150</v>
      </c>
      <c r="J117" s="1" t="s">
        <v>399</v>
      </c>
      <c r="K117" s="1" t="s">
        <v>411</v>
      </c>
      <c r="L117" s="1">
        <v>0.0</v>
      </c>
      <c r="M117" s="7" t="s">
        <v>150</v>
      </c>
      <c r="N117" s="20" t="str">
        <f t="shared" si="1"/>
        <v/>
      </c>
      <c r="O117" s="42"/>
      <c r="P117" s="42"/>
      <c r="Q117" s="42"/>
      <c r="R117" s="42"/>
      <c r="S117" s="42"/>
      <c r="T117" s="42"/>
      <c r="U117" s="42"/>
      <c r="V117" s="42"/>
      <c r="W117" s="42"/>
      <c r="X117" s="42"/>
      <c r="Y117" s="42"/>
      <c r="Z117" s="42"/>
      <c r="AA117" s="42"/>
      <c r="AB117" s="42"/>
    </row>
    <row r="118">
      <c r="A118" s="15">
        <v>46310.0</v>
      </c>
      <c r="B118" s="1" t="s">
        <v>407</v>
      </c>
      <c r="C118" s="1" t="s">
        <v>409</v>
      </c>
      <c r="D118" s="7" t="s">
        <v>364</v>
      </c>
      <c r="E118" s="7" t="s">
        <v>644</v>
      </c>
      <c r="F118" s="1" t="s">
        <v>436</v>
      </c>
      <c r="G118" s="1" t="s">
        <v>413</v>
      </c>
      <c r="H118" s="1">
        <v>0.0</v>
      </c>
      <c r="I118" s="7" t="s">
        <v>150</v>
      </c>
      <c r="J118" s="1" t="s">
        <v>413</v>
      </c>
      <c r="K118" s="1" t="s">
        <v>411</v>
      </c>
      <c r="L118" s="1">
        <v>0.0</v>
      </c>
      <c r="M118" s="7" t="s">
        <v>150</v>
      </c>
      <c r="N118" s="20" t="str">
        <f t="shared" si="1"/>
        <v/>
      </c>
      <c r="O118" s="42"/>
      <c r="P118" s="42"/>
      <c r="Q118" s="42"/>
      <c r="R118" s="42"/>
      <c r="S118" s="42"/>
      <c r="T118" s="42"/>
      <c r="U118" s="42"/>
      <c r="V118" s="42"/>
      <c r="W118" s="42"/>
      <c r="X118" s="42"/>
      <c r="Y118" s="42"/>
      <c r="Z118" s="42"/>
      <c r="AA118" s="42"/>
      <c r="AB118" s="42"/>
    </row>
    <row r="119">
      <c r="A119" s="15">
        <v>46310.0</v>
      </c>
      <c r="B119" s="1" t="s">
        <v>407</v>
      </c>
      <c r="C119" s="1" t="s">
        <v>409</v>
      </c>
      <c r="D119" s="7" t="s">
        <v>364</v>
      </c>
      <c r="E119" s="7" t="s">
        <v>646</v>
      </c>
      <c r="F119" s="1" t="s">
        <v>436</v>
      </c>
      <c r="G119" s="20"/>
      <c r="H119" s="1">
        <v>0.0</v>
      </c>
      <c r="I119" s="7" t="s">
        <v>150</v>
      </c>
      <c r="K119" s="1" t="s">
        <v>411</v>
      </c>
      <c r="L119" s="1">
        <v>0.0</v>
      </c>
      <c r="M119" s="7" t="s">
        <v>150</v>
      </c>
      <c r="N119" s="20" t="str">
        <f t="shared" si="1"/>
        <v/>
      </c>
      <c r="O119" s="42"/>
      <c r="P119" s="42"/>
      <c r="Q119" s="42"/>
      <c r="R119" s="42"/>
      <c r="S119" s="42"/>
      <c r="T119" s="42"/>
      <c r="U119" s="42"/>
      <c r="V119" s="42"/>
      <c r="W119" s="42"/>
      <c r="X119" s="42"/>
      <c r="Y119" s="42"/>
      <c r="Z119" s="42"/>
      <c r="AA119" s="42"/>
      <c r="AB119" s="42"/>
    </row>
    <row r="120">
      <c r="A120" s="15">
        <v>46310.0</v>
      </c>
      <c r="B120" s="1" t="s">
        <v>407</v>
      </c>
      <c r="C120" s="1" t="s">
        <v>409</v>
      </c>
      <c r="D120" s="7" t="s">
        <v>364</v>
      </c>
      <c r="E120" s="7" t="s">
        <v>648</v>
      </c>
      <c r="F120" s="1" t="s">
        <v>436</v>
      </c>
      <c r="G120" s="20"/>
      <c r="H120" s="1">
        <v>0.0</v>
      </c>
      <c r="I120" s="7" t="s">
        <v>150</v>
      </c>
      <c r="K120" s="1" t="s">
        <v>411</v>
      </c>
      <c r="L120" s="1">
        <v>0.0</v>
      </c>
      <c r="M120" s="7" t="s">
        <v>150</v>
      </c>
      <c r="N120" s="20" t="str">
        <f t="shared" si="1"/>
        <v/>
      </c>
      <c r="O120" s="42"/>
      <c r="P120" s="42"/>
      <c r="Q120" s="42"/>
      <c r="R120" s="42"/>
      <c r="S120" s="42"/>
      <c r="T120" s="42"/>
      <c r="U120" s="42"/>
      <c r="V120" s="42"/>
      <c r="W120" s="42"/>
      <c r="X120" s="42"/>
      <c r="Y120" s="42"/>
      <c r="Z120" s="42"/>
      <c r="AA120" s="42"/>
      <c r="AB120" s="42"/>
    </row>
    <row r="121">
      <c r="A121" s="15">
        <v>46310.0</v>
      </c>
      <c r="B121" s="1" t="s">
        <v>407</v>
      </c>
      <c r="C121" s="1" t="s">
        <v>409</v>
      </c>
      <c r="D121" s="7" t="s">
        <v>364</v>
      </c>
      <c r="E121" s="7" t="s">
        <v>549</v>
      </c>
      <c r="F121" s="1" t="s">
        <v>436</v>
      </c>
      <c r="G121" s="20"/>
      <c r="H121" s="1">
        <v>14.0</v>
      </c>
      <c r="I121" s="7" t="s">
        <v>100</v>
      </c>
      <c r="K121" s="1" t="s">
        <v>411</v>
      </c>
      <c r="L121" s="1">
        <v>14.0</v>
      </c>
      <c r="M121" s="7" t="s">
        <v>100</v>
      </c>
      <c r="N121" s="20" t="str">
        <f t="shared" si="1"/>
        <v/>
      </c>
      <c r="O121" s="42"/>
      <c r="P121" s="42"/>
      <c r="Q121" s="42"/>
      <c r="R121" s="42"/>
      <c r="S121" s="42"/>
      <c r="T121" s="42"/>
      <c r="U121" s="42"/>
      <c r="V121" s="42"/>
      <c r="W121" s="42"/>
      <c r="X121" s="42"/>
      <c r="Y121" s="42"/>
      <c r="Z121" s="42"/>
      <c r="AA121" s="42"/>
      <c r="AB121" s="42"/>
    </row>
    <row r="122">
      <c r="A122" s="15">
        <v>46310.0</v>
      </c>
      <c r="B122" s="1" t="s">
        <v>407</v>
      </c>
      <c r="C122" s="1" t="s">
        <v>409</v>
      </c>
      <c r="D122" s="7" t="s">
        <v>364</v>
      </c>
      <c r="E122" s="7" t="s">
        <v>650</v>
      </c>
      <c r="F122" s="1" t="s">
        <v>436</v>
      </c>
      <c r="G122" s="20"/>
      <c r="H122" s="1">
        <v>0.0</v>
      </c>
      <c r="I122" s="7" t="s">
        <v>150</v>
      </c>
      <c r="K122" s="1" t="s">
        <v>411</v>
      </c>
      <c r="L122" s="1">
        <v>0.0</v>
      </c>
      <c r="M122" s="7" t="s">
        <v>150</v>
      </c>
      <c r="N122" s="20" t="str">
        <f t="shared" si="1"/>
        <v/>
      </c>
      <c r="O122" s="42"/>
      <c r="P122" s="42"/>
      <c r="Q122" s="42"/>
      <c r="R122" s="42"/>
      <c r="S122" s="42"/>
      <c r="T122" s="42"/>
      <c r="U122" s="42"/>
      <c r="V122" s="42"/>
      <c r="W122" s="42"/>
      <c r="X122" s="42"/>
      <c r="Y122" s="42"/>
      <c r="Z122" s="42"/>
      <c r="AA122" s="42"/>
      <c r="AB122" s="42"/>
    </row>
    <row r="123">
      <c r="A123" s="15">
        <v>46310.0</v>
      </c>
      <c r="B123" s="1" t="s">
        <v>407</v>
      </c>
      <c r="C123" s="1" t="s">
        <v>409</v>
      </c>
      <c r="D123" s="7" t="s">
        <v>364</v>
      </c>
      <c r="E123" s="7" t="s">
        <v>555</v>
      </c>
      <c r="F123" s="1" t="s">
        <v>98</v>
      </c>
      <c r="G123" s="20"/>
      <c r="H123" s="1">
        <v>14.0</v>
      </c>
      <c r="I123" s="7" t="s">
        <v>100</v>
      </c>
      <c r="K123" s="1" t="s">
        <v>411</v>
      </c>
      <c r="L123" s="1">
        <v>14.0</v>
      </c>
      <c r="M123" s="7" t="s">
        <v>100</v>
      </c>
      <c r="N123" s="20" t="str">
        <f t="shared" si="1"/>
        <v/>
      </c>
      <c r="O123" s="42"/>
      <c r="P123" s="42"/>
      <c r="Q123" s="42"/>
      <c r="R123" s="42"/>
      <c r="S123" s="42"/>
      <c r="T123" s="42"/>
      <c r="U123" s="42"/>
      <c r="V123" s="42"/>
      <c r="W123" s="42"/>
      <c r="X123" s="42"/>
      <c r="Y123" s="42"/>
      <c r="Z123" s="42"/>
      <c r="AA123" s="42"/>
      <c r="AB123" s="42"/>
    </row>
    <row r="124">
      <c r="A124" s="15">
        <v>46310.0</v>
      </c>
      <c r="B124" s="1" t="s">
        <v>407</v>
      </c>
      <c r="C124" s="1" t="s">
        <v>409</v>
      </c>
      <c r="D124" s="7" t="s">
        <v>338</v>
      </c>
      <c r="E124" s="7" t="s">
        <v>653</v>
      </c>
      <c r="F124" s="1" t="s">
        <v>436</v>
      </c>
      <c r="G124" s="20"/>
      <c r="H124" s="1">
        <v>0.0</v>
      </c>
      <c r="I124" s="7" t="s">
        <v>150</v>
      </c>
      <c r="J124" s="1" t="s">
        <v>654</v>
      </c>
      <c r="K124" s="1" t="s">
        <v>411</v>
      </c>
      <c r="L124" s="1">
        <v>0.0</v>
      </c>
      <c r="M124" s="7" t="s">
        <v>150</v>
      </c>
      <c r="N124" s="20" t="str">
        <f t="shared" si="1"/>
        <v/>
      </c>
      <c r="O124" s="42"/>
      <c r="P124" s="42"/>
      <c r="Q124" s="42"/>
      <c r="R124" s="42"/>
      <c r="S124" s="42"/>
      <c r="T124" s="42"/>
      <c r="U124" s="42"/>
      <c r="V124" s="42"/>
      <c r="W124" s="42"/>
      <c r="X124" s="42"/>
      <c r="Y124" s="42"/>
      <c r="Z124" s="42"/>
      <c r="AA124" s="42"/>
      <c r="AB124" s="42"/>
    </row>
    <row r="125">
      <c r="A125" s="15">
        <v>46310.0</v>
      </c>
      <c r="B125" s="1" t="s">
        <v>407</v>
      </c>
      <c r="C125" s="1" t="s">
        <v>409</v>
      </c>
      <c r="D125" s="7" t="s">
        <v>338</v>
      </c>
      <c r="E125" s="7" t="s">
        <v>374</v>
      </c>
      <c r="F125" s="1" t="s">
        <v>436</v>
      </c>
      <c r="G125" s="1" t="s">
        <v>399</v>
      </c>
      <c r="H125" s="1">
        <v>16.0</v>
      </c>
      <c r="I125" s="7" t="s">
        <v>100</v>
      </c>
      <c r="J125" s="1" t="s">
        <v>399</v>
      </c>
      <c r="K125" s="1" t="s">
        <v>411</v>
      </c>
      <c r="L125" s="1">
        <v>16.0</v>
      </c>
      <c r="M125" s="7" t="s">
        <v>100</v>
      </c>
      <c r="N125" s="20" t="str">
        <f t="shared" si="1"/>
        <v/>
      </c>
      <c r="O125" s="42"/>
      <c r="P125" s="42"/>
      <c r="Q125" s="42"/>
      <c r="R125" s="42"/>
      <c r="S125" s="42"/>
      <c r="T125" s="42"/>
      <c r="U125" s="42"/>
      <c r="V125" s="42"/>
      <c r="W125" s="42"/>
      <c r="X125" s="42"/>
      <c r="Y125" s="42"/>
      <c r="Z125" s="42"/>
      <c r="AA125" s="42"/>
      <c r="AB125" s="42"/>
    </row>
    <row r="126">
      <c r="A126" s="15">
        <v>46310.0</v>
      </c>
      <c r="B126" s="1" t="s">
        <v>407</v>
      </c>
      <c r="C126" s="1" t="s">
        <v>409</v>
      </c>
      <c r="D126" s="7" t="s">
        <v>338</v>
      </c>
      <c r="E126" s="7" t="s">
        <v>384</v>
      </c>
      <c r="F126" s="1" t="s">
        <v>436</v>
      </c>
      <c r="G126" s="1" t="s">
        <v>99</v>
      </c>
      <c r="H126" s="1">
        <v>58.0</v>
      </c>
      <c r="I126" s="7" t="s">
        <v>100</v>
      </c>
      <c r="J126" s="1" t="s">
        <v>656</v>
      </c>
      <c r="K126" s="1" t="s">
        <v>411</v>
      </c>
      <c r="L126" s="1">
        <v>58.0</v>
      </c>
      <c r="M126" s="7" t="s">
        <v>100</v>
      </c>
      <c r="N126" s="20" t="str">
        <f t="shared" si="1"/>
        <v/>
      </c>
      <c r="O126" s="42"/>
      <c r="P126" s="42"/>
      <c r="Q126" s="42"/>
      <c r="R126" s="42"/>
      <c r="S126" s="42"/>
      <c r="T126" s="42"/>
      <c r="U126" s="42"/>
      <c r="V126" s="42"/>
      <c r="W126" s="42"/>
      <c r="X126" s="42"/>
      <c r="Y126" s="42"/>
      <c r="Z126" s="42"/>
      <c r="AA126" s="42"/>
      <c r="AB126" s="42"/>
    </row>
    <row r="127">
      <c r="A127" s="15">
        <v>46310.0</v>
      </c>
      <c r="B127" s="1" t="s">
        <v>407</v>
      </c>
      <c r="C127" s="1" t="s">
        <v>409</v>
      </c>
      <c r="D127" s="7" t="s">
        <v>338</v>
      </c>
      <c r="E127" s="7" t="s">
        <v>384</v>
      </c>
      <c r="F127" s="1" t="s">
        <v>436</v>
      </c>
      <c r="G127" s="1" t="s">
        <v>104</v>
      </c>
      <c r="H127" s="1">
        <v>17.0</v>
      </c>
      <c r="I127" s="7" t="s">
        <v>100</v>
      </c>
      <c r="J127" s="1" t="s">
        <v>658</v>
      </c>
      <c r="K127" s="1" t="s">
        <v>411</v>
      </c>
      <c r="L127" s="1">
        <v>17.0</v>
      </c>
      <c r="M127" s="7" t="s">
        <v>100</v>
      </c>
      <c r="N127" s="20" t="str">
        <f t="shared" si="1"/>
        <v/>
      </c>
      <c r="O127" s="42"/>
      <c r="P127" s="42"/>
      <c r="Q127" s="42"/>
      <c r="R127" s="42"/>
      <c r="S127" s="42"/>
      <c r="T127" s="42"/>
      <c r="U127" s="42"/>
      <c r="V127" s="42"/>
      <c r="W127" s="42"/>
      <c r="X127" s="42"/>
      <c r="Y127" s="42"/>
      <c r="Z127" s="42"/>
      <c r="AA127" s="42"/>
      <c r="AB127" s="42"/>
    </row>
    <row r="128">
      <c r="A128" s="15">
        <v>46310.0</v>
      </c>
      <c r="B128" s="1" t="s">
        <v>407</v>
      </c>
      <c r="C128" s="1" t="s">
        <v>409</v>
      </c>
      <c r="D128" s="7" t="s">
        <v>338</v>
      </c>
      <c r="E128" s="7" t="s">
        <v>660</v>
      </c>
      <c r="F128" s="1" t="s">
        <v>235</v>
      </c>
      <c r="G128" s="20"/>
      <c r="H128" s="1">
        <v>0.0</v>
      </c>
      <c r="I128" s="7" t="s">
        <v>150</v>
      </c>
      <c r="J128" s="1" t="s">
        <v>661</v>
      </c>
      <c r="K128" s="1" t="s">
        <v>411</v>
      </c>
      <c r="L128" s="1">
        <v>0.0</v>
      </c>
      <c r="M128" s="7" t="s">
        <v>150</v>
      </c>
      <c r="N128" s="20" t="str">
        <f t="shared" si="1"/>
        <v/>
      </c>
      <c r="O128" s="42"/>
      <c r="P128" s="42"/>
      <c r="Q128" s="42"/>
      <c r="R128" s="42"/>
      <c r="S128" s="42"/>
      <c r="T128" s="42"/>
      <c r="U128" s="42"/>
      <c r="V128" s="42"/>
      <c r="W128" s="42"/>
      <c r="X128" s="42"/>
      <c r="Y128" s="42"/>
      <c r="Z128" s="42"/>
      <c r="AA128" s="42"/>
      <c r="AB128" s="42"/>
    </row>
    <row r="129">
      <c r="A129" s="15">
        <v>46310.0</v>
      </c>
      <c r="B129" s="1" t="s">
        <v>407</v>
      </c>
      <c r="C129" s="1" t="s">
        <v>409</v>
      </c>
      <c r="D129" s="7" t="s">
        <v>338</v>
      </c>
      <c r="E129" s="7" t="s">
        <v>663</v>
      </c>
      <c r="F129" s="1" t="s">
        <v>235</v>
      </c>
      <c r="G129" s="20"/>
      <c r="H129" s="1">
        <v>0.0</v>
      </c>
      <c r="I129" s="7" t="s">
        <v>150</v>
      </c>
      <c r="J129" s="1" t="s">
        <v>661</v>
      </c>
      <c r="K129" s="1" t="s">
        <v>411</v>
      </c>
      <c r="L129" s="1">
        <v>0.0</v>
      </c>
      <c r="M129" s="7" t="s">
        <v>150</v>
      </c>
      <c r="N129" s="20" t="str">
        <f t="shared" si="1"/>
        <v/>
      </c>
      <c r="O129" s="42"/>
      <c r="P129" s="42"/>
      <c r="Q129" s="42"/>
      <c r="R129" s="42"/>
      <c r="S129" s="42"/>
      <c r="T129" s="42"/>
      <c r="U129" s="42"/>
      <c r="V129" s="42"/>
      <c r="W129" s="42"/>
      <c r="X129" s="42"/>
      <c r="Y129" s="42"/>
      <c r="Z129" s="42"/>
      <c r="AA129" s="42"/>
      <c r="AB129" s="42"/>
    </row>
    <row r="130">
      <c r="A130" s="15">
        <v>46310.0</v>
      </c>
      <c r="B130" s="1" t="s">
        <v>407</v>
      </c>
      <c r="C130" s="1" t="s">
        <v>409</v>
      </c>
      <c r="D130" s="7" t="s">
        <v>364</v>
      </c>
      <c r="E130" s="7" t="s">
        <v>576</v>
      </c>
      <c r="F130" s="1" t="s">
        <v>235</v>
      </c>
      <c r="G130" s="20"/>
      <c r="H130" s="1">
        <v>30.0</v>
      </c>
      <c r="I130" s="7" t="s">
        <v>100</v>
      </c>
      <c r="J130" s="1" t="s">
        <v>665</v>
      </c>
      <c r="K130" s="1" t="s">
        <v>411</v>
      </c>
      <c r="L130" s="1">
        <v>30.0</v>
      </c>
      <c r="M130" s="7" t="s">
        <v>100</v>
      </c>
      <c r="N130" s="20" t="str">
        <f t="shared" si="1"/>
        <v/>
      </c>
      <c r="O130" s="42"/>
      <c r="P130" s="42"/>
      <c r="Q130" s="42"/>
      <c r="R130" s="42"/>
      <c r="S130" s="42"/>
      <c r="T130" s="42"/>
      <c r="U130" s="42"/>
      <c r="V130" s="42"/>
      <c r="W130" s="42"/>
      <c r="X130" s="42"/>
      <c r="Y130" s="42"/>
      <c r="Z130" s="42"/>
      <c r="AA130" s="42"/>
      <c r="AB130" s="42"/>
    </row>
    <row r="131">
      <c r="A131" s="15">
        <v>46310.0</v>
      </c>
      <c r="B131" s="1" t="s">
        <v>407</v>
      </c>
      <c r="C131" s="1" t="s">
        <v>409</v>
      </c>
      <c r="D131" s="7" t="s">
        <v>364</v>
      </c>
      <c r="E131" s="7" t="s">
        <v>581</v>
      </c>
      <c r="F131" s="1" t="s">
        <v>235</v>
      </c>
      <c r="G131" s="20"/>
      <c r="H131" s="1">
        <v>20.0</v>
      </c>
      <c r="I131" s="7" t="s">
        <v>100</v>
      </c>
      <c r="J131" s="1" t="s">
        <v>667</v>
      </c>
      <c r="K131" s="1" t="s">
        <v>411</v>
      </c>
      <c r="L131" s="1">
        <v>20.0</v>
      </c>
      <c r="M131" s="7" t="s">
        <v>100</v>
      </c>
      <c r="N131" s="20" t="str">
        <f t="shared" si="1"/>
        <v/>
      </c>
      <c r="O131" s="42"/>
      <c r="P131" s="42"/>
      <c r="Q131" s="42"/>
      <c r="R131" s="42"/>
      <c r="S131" s="42"/>
      <c r="T131" s="42"/>
      <c r="U131" s="42"/>
      <c r="V131" s="42"/>
      <c r="W131" s="42"/>
      <c r="X131" s="42"/>
      <c r="Y131" s="42"/>
      <c r="Z131" s="42"/>
      <c r="AA131" s="42"/>
      <c r="AB131" s="42"/>
    </row>
    <row r="132">
      <c r="A132" s="15">
        <v>46310.0</v>
      </c>
      <c r="B132" s="1" t="s">
        <v>407</v>
      </c>
      <c r="C132" s="1" t="s">
        <v>409</v>
      </c>
      <c r="D132" s="7" t="s">
        <v>364</v>
      </c>
      <c r="E132" s="7" t="s">
        <v>600</v>
      </c>
      <c r="F132" s="1" t="s">
        <v>235</v>
      </c>
      <c r="G132" s="20"/>
      <c r="H132" s="1">
        <v>23.0</v>
      </c>
      <c r="I132" s="7" t="s">
        <v>100</v>
      </c>
      <c r="J132" s="1" t="s">
        <v>668</v>
      </c>
      <c r="K132" s="1" t="s">
        <v>411</v>
      </c>
      <c r="L132" s="1">
        <v>23.0</v>
      </c>
      <c r="M132" s="7" t="s">
        <v>100</v>
      </c>
      <c r="N132" s="20" t="str">
        <f t="shared" si="1"/>
        <v/>
      </c>
      <c r="O132" s="42"/>
      <c r="P132" s="42"/>
      <c r="Q132" s="42"/>
      <c r="R132" s="42"/>
      <c r="S132" s="42"/>
      <c r="T132" s="42"/>
      <c r="U132" s="42"/>
      <c r="V132" s="42"/>
      <c r="W132" s="42"/>
      <c r="X132" s="42"/>
      <c r="Y132" s="42"/>
      <c r="Z132" s="42"/>
      <c r="AA132" s="42"/>
      <c r="AB132" s="42"/>
    </row>
    <row r="133">
      <c r="A133" s="15">
        <v>46310.0</v>
      </c>
      <c r="B133" s="1" t="s">
        <v>407</v>
      </c>
      <c r="C133" s="1" t="s">
        <v>409</v>
      </c>
      <c r="D133" s="7" t="s">
        <v>364</v>
      </c>
      <c r="E133" s="7" t="s">
        <v>606</v>
      </c>
      <c r="F133" s="1" t="s">
        <v>235</v>
      </c>
      <c r="G133" s="20"/>
      <c r="H133" s="1">
        <v>31.0</v>
      </c>
      <c r="I133" s="7" t="s">
        <v>100</v>
      </c>
      <c r="J133" s="1" t="s">
        <v>669</v>
      </c>
      <c r="K133" s="1" t="s">
        <v>411</v>
      </c>
      <c r="L133" s="1">
        <v>31.0</v>
      </c>
      <c r="M133" s="7" t="s">
        <v>100</v>
      </c>
      <c r="N133" s="20" t="str">
        <f t="shared" si="1"/>
        <v/>
      </c>
      <c r="O133" s="42"/>
      <c r="P133" s="42"/>
      <c r="Q133" s="42"/>
      <c r="R133" s="42"/>
      <c r="S133" s="42"/>
      <c r="T133" s="42"/>
      <c r="U133" s="42"/>
      <c r="V133" s="42"/>
      <c r="W133" s="42"/>
      <c r="X133" s="42"/>
      <c r="Y133" s="42"/>
      <c r="Z133" s="42"/>
      <c r="AA133" s="42"/>
      <c r="AB133" s="42"/>
    </row>
    <row r="134">
      <c r="A134" s="15">
        <v>46310.0</v>
      </c>
      <c r="B134" s="1" t="s">
        <v>407</v>
      </c>
      <c r="C134" s="1" t="s">
        <v>409</v>
      </c>
      <c r="D134" s="7" t="s">
        <v>364</v>
      </c>
      <c r="E134" s="7" t="s">
        <v>613</v>
      </c>
      <c r="F134" s="1" t="s">
        <v>235</v>
      </c>
      <c r="G134" s="20"/>
      <c r="H134" s="1">
        <v>22.0</v>
      </c>
      <c r="I134" s="7" t="s">
        <v>100</v>
      </c>
      <c r="J134" s="1" t="s">
        <v>670</v>
      </c>
      <c r="K134" s="1" t="s">
        <v>411</v>
      </c>
      <c r="L134" s="1">
        <v>22.0</v>
      </c>
      <c r="M134" s="7" t="s">
        <v>100</v>
      </c>
      <c r="N134" s="20" t="str">
        <f t="shared" si="1"/>
        <v/>
      </c>
      <c r="O134" s="42"/>
      <c r="P134" s="42"/>
      <c r="Q134" s="42"/>
      <c r="R134" s="42"/>
      <c r="S134" s="42"/>
      <c r="T134" s="42"/>
      <c r="U134" s="42"/>
      <c r="V134" s="42"/>
      <c r="W134" s="42"/>
      <c r="X134" s="42"/>
      <c r="Y134" s="42"/>
      <c r="Z134" s="42"/>
      <c r="AA134" s="42"/>
      <c r="AB134" s="42"/>
    </row>
    <row r="135">
      <c r="A135" s="15">
        <v>46310.0</v>
      </c>
      <c r="B135" s="1" t="s">
        <v>407</v>
      </c>
      <c r="C135" s="1" t="s">
        <v>409</v>
      </c>
      <c r="D135" s="7" t="s">
        <v>364</v>
      </c>
      <c r="E135" s="7" t="s">
        <v>671</v>
      </c>
      <c r="F135" s="1" t="s">
        <v>673</v>
      </c>
      <c r="G135" s="20"/>
      <c r="H135" s="1">
        <v>0.0</v>
      </c>
      <c r="I135" s="7" t="s">
        <v>150</v>
      </c>
      <c r="K135" s="1" t="s">
        <v>411</v>
      </c>
      <c r="L135" s="1">
        <v>0.0</v>
      </c>
      <c r="M135" s="7" t="s">
        <v>150</v>
      </c>
      <c r="N135" s="20" t="str">
        <f t="shared" si="1"/>
        <v/>
      </c>
      <c r="O135" s="42"/>
      <c r="P135" s="42"/>
      <c r="Q135" s="42"/>
      <c r="R135" s="42"/>
      <c r="S135" s="42"/>
      <c r="T135" s="42"/>
      <c r="U135" s="42"/>
      <c r="V135" s="42"/>
      <c r="W135" s="42"/>
      <c r="X135" s="42"/>
      <c r="Y135" s="42"/>
      <c r="Z135" s="42"/>
      <c r="AA135" s="42"/>
      <c r="AB135" s="42"/>
    </row>
    <row r="136">
      <c r="A136" s="15">
        <v>46310.0</v>
      </c>
      <c r="B136" s="1" t="s">
        <v>407</v>
      </c>
      <c r="C136" s="1" t="s">
        <v>409</v>
      </c>
      <c r="D136" s="7" t="s">
        <v>364</v>
      </c>
      <c r="E136" s="7" t="s">
        <v>674</v>
      </c>
      <c r="F136" s="1" t="s">
        <v>673</v>
      </c>
      <c r="G136" s="20"/>
      <c r="H136" s="1">
        <v>0.0</v>
      </c>
      <c r="I136" s="7" t="s">
        <v>150</v>
      </c>
      <c r="J136" s="1" t="s">
        <v>676</v>
      </c>
      <c r="K136" s="1" t="s">
        <v>411</v>
      </c>
      <c r="L136" s="1">
        <v>0.0</v>
      </c>
      <c r="M136" s="7" t="s">
        <v>150</v>
      </c>
      <c r="N136" s="20" t="str">
        <f t="shared" si="1"/>
        <v/>
      </c>
      <c r="O136" s="42"/>
      <c r="P136" s="42"/>
      <c r="Q136" s="42"/>
      <c r="R136" s="42"/>
      <c r="S136" s="42"/>
      <c r="T136" s="42"/>
      <c r="U136" s="42"/>
      <c r="V136" s="42"/>
      <c r="W136" s="42"/>
      <c r="X136" s="42"/>
      <c r="Y136" s="42"/>
      <c r="Z136" s="42"/>
      <c r="AA136" s="42"/>
      <c r="AB136" s="42"/>
    </row>
    <row r="137">
      <c r="A137" s="15">
        <v>46310.0</v>
      </c>
      <c r="B137" s="1" t="s">
        <v>407</v>
      </c>
      <c r="C137" s="1" t="s">
        <v>409</v>
      </c>
      <c r="D137" s="7" t="s">
        <v>364</v>
      </c>
      <c r="E137" s="7" t="s">
        <v>677</v>
      </c>
      <c r="F137" s="1" t="s">
        <v>673</v>
      </c>
      <c r="G137" s="20"/>
      <c r="H137" s="1">
        <v>0.0</v>
      </c>
      <c r="I137" s="7" t="s">
        <v>150</v>
      </c>
      <c r="J137" s="1" t="s">
        <v>679</v>
      </c>
      <c r="K137" s="1" t="s">
        <v>411</v>
      </c>
      <c r="L137" s="1">
        <v>0.0</v>
      </c>
      <c r="M137" s="7" t="s">
        <v>150</v>
      </c>
      <c r="N137" s="20" t="str">
        <f t="shared" si="1"/>
        <v/>
      </c>
      <c r="O137" s="42"/>
      <c r="P137" s="42"/>
      <c r="Q137" s="42"/>
      <c r="R137" s="42"/>
      <c r="S137" s="42"/>
      <c r="T137" s="42"/>
      <c r="U137" s="42"/>
      <c r="V137" s="42"/>
      <c r="W137" s="42"/>
      <c r="X137" s="42"/>
      <c r="Y137" s="42"/>
      <c r="Z137" s="42"/>
      <c r="AA137" s="42"/>
      <c r="AB137" s="42"/>
    </row>
    <row r="138">
      <c r="A138" s="15">
        <v>46310.0</v>
      </c>
      <c r="B138" s="1" t="s">
        <v>407</v>
      </c>
      <c r="C138" s="1" t="s">
        <v>409</v>
      </c>
      <c r="D138" s="7" t="s">
        <v>364</v>
      </c>
      <c r="E138" s="7" t="s">
        <v>680</v>
      </c>
      <c r="F138" s="1" t="s">
        <v>673</v>
      </c>
      <c r="G138" s="20"/>
      <c r="H138" s="1">
        <v>0.0</v>
      </c>
      <c r="I138" s="7" t="s">
        <v>150</v>
      </c>
      <c r="J138" s="1" t="s">
        <v>681</v>
      </c>
      <c r="K138" s="1" t="s">
        <v>411</v>
      </c>
      <c r="L138" s="1">
        <v>0.0</v>
      </c>
      <c r="M138" s="7" t="s">
        <v>150</v>
      </c>
      <c r="N138" s="20" t="str">
        <f t="shared" si="1"/>
        <v/>
      </c>
      <c r="O138" s="42"/>
      <c r="P138" s="42"/>
      <c r="Q138" s="42"/>
      <c r="R138" s="42"/>
      <c r="S138" s="42"/>
      <c r="T138" s="42"/>
      <c r="U138" s="42"/>
      <c r="V138" s="42"/>
      <c r="W138" s="42"/>
      <c r="X138" s="42"/>
      <c r="Y138" s="42"/>
      <c r="Z138" s="42"/>
      <c r="AA138" s="42"/>
      <c r="AB138" s="42"/>
    </row>
    <row r="139">
      <c r="A139" s="15">
        <v>46310.0</v>
      </c>
      <c r="B139" s="1" t="s">
        <v>407</v>
      </c>
      <c r="C139" s="1" t="s">
        <v>409</v>
      </c>
      <c r="D139" s="7" t="s">
        <v>364</v>
      </c>
      <c r="E139" s="7" t="s">
        <v>625</v>
      </c>
      <c r="F139" s="1" t="s">
        <v>235</v>
      </c>
      <c r="G139" s="20"/>
      <c r="H139" s="1">
        <v>24.0</v>
      </c>
      <c r="I139" s="7" t="s">
        <v>100</v>
      </c>
      <c r="J139" s="1" t="s">
        <v>665</v>
      </c>
      <c r="K139" s="1" t="s">
        <v>411</v>
      </c>
      <c r="L139" s="1">
        <v>24.0</v>
      </c>
      <c r="M139" s="7" t="s">
        <v>100</v>
      </c>
      <c r="N139" s="20" t="str">
        <f t="shared" si="1"/>
        <v/>
      </c>
      <c r="O139" s="42"/>
      <c r="P139" s="42"/>
      <c r="Q139" s="42"/>
      <c r="R139" s="42"/>
      <c r="S139" s="42"/>
      <c r="T139" s="42"/>
      <c r="U139" s="42"/>
      <c r="V139" s="42"/>
      <c r="W139" s="42"/>
      <c r="X139" s="42"/>
      <c r="Y139" s="42"/>
      <c r="Z139" s="42"/>
      <c r="AA139" s="42"/>
      <c r="AB139" s="42"/>
    </row>
    <row r="140">
      <c r="A140" s="15">
        <v>46310.0</v>
      </c>
      <c r="B140" s="1" t="s">
        <v>407</v>
      </c>
      <c r="C140" s="1" t="s">
        <v>409</v>
      </c>
      <c r="D140" s="7" t="s">
        <v>364</v>
      </c>
      <c r="E140" s="7" t="s">
        <v>586</v>
      </c>
      <c r="F140" s="1" t="s">
        <v>235</v>
      </c>
      <c r="G140" s="20"/>
      <c r="H140" s="1">
        <v>33.0</v>
      </c>
      <c r="I140" s="7" t="s">
        <v>100</v>
      </c>
      <c r="J140" s="1" t="s">
        <v>684</v>
      </c>
      <c r="K140" s="1" t="s">
        <v>411</v>
      </c>
      <c r="L140" s="1">
        <v>33.0</v>
      </c>
      <c r="M140" s="7" t="s">
        <v>100</v>
      </c>
      <c r="N140" s="20" t="str">
        <f t="shared" si="1"/>
        <v/>
      </c>
      <c r="O140" s="42"/>
      <c r="P140" s="42"/>
      <c r="Q140" s="42"/>
      <c r="R140" s="42"/>
      <c r="S140" s="42"/>
      <c r="T140" s="42"/>
      <c r="U140" s="42"/>
      <c r="V140" s="42"/>
      <c r="W140" s="42"/>
      <c r="X140" s="42"/>
      <c r="Y140" s="42"/>
      <c r="Z140" s="42"/>
      <c r="AA140" s="42"/>
      <c r="AB140" s="42"/>
    </row>
    <row r="141">
      <c r="A141" s="15">
        <v>46310.0</v>
      </c>
      <c r="B141" s="1" t="s">
        <v>407</v>
      </c>
      <c r="C141" s="1" t="s">
        <v>409</v>
      </c>
      <c r="D141" s="7" t="s">
        <v>364</v>
      </c>
      <c r="E141" s="7" t="s">
        <v>593</v>
      </c>
      <c r="F141" s="1" t="s">
        <v>235</v>
      </c>
      <c r="G141" s="20"/>
      <c r="H141" s="1">
        <v>23.0</v>
      </c>
      <c r="I141" s="7" t="s">
        <v>100</v>
      </c>
      <c r="K141" s="1" t="s">
        <v>411</v>
      </c>
      <c r="L141" s="1">
        <v>23.0</v>
      </c>
      <c r="M141" s="7" t="s">
        <v>100</v>
      </c>
      <c r="N141" s="20" t="str">
        <f t="shared" si="1"/>
        <v/>
      </c>
      <c r="O141" s="42"/>
      <c r="P141" s="42"/>
      <c r="Q141" s="42"/>
      <c r="R141" s="42"/>
      <c r="S141" s="42"/>
      <c r="T141" s="42"/>
      <c r="U141" s="42"/>
      <c r="V141" s="42"/>
      <c r="W141" s="42"/>
      <c r="X141" s="42"/>
      <c r="Y141" s="42"/>
      <c r="Z141" s="42"/>
      <c r="AA141" s="42"/>
      <c r="AB141" s="42"/>
    </row>
    <row r="142">
      <c r="B142" s="20"/>
      <c r="D142" s="41"/>
      <c r="E142" s="41"/>
      <c r="F142" s="20"/>
      <c r="G142" s="20"/>
      <c r="I142" s="41"/>
      <c r="M142" s="20"/>
      <c r="N142" s="20" t="str">
        <f t="shared" si="1"/>
        <v/>
      </c>
    </row>
    <row r="143">
      <c r="B143" s="20"/>
      <c r="D143" s="41"/>
      <c r="E143" s="41"/>
      <c r="F143" s="20"/>
      <c r="G143" s="20"/>
      <c r="I143" s="41"/>
      <c r="M143" s="20"/>
      <c r="N143" s="20" t="str">
        <f t="shared" si="1"/>
        <v/>
      </c>
    </row>
    <row r="144">
      <c r="B144" s="20"/>
      <c r="D144" s="41"/>
      <c r="E144" s="41"/>
      <c r="F144" s="20"/>
      <c r="G144" s="20"/>
      <c r="I144" s="41"/>
      <c r="M144" s="20"/>
      <c r="N144" s="20" t="str">
        <f t="shared" si="1"/>
        <v/>
      </c>
    </row>
    <row r="145">
      <c r="B145" s="20"/>
      <c r="D145" s="41"/>
      <c r="E145" s="41"/>
      <c r="F145" s="20"/>
      <c r="G145" s="20"/>
      <c r="I145" s="41"/>
      <c r="M145" s="20"/>
      <c r="N145" s="20" t="str">
        <f t="shared" si="1"/>
        <v/>
      </c>
    </row>
    <row r="146">
      <c r="B146" s="20"/>
      <c r="D146" s="41"/>
      <c r="E146" s="41"/>
      <c r="F146" s="20"/>
      <c r="G146" s="20"/>
      <c r="I146" s="41"/>
      <c r="M146" s="20"/>
      <c r="N146" s="20" t="str">
        <f t="shared" si="1"/>
        <v/>
      </c>
    </row>
    <row r="147">
      <c r="B147" s="20"/>
      <c r="D147" s="41"/>
      <c r="E147" s="41"/>
      <c r="F147" s="20"/>
      <c r="G147" s="20"/>
      <c r="I147" s="41"/>
      <c r="M147" s="20"/>
      <c r="N147" s="20" t="str">
        <f t="shared" si="1"/>
        <v/>
      </c>
    </row>
    <row r="148">
      <c r="B148" s="20"/>
      <c r="D148" s="41"/>
      <c r="E148" s="41"/>
      <c r="F148" s="20"/>
      <c r="G148" s="20"/>
      <c r="I148" s="41"/>
      <c r="M148" s="20"/>
      <c r="N148" s="20" t="str">
        <f t="shared" si="1"/>
        <v/>
      </c>
    </row>
    <row r="149">
      <c r="B149" s="20"/>
      <c r="D149" s="41"/>
      <c r="E149" s="41"/>
      <c r="F149" s="20"/>
      <c r="G149" s="20"/>
      <c r="I149" s="41"/>
      <c r="M149" s="20"/>
      <c r="N149" s="20" t="str">
        <f t="shared" si="1"/>
        <v/>
      </c>
    </row>
    <row r="150">
      <c r="B150" s="20"/>
      <c r="D150" s="41"/>
      <c r="E150" s="41"/>
      <c r="F150" s="20"/>
      <c r="G150" s="20"/>
      <c r="I150" s="41"/>
      <c r="M150" s="20"/>
      <c r="N150" s="20" t="str">
        <f t="shared" si="1"/>
        <v/>
      </c>
    </row>
    <row r="151">
      <c r="B151" s="20"/>
      <c r="D151" s="41"/>
      <c r="E151" s="41"/>
      <c r="F151" s="20"/>
      <c r="G151" s="20"/>
      <c r="I151" s="41"/>
      <c r="M151" s="20"/>
      <c r="N151" s="20" t="str">
        <f t="shared" si="1"/>
        <v/>
      </c>
    </row>
    <row r="152">
      <c r="B152" s="20"/>
      <c r="D152" s="41"/>
      <c r="E152" s="41"/>
      <c r="F152" s="20"/>
      <c r="G152" s="20"/>
      <c r="I152" s="41"/>
      <c r="M152" s="20"/>
      <c r="N152" s="20" t="str">
        <f t="shared" si="1"/>
        <v/>
      </c>
    </row>
    <row r="153">
      <c r="B153" s="20"/>
      <c r="D153" s="41"/>
      <c r="E153" s="41"/>
      <c r="F153" s="20"/>
      <c r="G153" s="20"/>
      <c r="I153" s="41"/>
      <c r="M153" s="20"/>
      <c r="N153" s="20" t="str">
        <f t="shared" si="1"/>
        <v/>
      </c>
    </row>
    <row r="154">
      <c r="B154" s="20"/>
      <c r="D154" s="41"/>
      <c r="E154" s="41"/>
      <c r="F154" s="20"/>
      <c r="G154" s="20"/>
      <c r="I154" s="41"/>
      <c r="M154" s="20"/>
      <c r="N154" s="20" t="str">
        <f t="shared" si="1"/>
        <v/>
      </c>
    </row>
    <row r="155">
      <c r="B155" s="20"/>
      <c r="D155" s="41"/>
      <c r="E155" s="41"/>
      <c r="F155" s="20"/>
      <c r="G155" s="20"/>
      <c r="I155" s="41"/>
      <c r="M155" s="20"/>
      <c r="N155" s="20" t="str">
        <f t="shared" si="1"/>
        <v/>
      </c>
    </row>
    <row r="156">
      <c r="B156" s="20"/>
      <c r="D156" s="41"/>
      <c r="E156" s="41"/>
      <c r="F156" s="20"/>
      <c r="G156" s="20"/>
      <c r="I156" s="41"/>
      <c r="M156" s="20"/>
      <c r="N156" s="20" t="str">
        <f t="shared" si="1"/>
        <v/>
      </c>
    </row>
    <row r="157">
      <c r="B157" s="20"/>
      <c r="D157" s="41"/>
      <c r="E157" s="41"/>
      <c r="F157" s="20"/>
      <c r="G157" s="20"/>
      <c r="I157" s="41"/>
      <c r="M157" s="20"/>
      <c r="N157" s="20" t="str">
        <f t="shared" si="1"/>
        <v/>
      </c>
    </row>
    <row r="158">
      <c r="B158" s="20"/>
      <c r="D158" s="41"/>
      <c r="E158" s="41"/>
      <c r="F158" s="20"/>
      <c r="G158" s="20"/>
      <c r="I158" s="41"/>
      <c r="M158" s="20"/>
      <c r="N158" s="20" t="str">
        <f t="shared" si="1"/>
        <v/>
      </c>
    </row>
    <row r="159">
      <c r="B159" s="20"/>
      <c r="D159" s="41"/>
      <c r="E159" s="41"/>
      <c r="F159" s="20"/>
      <c r="G159" s="20"/>
      <c r="I159" s="41"/>
      <c r="M159" s="20"/>
      <c r="N159" s="20" t="str">
        <f t="shared" si="1"/>
        <v/>
      </c>
    </row>
    <row r="160">
      <c r="B160" s="20"/>
      <c r="D160" s="41"/>
      <c r="E160" s="41"/>
      <c r="F160" s="20"/>
      <c r="G160" s="20"/>
      <c r="I160" s="41"/>
      <c r="M160" s="20"/>
      <c r="N160" s="20" t="str">
        <f t="shared" si="1"/>
        <v/>
      </c>
    </row>
    <row r="161">
      <c r="B161" s="20"/>
      <c r="D161" s="41"/>
      <c r="E161" s="41"/>
      <c r="F161" s="20"/>
      <c r="G161" s="20"/>
      <c r="I161" s="41"/>
      <c r="M161" s="20"/>
      <c r="N161" s="20" t="str">
        <f t="shared" si="1"/>
        <v/>
      </c>
    </row>
    <row r="162">
      <c r="B162" s="20"/>
      <c r="D162" s="41"/>
      <c r="E162" s="41"/>
      <c r="F162" s="20"/>
      <c r="G162" s="20"/>
      <c r="I162" s="41"/>
      <c r="M162" s="20"/>
      <c r="N162" s="20" t="str">
        <f t="shared" si="1"/>
        <v/>
      </c>
    </row>
    <row r="163">
      <c r="B163" s="20"/>
      <c r="D163" s="41"/>
      <c r="E163" s="41"/>
      <c r="F163" s="20"/>
      <c r="G163" s="20"/>
      <c r="I163" s="41"/>
      <c r="M163" s="20"/>
      <c r="N163" s="20" t="str">
        <f t="shared" si="1"/>
        <v/>
      </c>
    </row>
    <row r="164">
      <c r="B164" s="20"/>
      <c r="D164" s="41"/>
      <c r="E164" s="41"/>
      <c r="F164" s="20"/>
      <c r="G164" s="20"/>
      <c r="I164" s="41"/>
      <c r="M164" s="20"/>
      <c r="N164" s="20" t="str">
        <f t="shared" si="1"/>
        <v/>
      </c>
    </row>
    <row r="165">
      <c r="B165" s="20"/>
      <c r="D165" s="41"/>
      <c r="E165" s="41"/>
      <c r="F165" s="20"/>
      <c r="G165" s="20"/>
      <c r="I165" s="41"/>
      <c r="M165" s="20"/>
      <c r="N165" s="20" t="str">
        <f t="shared" si="1"/>
        <v/>
      </c>
    </row>
    <row r="166">
      <c r="B166" s="20"/>
      <c r="D166" s="41"/>
      <c r="E166" s="41"/>
      <c r="F166" s="20"/>
      <c r="G166" s="20"/>
      <c r="I166" s="41"/>
      <c r="M166" s="20"/>
      <c r="N166" s="20" t="str">
        <f t="shared" si="1"/>
        <v/>
      </c>
    </row>
    <row r="167">
      <c r="B167" s="20"/>
      <c r="D167" s="41"/>
      <c r="E167" s="41"/>
      <c r="F167" s="20"/>
      <c r="G167" s="20"/>
      <c r="I167" s="41"/>
      <c r="M167" s="20"/>
      <c r="N167" s="20" t="str">
        <f t="shared" si="1"/>
        <v/>
      </c>
    </row>
    <row r="168">
      <c r="B168" s="20"/>
      <c r="D168" s="41"/>
      <c r="E168" s="41"/>
      <c r="F168" s="20"/>
      <c r="G168" s="20"/>
      <c r="I168" s="41"/>
      <c r="M168" s="20"/>
      <c r="N168" s="20" t="str">
        <f t="shared" si="1"/>
        <v/>
      </c>
    </row>
    <row r="169">
      <c r="B169" s="20"/>
      <c r="D169" s="41"/>
      <c r="E169" s="41"/>
      <c r="F169" s="20"/>
      <c r="G169" s="20"/>
      <c r="I169" s="41"/>
      <c r="M169" s="20"/>
      <c r="N169" s="20" t="str">
        <f t="shared" si="1"/>
        <v/>
      </c>
    </row>
    <row r="170">
      <c r="B170" s="20"/>
      <c r="D170" s="41"/>
      <c r="E170" s="41"/>
      <c r="F170" s="20"/>
      <c r="G170" s="20"/>
      <c r="I170" s="41"/>
      <c r="M170" s="20"/>
      <c r="N170" s="20" t="str">
        <f t="shared" si="1"/>
        <v/>
      </c>
    </row>
    <row r="171">
      <c r="B171" s="20"/>
      <c r="D171" s="41"/>
      <c r="E171" s="41"/>
      <c r="F171" s="20"/>
      <c r="G171" s="20"/>
      <c r="I171" s="41"/>
      <c r="M171" s="20"/>
      <c r="N171" s="20" t="str">
        <f t="shared" si="1"/>
        <v/>
      </c>
    </row>
    <row r="172">
      <c r="B172" s="20"/>
      <c r="D172" s="41"/>
      <c r="E172" s="41"/>
      <c r="F172" s="20"/>
      <c r="G172" s="20"/>
      <c r="I172" s="41"/>
      <c r="M172" s="20"/>
      <c r="N172" s="20" t="str">
        <f t="shared" si="1"/>
        <v/>
      </c>
    </row>
    <row r="173">
      <c r="B173" s="20"/>
      <c r="D173" s="41"/>
      <c r="E173" s="41"/>
      <c r="F173" s="20"/>
      <c r="G173" s="20"/>
      <c r="I173" s="41"/>
      <c r="M173" s="20"/>
      <c r="N173" s="20" t="str">
        <f t="shared" si="1"/>
        <v/>
      </c>
    </row>
    <row r="174">
      <c r="B174" s="20"/>
      <c r="D174" s="41"/>
      <c r="E174" s="41"/>
      <c r="F174" s="20"/>
      <c r="G174" s="20"/>
      <c r="I174" s="41"/>
      <c r="M174" s="20"/>
      <c r="N174" s="20" t="str">
        <f t="shared" si="1"/>
        <v/>
      </c>
    </row>
    <row r="175">
      <c r="B175" s="20"/>
      <c r="D175" s="41"/>
      <c r="E175" s="41"/>
      <c r="F175" s="20"/>
      <c r="G175" s="20"/>
      <c r="I175" s="41"/>
      <c r="M175" s="20"/>
      <c r="N175" s="20" t="str">
        <f t="shared" si="1"/>
        <v/>
      </c>
    </row>
    <row r="176">
      <c r="B176" s="20"/>
      <c r="D176" s="41"/>
      <c r="E176" s="41"/>
      <c r="F176" s="20"/>
      <c r="G176" s="20"/>
      <c r="I176" s="41"/>
      <c r="M176" s="20"/>
      <c r="N176" s="20" t="str">
        <f t="shared" si="1"/>
        <v/>
      </c>
    </row>
    <row r="177">
      <c r="B177" s="20"/>
      <c r="D177" s="41"/>
      <c r="E177" s="41"/>
      <c r="F177" s="20"/>
      <c r="G177" s="20"/>
      <c r="I177" s="41"/>
      <c r="M177" s="20"/>
      <c r="N177" s="20" t="str">
        <f t="shared" si="1"/>
        <v/>
      </c>
    </row>
    <row r="178">
      <c r="B178" s="20"/>
      <c r="D178" s="41"/>
      <c r="E178" s="41"/>
      <c r="F178" s="20"/>
      <c r="G178" s="20"/>
      <c r="I178" s="41"/>
      <c r="M178" s="20"/>
      <c r="N178" s="20" t="str">
        <f t="shared" si="1"/>
        <v/>
      </c>
    </row>
    <row r="179">
      <c r="B179" s="20"/>
      <c r="D179" s="41"/>
      <c r="E179" s="41"/>
      <c r="F179" s="20"/>
      <c r="G179" s="20"/>
      <c r="I179" s="41"/>
      <c r="M179" s="20"/>
      <c r="N179" s="20" t="str">
        <f t="shared" si="1"/>
        <v/>
      </c>
    </row>
    <row r="180">
      <c r="B180" s="20"/>
      <c r="D180" s="41"/>
      <c r="E180" s="41"/>
      <c r="F180" s="20"/>
      <c r="G180" s="20"/>
      <c r="I180" s="41"/>
      <c r="M180" s="20"/>
      <c r="N180" s="20" t="str">
        <f t="shared" si="1"/>
        <v/>
      </c>
    </row>
    <row r="181">
      <c r="B181" s="20"/>
      <c r="D181" s="41"/>
      <c r="E181" s="41"/>
      <c r="F181" s="20"/>
      <c r="G181" s="20"/>
      <c r="I181" s="41"/>
      <c r="M181" s="20"/>
      <c r="N181" s="20" t="str">
        <f t="shared" si="1"/>
        <v/>
      </c>
    </row>
    <row r="182">
      <c r="B182" s="20"/>
      <c r="D182" s="41"/>
      <c r="E182" s="41"/>
      <c r="F182" s="20"/>
      <c r="G182" s="20"/>
      <c r="I182" s="41"/>
      <c r="M182" s="20"/>
      <c r="N182" s="20" t="str">
        <f t="shared" si="1"/>
        <v/>
      </c>
    </row>
    <row r="183">
      <c r="B183" s="20"/>
      <c r="D183" s="41"/>
      <c r="E183" s="41"/>
      <c r="F183" s="20"/>
      <c r="G183" s="20"/>
      <c r="I183" s="41"/>
      <c r="M183" s="20"/>
      <c r="N183" s="20" t="str">
        <f t="shared" si="1"/>
        <v/>
      </c>
    </row>
    <row r="184">
      <c r="B184" s="20"/>
      <c r="D184" s="41"/>
      <c r="E184" s="41"/>
      <c r="F184" s="20"/>
      <c r="G184" s="20"/>
      <c r="I184" s="41"/>
      <c r="M184" s="20"/>
      <c r="N184" s="20" t="str">
        <f t="shared" si="1"/>
        <v/>
      </c>
    </row>
    <row r="185">
      <c r="B185" s="20"/>
      <c r="D185" s="41"/>
      <c r="E185" s="41"/>
      <c r="F185" s="20"/>
      <c r="G185" s="20"/>
      <c r="I185" s="41"/>
      <c r="M185" s="20"/>
      <c r="N185" s="20" t="str">
        <f t="shared" si="1"/>
        <v/>
      </c>
    </row>
    <row r="186">
      <c r="B186" s="20"/>
      <c r="D186" s="41"/>
      <c r="E186" s="41"/>
      <c r="F186" s="20"/>
      <c r="G186" s="20"/>
      <c r="I186" s="41"/>
      <c r="M186" s="20"/>
      <c r="N186" s="20" t="str">
        <f t="shared" si="1"/>
        <v/>
      </c>
    </row>
    <row r="187">
      <c r="B187" s="20"/>
      <c r="D187" s="41"/>
      <c r="E187" s="41"/>
      <c r="F187" s="20"/>
      <c r="G187" s="20"/>
      <c r="I187" s="41"/>
      <c r="M187" s="20"/>
      <c r="N187" s="20" t="str">
        <f t="shared" si="1"/>
        <v/>
      </c>
    </row>
    <row r="188">
      <c r="B188" s="20"/>
      <c r="D188" s="41"/>
      <c r="E188" s="41"/>
      <c r="F188" s="20"/>
      <c r="G188" s="20"/>
      <c r="I188" s="41"/>
      <c r="M188" s="20"/>
      <c r="N188" s="20" t="str">
        <f t="shared" si="1"/>
        <v/>
      </c>
    </row>
    <row r="189">
      <c r="B189" s="20"/>
      <c r="D189" s="41"/>
      <c r="E189" s="41"/>
      <c r="F189" s="20"/>
      <c r="G189" s="20"/>
      <c r="I189" s="41"/>
      <c r="M189" s="20"/>
      <c r="N189" s="20" t="str">
        <f t="shared" si="1"/>
        <v/>
      </c>
    </row>
    <row r="190">
      <c r="B190" s="20"/>
      <c r="D190" s="41"/>
      <c r="E190" s="41"/>
      <c r="F190" s="20"/>
      <c r="G190" s="20"/>
      <c r="I190" s="41"/>
      <c r="M190" s="20"/>
      <c r="N190" s="20" t="str">
        <f t="shared" si="1"/>
        <v/>
      </c>
    </row>
    <row r="191">
      <c r="B191" s="20"/>
      <c r="D191" s="41"/>
      <c r="E191" s="41"/>
      <c r="F191" s="20"/>
      <c r="G191" s="20"/>
      <c r="I191" s="41"/>
      <c r="M191" s="20"/>
      <c r="N191" s="20" t="str">
        <f t="shared" si="1"/>
        <v/>
      </c>
    </row>
    <row r="192">
      <c r="B192" s="20"/>
      <c r="D192" s="41"/>
      <c r="E192" s="41"/>
      <c r="F192" s="20"/>
      <c r="G192" s="20"/>
      <c r="I192" s="41"/>
      <c r="M192" s="20"/>
      <c r="N192" s="20" t="str">
        <f t="shared" si="1"/>
        <v/>
      </c>
    </row>
    <row r="193">
      <c r="B193" s="20"/>
      <c r="D193" s="41"/>
      <c r="E193" s="41"/>
      <c r="F193" s="20"/>
      <c r="G193" s="20"/>
      <c r="I193" s="41"/>
      <c r="M193" s="20"/>
      <c r="N193" s="20" t="str">
        <f t="shared" si="1"/>
        <v/>
      </c>
    </row>
    <row r="194">
      <c r="B194" s="20"/>
      <c r="D194" s="41"/>
      <c r="E194" s="41"/>
      <c r="F194" s="20"/>
      <c r="G194" s="20"/>
      <c r="I194" s="41"/>
      <c r="M194" s="20"/>
      <c r="N194" s="20" t="str">
        <f t="shared" si="1"/>
        <v/>
      </c>
    </row>
    <row r="195">
      <c r="B195" s="20"/>
      <c r="D195" s="41"/>
      <c r="E195" s="41"/>
      <c r="F195" s="20"/>
      <c r="G195" s="20"/>
      <c r="I195" s="41"/>
      <c r="M195" s="20"/>
      <c r="N195" s="20" t="str">
        <f t="shared" si="1"/>
        <v/>
      </c>
    </row>
    <row r="196">
      <c r="B196" s="20"/>
      <c r="D196" s="41"/>
      <c r="E196" s="41"/>
      <c r="F196" s="20"/>
      <c r="G196" s="20"/>
      <c r="I196" s="41"/>
      <c r="M196" s="20"/>
      <c r="N196" s="20" t="str">
        <f t="shared" si="1"/>
        <v/>
      </c>
    </row>
    <row r="197">
      <c r="B197" s="20"/>
      <c r="D197" s="41"/>
      <c r="E197" s="41"/>
      <c r="F197" s="20"/>
      <c r="G197" s="20"/>
      <c r="I197" s="41"/>
      <c r="M197" s="20"/>
      <c r="N197" s="20" t="str">
        <f t="shared" si="1"/>
        <v/>
      </c>
    </row>
    <row r="198">
      <c r="B198" s="20"/>
      <c r="D198" s="41"/>
      <c r="E198" s="41"/>
      <c r="F198" s="20"/>
      <c r="G198" s="20"/>
      <c r="I198" s="41"/>
      <c r="M198" s="20"/>
      <c r="N198" s="20" t="str">
        <f t="shared" si="1"/>
        <v/>
      </c>
    </row>
    <row r="199">
      <c r="B199" s="20"/>
      <c r="D199" s="41"/>
      <c r="E199" s="41"/>
      <c r="F199" s="20"/>
      <c r="G199" s="20"/>
      <c r="I199" s="41"/>
      <c r="M199" s="20"/>
      <c r="N199" s="20" t="str">
        <f t="shared" si="1"/>
        <v/>
      </c>
    </row>
    <row r="200">
      <c r="B200" s="20"/>
      <c r="D200" s="41"/>
      <c r="E200" s="41"/>
      <c r="F200" s="20"/>
      <c r="G200" s="20"/>
      <c r="I200" s="41"/>
      <c r="M200" s="20"/>
      <c r="N200" s="20" t="str">
        <f t="shared" si="1"/>
        <v/>
      </c>
    </row>
    <row r="201">
      <c r="B201" s="20"/>
      <c r="D201" s="41"/>
      <c r="E201" s="41"/>
      <c r="F201" s="20"/>
      <c r="G201" s="20"/>
      <c r="I201" s="41"/>
      <c r="M201" s="20"/>
      <c r="N201" s="20" t="str">
        <f t="shared" si="1"/>
        <v/>
      </c>
    </row>
    <row r="202">
      <c r="B202" s="20"/>
      <c r="D202" s="41"/>
      <c r="E202" s="41"/>
      <c r="F202" s="20"/>
      <c r="G202" s="20"/>
      <c r="I202" s="41"/>
      <c r="M202" s="20"/>
      <c r="N202" s="20" t="str">
        <f t="shared" si="1"/>
        <v/>
      </c>
    </row>
    <row r="203">
      <c r="B203" s="20"/>
      <c r="D203" s="41"/>
      <c r="E203" s="41"/>
      <c r="F203" s="20"/>
      <c r="G203" s="20"/>
      <c r="I203" s="41"/>
      <c r="M203" s="20"/>
      <c r="N203" s="20" t="str">
        <f t="shared" si="1"/>
        <v/>
      </c>
    </row>
    <row r="204">
      <c r="B204" s="20"/>
      <c r="D204" s="41"/>
      <c r="E204" s="41"/>
      <c r="F204" s="20"/>
      <c r="G204" s="20"/>
      <c r="I204" s="41"/>
      <c r="M204" s="20"/>
      <c r="N204" s="20" t="str">
        <f t="shared" si="1"/>
        <v/>
      </c>
    </row>
    <row r="205">
      <c r="B205" s="20"/>
      <c r="D205" s="41"/>
      <c r="E205" s="41"/>
      <c r="F205" s="20"/>
      <c r="G205" s="20"/>
      <c r="I205" s="41"/>
      <c r="M205" s="20"/>
      <c r="N205" s="20" t="str">
        <f t="shared" si="1"/>
        <v/>
      </c>
    </row>
    <row r="206">
      <c r="B206" s="20"/>
      <c r="D206" s="41"/>
      <c r="E206" s="41"/>
      <c r="F206" s="20"/>
      <c r="G206" s="20"/>
      <c r="I206" s="41"/>
      <c r="M206" s="20"/>
      <c r="N206" s="20" t="str">
        <f t="shared" si="1"/>
        <v/>
      </c>
    </row>
    <row r="207">
      <c r="B207" s="20"/>
      <c r="D207" s="41"/>
      <c r="E207" s="41"/>
      <c r="F207" s="20"/>
      <c r="G207" s="20"/>
      <c r="I207" s="41"/>
      <c r="M207" s="20"/>
      <c r="N207" s="20" t="str">
        <f t="shared" si="1"/>
        <v/>
      </c>
    </row>
    <row r="208">
      <c r="B208" s="20"/>
      <c r="D208" s="41"/>
      <c r="E208" s="41"/>
      <c r="F208" s="20"/>
      <c r="G208" s="20"/>
      <c r="I208" s="41"/>
      <c r="M208" s="20"/>
      <c r="N208" s="20" t="str">
        <f t="shared" si="1"/>
        <v/>
      </c>
    </row>
    <row r="209">
      <c r="B209" s="20"/>
      <c r="D209" s="41"/>
      <c r="E209" s="41"/>
      <c r="F209" s="20"/>
      <c r="G209" s="20"/>
      <c r="I209" s="41"/>
      <c r="M209" s="20"/>
      <c r="N209" s="20" t="str">
        <f t="shared" si="1"/>
        <v/>
      </c>
    </row>
    <row r="210">
      <c r="B210" s="20"/>
      <c r="D210" s="41"/>
      <c r="E210" s="41"/>
      <c r="F210" s="20"/>
      <c r="G210" s="20"/>
      <c r="I210" s="41"/>
      <c r="M210" s="20"/>
      <c r="N210" s="20" t="str">
        <f t="shared" si="1"/>
        <v/>
      </c>
    </row>
    <row r="211">
      <c r="B211" s="20"/>
      <c r="D211" s="41"/>
      <c r="E211" s="41"/>
      <c r="F211" s="20"/>
      <c r="G211" s="20"/>
      <c r="I211" s="41"/>
      <c r="M211" s="20"/>
      <c r="N211" s="20" t="str">
        <f t="shared" si="1"/>
        <v/>
      </c>
    </row>
    <row r="212">
      <c r="B212" s="20"/>
      <c r="D212" s="41"/>
      <c r="E212" s="41"/>
      <c r="F212" s="20"/>
      <c r="G212" s="20"/>
      <c r="I212" s="41"/>
      <c r="M212" s="20"/>
      <c r="N212" s="20" t="str">
        <f t="shared" si="1"/>
        <v/>
      </c>
    </row>
    <row r="213">
      <c r="B213" s="20"/>
      <c r="D213" s="41"/>
      <c r="E213" s="41"/>
      <c r="F213" s="20"/>
      <c r="G213" s="20"/>
      <c r="I213" s="41"/>
      <c r="M213" s="20"/>
      <c r="N213" s="20" t="str">
        <f t="shared" si="1"/>
        <v/>
      </c>
    </row>
    <row r="214">
      <c r="B214" s="20"/>
      <c r="D214" s="41"/>
      <c r="E214" s="41"/>
      <c r="F214" s="20"/>
      <c r="G214" s="20"/>
      <c r="I214" s="41"/>
      <c r="M214" s="20"/>
      <c r="N214" s="20" t="str">
        <f t="shared" si="1"/>
        <v/>
      </c>
    </row>
    <row r="215">
      <c r="B215" s="20"/>
      <c r="D215" s="41"/>
      <c r="E215" s="41"/>
      <c r="F215" s="20"/>
      <c r="G215" s="20"/>
      <c r="I215" s="41"/>
      <c r="M215" s="20"/>
      <c r="N215" s="20" t="str">
        <f t="shared" si="1"/>
        <v/>
      </c>
    </row>
    <row r="216">
      <c r="B216" s="20"/>
      <c r="D216" s="41"/>
      <c r="E216" s="41"/>
      <c r="F216" s="20"/>
      <c r="G216" s="20"/>
      <c r="I216" s="41"/>
      <c r="M216" s="20"/>
      <c r="N216" s="20" t="str">
        <f t="shared" si="1"/>
        <v/>
      </c>
    </row>
    <row r="217">
      <c r="B217" s="20"/>
      <c r="D217" s="41"/>
      <c r="E217" s="41"/>
      <c r="F217" s="20"/>
      <c r="G217" s="20"/>
      <c r="I217" s="41"/>
      <c r="M217" s="20"/>
      <c r="N217" s="20" t="str">
        <f t="shared" si="1"/>
        <v/>
      </c>
    </row>
    <row r="218">
      <c r="B218" s="20"/>
      <c r="D218" s="41"/>
      <c r="E218" s="41"/>
      <c r="F218" s="20"/>
      <c r="G218" s="20"/>
      <c r="I218" s="41"/>
      <c r="M218" s="20"/>
      <c r="N218" s="20" t="str">
        <f t="shared" si="1"/>
        <v/>
      </c>
    </row>
    <row r="219">
      <c r="B219" s="20"/>
      <c r="D219" s="41"/>
      <c r="E219" s="41"/>
      <c r="F219" s="20"/>
      <c r="G219" s="20"/>
      <c r="I219" s="41"/>
      <c r="M219" s="20"/>
      <c r="N219" s="20" t="str">
        <f t="shared" si="1"/>
        <v/>
      </c>
    </row>
    <row r="220">
      <c r="B220" s="20"/>
      <c r="D220" s="41"/>
      <c r="E220" s="41"/>
      <c r="F220" s="20"/>
      <c r="G220" s="20"/>
      <c r="I220" s="41"/>
      <c r="M220" s="20"/>
      <c r="N220" s="20" t="str">
        <f t="shared" si="1"/>
        <v/>
      </c>
    </row>
    <row r="221">
      <c r="B221" s="20"/>
      <c r="D221" s="41"/>
      <c r="E221" s="41"/>
      <c r="F221" s="20"/>
      <c r="G221" s="20"/>
      <c r="I221" s="41"/>
      <c r="M221" s="20"/>
      <c r="N221" s="20" t="str">
        <f t="shared" si="1"/>
        <v/>
      </c>
    </row>
    <row r="222">
      <c r="B222" s="20"/>
      <c r="D222" s="41"/>
      <c r="E222" s="41"/>
      <c r="F222" s="20"/>
      <c r="G222" s="20"/>
      <c r="I222" s="41"/>
      <c r="M222" s="20"/>
      <c r="N222" s="20" t="str">
        <f t="shared" si="1"/>
        <v/>
      </c>
    </row>
    <row r="223">
      <c r="B223" s="20"/>
      <c r="D223" s="41"/>
      <c r="E223" s="41"/>
      <c r="F223" s="20"/>
      <c r="G223" s="20"/>
      <c r="I223" s="41"/>
      <c r="M223" s="20"/>
      <c r="N223" s="20" t="str">
        <f t="shared" si="1"/>
        <v/>
      </c>
    </row>
    <row r="224">
      <c r="B224" s="20"/>
      <c r="D224" s="41"/>
      <c r="E224" s="41"/>
      <c r="F224" s="20"/>
      <c r="G224" s="20"/>
      <c r="I224" s="41"/>
      <c r="M224" s="20"/>
      <c r="N224" s="20" t="str">
        <f t="shared" si="1"/>
        <v/>
      </c>
    </row>
    <row r="225">
      <c r="B225" s="20"/>
      <c r="D225" s="41"/>
      <c r="E225" s="41"/>
      <c r="F225" s="20"/>
      <c r="G225" s="20"/>
      <c r="I225" s="41"/>
      <c r="M225" s="20"/>
      <c r="N225" s="20" t="str">
        <f t="shared" si="1"/>
        <v/>
      </c>
    </row>
    <row r="226">
      <c r="B226" s="20"/>
      <c r="D226" s="41"/>
      <c r="E226" s="41"/>
      <c r="F226" s="20"/>
      <c r="G226" s="20"/>
      <c r="I226" s="41"/>
      <c r="M226" s="20"/>
      <c r="N226" s="20" t="str">
        <f t="shared" si="1"/>
        <v/>
      </c>
    </row>
    <row r="227">
      <c r="B227" s="20"/>
      <c r="D227" s="41"/>
      <c r="E227" s="41"/>
      <c r="F227" s="20"/>
      <c r="G227" s="20"/>
      <c r="I227" s="41"/>
      <c r="M227" s="20"/>
      <c r="N227" s="20" t="str">
        <f t="shared" si="1"/>
        <v/>
      </c>
    </row>
    <row r="228">
      <c r="B228" s="20"/>
      <c r="D228" s="41"/>
      <c r="E228" s="41"/>
      <c r="F228" s="20"/>
      <c r="G228" s="20"/>
      <c r="I228" s="41"/>
      <c r="M228" s="20"/>
      <c r="N228" s="20" t="str">
        <f t="shared" si="1"/>
        <v/>
      </c>
    </row>
    <row r="229">
      <c r="B229" s="20"/>
      <c r="D229" s="41"/>
      <c r="E229" s="41"/>
      <c r="F229" s="20"/>
      <c r="G229" s="20"/>
      <c r="I229" s="41"/>
      <c r="M229" s="20"/>
      <c r="N229" s="20" t="str">
        <f t="shared" si="1"/>
        <v/>
      </c>
    </row>
    <row r="230">
      <c r="B230" s="20"/>
      <c r="D230" s="41"/>
      <c r="E230" s="41"/>
      <c r="F230" s="20"/>
      <c r="G230" s="20"/>
      <c r="I230" s="41"/>
      <c r="M230" s="20"/>
      <c r="N230" s="20" t="str">
        <f t="shared" si="1"/>
        <v/>
      </c>
    </row>
    <row r="231">
      <c r="B231" s="20"/>
      <c r="D231" s="41"/>
      <c r="E231" s="41"/>
      <c r="F231" s="20"/>
      <c r="G231" s="20"/>
      <c r="I231" s="41"/>
      <c r="M231" s="20"/>
      <c r="N231" s="20" t="str">
        <f t="shared" si="1"/>
        <v/>
      </c>
    </row>
    <row r="232">
      <c r="B232" s="20"/>
      <c r="D232" s="41"/>
      <c r="E232" s="41"/>
      <c r="F232" s="20"/>
      <c r="G232" s="20"/>
      <c r="I232" s="41"/>
      <c r="M232" s="20"/>
      <c r="N232" s="20" t="str">
        <f t="shared" si="1"/>
        <v/>
      </c>
    </row>
    <row r="233">
      <c r="B233" s="20"/>
      <c r="D233" s="41"/>
      <c r="E233" s="41"/>
      <c r="F233" s="20"/>
      <c r="G233" s="20"/>
      <c r="I233" s="41"/>
      <c r="M233" s="20"/>
      <c r="N233" s="20" t="str">
        <f t="shared" si="1"/>
        <v/>
      </c>
    </row>
    <row r="234">
      <c r="B234" s="20"/>
      <c r="D234" s="41"/>
      <c r="E234" s="41"/>
      <c r="F234" s="20"/>
      <c r="G234" s="20"/>
      <c r="I234" s="41"/>
      <c r="M234" s="20"/>
      <c r="N234" s="20" t="str">
        <f t="shared" si="1"/>
        <v/>
      </c>
    </row>
    <row r="235">
      <c r="B235" s="20"/>
      <c r="D235" s="41"/>
      <c r="E235" s="41"/>
      <c r="F235" s="20"/>
      <c r="G235" s="20"/>
      <c r="I235" s="41"/>
      <c r="M235" s="20"/>
      <c r="N235" s="20" t="str">
        <f t="shared" si="1"/>
        <v/>
      </c>
    </row>
    <row r="236">
      <c r="B236" s="20"/>
      <c r="D236" s="41"/>
      <c r="E236" s="41"/>
      <c r="F236" s="20"/>
      <c r="G236" s="20"/>
      <c r="I236" s="41"/>
      <c r="M236" s="20"/>
      <c r="N236" s="20" t="str">
        <f t="shared" si="1"/>
        <v/>
      </c>
    </row>
    <row r="237">
      <c r="B237" s="20"/>
      <c r="D237" s="41"/>
      <c r="E237" s="41"/>
      <c r="F237" s="20"/>
      <c r="G237" s="20"/>
      <c r="I237" s="41"/>
      <c r="M237" s="20"/>
      <c r="N237" s="20" t="str">
        <f t="shared" si="1"/>
        <v/>
      </c>
    </row>
    <row r="238">
      <c r="B238" s="20"/>
      <c r="D238" s="41"/>
      <c r="E238" s="41"/>
      <c r="F238" s="20"/>
      <c r="G238" s="20"/>
      <c r="I238" s="41"/>
      <c r="M238" s="20"/>
      <c r="N238" s="20" t="str">
        <f t="shared" si="1"/>
        <v/>
      </c>
    </row>
    <row r="239">
      <c r="B239" s="20"/>
      <c r="D239" s="41"/>
      <c r="E239" s="41"/>
      <c r="F239" s="20"/>
      <c r="G239" s="20"/>
      <c r="I239" s="41"/>
      <c r="M239" s="20"/>
      <c r="N239" s="20" t="str">
        <f t="shared" si="1"/>
        <v/>
      </c>
    </row>
    <row r="240">
      <c r="B240" s="20"/>
      <c r="D240" s="41"/>
      <c r="E240" s="41"/>
      <c r="F240" s="20"/>
      <c r="G240" s="20"/>
      <c r="I240" s="41"/>
      <c r="M240" s="20"/>
      <c r="N240" s="20" t="str">
        <f t="shared" si="1"/>
        <v/>
      </c>
    </row>
    <row r="241">
      <c r="B241" s="20"/>
      <c r="D241" s="41"/>
      <c r="E241" s="41"/>
      <c r="F241" s="20"/>
      <c r="G241" s="20"/>
      <c r="I241" s="41"/>
      <c r="M241" s="20"/>
      <c r="N241" s="20" t="str">
        <f t="shared" si="1"/>
        <v/>
      </c>
    </row>
    <row r="242">
      <c r="B242" s="20"/>
      <c r="D242" s="41"/>
      <c r="E242" s="41"/>
      <c r="F242" s="20"/>
      <c r="G242" s="20"/>
      <c r="I242" s="41"/>
      <c r="M242" s="20"/>
      <c r="N242" s="20" t="str">
        <f t="shared" si="1"/>
        <v/>
      </c>
    </row>
    <row r="243">
      <c r="B243" s="20"/>
      <c r="D243" s="41"/>
      <c r="E243" s="41"/>
      <c r="F243" s="20"/>
      <c r="G243" s="20"/>
      <c r="I243" s="41"/>
      <c r="M243" s="20"/>
      <c r="N243" s="20" t="str">
        <f t="shared" si="1"/>
        <v/>
      </c>
    </row>
    <row r="244">
      <c r="B244" s="20"/>
      <c r="D244" s="41"/>
      <c r="E244" s="41"/>
      <c r="F244" s="20"/>
      <c r="G244" s="20"/>
      <c r="I244" s="41"/>
      <c r="M244" s="20"/>
      <c r="N244" s="20" t="str">
        <f t="shared" si="1"/>
        <v/>
      </c>
    </row>
    <row r="245">
      <c r="B245" s="20"/>
      <c r="D245" s="41"/>
      <c r="E245" s="41"/>
      <c r="F245" s="20"/>
      <c r="G245" s="20"/>
      <c r="I245" s="41"/>
      <c r="M245" s="20"/>
      <c r="N245" s="20" t="str">
        <f t="shared" si="1"/>
        <v/>
      </c>
    </row>
    <row r="246">
      <c r="B246" s="20"/>
      <c r="D246" s="41"/>
      <c r="E246" s="41"/>
      <c r="F246" s="20"/>
      <c r="G246" s="20"/>
      <c r="I246" s="41"/>
      <c r="M246" s="20"/>
      <c r="N246" s="20" t="str">
        <f t="shared" si="1"/>
        <v/>
      </c>
    </row>
    <row r="247">
      <c r="B247" s="20"/>
      <c r="D247" s="41"/>
      <c r="E247" s="41"/>
      <c r="F247" s="20"/>
      <c r="G247" s="20"/>
      <c r="I247" s="41"/>
      <c r="M247" s="20"/>
      <c r="N247" s="20" t="str">
        <f t="shared" si="1"/>
        <v/>
      </c>
    </row>
    <row r="248">
      <c r="B248" s="20"/>
      <c r="D248" s="41"/>
      <c r="E248" s="41"/>
      <c r="F248" s="20"/>
      <c r="G248" s="20"/>
      <c r="I248" s="41"/>
      <c r="M248" s="20"/>
      <c r="N248" s="20" t="str">
        <f t="shared" si="1"/>
        <v/>
      </c>
    </row>
    <row r="249">
      <c r="B249" s="20"/>
      <c r="D249" s="41"/>
      <c r="E249" s="41"/>
      <c r="F249" s="20"/>
      <c r="G249" s="20"/>
      <c r="I249" s="41"/>
      <c r="M249" s="20"/>
      <c r="N249" s="20" t="str">
        <f t="shared" si="1"/>
        <v/>
      </c>
    </row>
    <row r="250">
      <c r="B250" s="20"/>
      <c r="D250" s="41"/>
      <c r="E250" s="41"/>
      <c r="F250" s="20"/>
      <c r="G250" s="20"/>
      <c r="I250" s="41"/>
      <c r="M250" s="20"/>
      <c r="N250" s="20" t="str">
        <f t="shared" si="1"/>
        <v/>
      </c>
    </row>
    <row r="251">
      <c r="B251" s="20"/>
      <c r="D251" s="41"/>
      <c r="E251" s="41"/>
      <c r="F251" s="20"/>
      <c r="G251" s="20"/>
      <c r="I251" s="41"/>
      <c r="M251" s="20"/>
      <c r="N251" s="20" t="str">
        <f t="shared" si="1"/>
        <v/>
      </c>
    </row>
    <row r="252">
      <c r="B252" s="20"/>
      <c r="D252" s="41"/>
      <c r="E252" s="41"/>
      <c r="F252" s="20"/>
      <c r="G252" s="20"/>
      <c r="I252" s="41"/>
      <c r="M252" s="20"/>
      <c r="N252" s="20" t="str">
        <f t="shared" si="1"/>
        <v/>
      </c>
    </row>
    <row r="253">
      <c r="B253" s="20"/>
      <c r="D253" s="41"/>
      <c r="E253" s="41"/>
      <c r="F253" s="20"/>
      <c r="G253" s="20"/>
      <c r="I253" s="41"/>
      <c r="M253" s="20"/>
      <c r="N253" s="20" t="str">
        <f t="shared" si="1"/>
        <v/>
      </c>
    </row>
    <row r="254">
      <c r="B254" s="20"/>
      <c r="D254" s="41"/>
      <c r="E254" s="41"/>
      <c r="F254" s="20"/>
      <c r="G254" s="20"/>
      <c r="I254" s="41"/>
      <c r="M254" s="20"/>
      <c r="N254" s="20" t="str">
        <f t="shared" si="1"/>
        <v/>
      </c>
    </row>
    <row r="255">
      <c r="B255" s="20"/>
      <c r="D255" s="41"/>
      <c r="E255" s="41"/>
      <c r="F255" s="20"/>
      <c r="G255" s="20"/>
      <c r="I255" s="41"/>
      <c r="M255" s="20"/>
      <c r="N255" s="20" t="str">
        <f t="shared" si="1"/>
        <v/>
      </c>
    </row>
    <row r="256">
      <c r="B256" s="20"/>
      <c r="D256" s="41"/>
      <c r="E256" s="41"/>
      <c r="F256" s="20"/>
      <c r="G256" s="20"/>
      <c r="I256" s="41"/>
      <c r="M256" s="20"/>
      <c r="N256" s="20" t="str">
        <f t="shared" si="1"/>
        <v/>
      </c>
    </row>
    <row r="257">
      <c r="B257" s="20"/>
      <c r="D257" s="41"/>
      <c r="E257" s="41"/>
      <c r="F257" s="20"/>
      <c r="G257" s="20"/>
      <c r="I257" s="41"/>
      <c r="M257" s="20"/>
      <c r="N257" s="20" t="str">
        <f t="shared" si="1"/>
        <v/>
      </c>
    </row>
    <row r="258">
      <c r="B258" s="20"/>
      <c r="D258" s="41"/>
      <c r="E258" s="41"/>
      <c r="F258" s="20"/>
      <c r="G258" s="20"/>
      <c r="I258" s="41"/>
      <c r="M258" s="20"/>
      <c r="N258" s="20" t="str">
        <f t="shared" si="1"/>
        <v/>
      </c>
    </row>
    <row r="259">
      <c r="B259" s="20"/>
      <c r="D259" s="41"/>
      <c r="E259" s="41"/>
      <c r="F259" s="20"/>
      <c r="G259" s="20"/>
      <c r="I259" s="41"/>
      <c r="M259" s="20"/>
      <c r="N259" s="20" t="str">
        <f t="shared" si="1"/>
        <v/>
      </c>
    </row>
    <row r="260">
      <c r="B260" s="20"/>
      <c r="D260" s="41"/>
      <c r="E260" s="41"/>
      <c r="F260" s="20"/>
      <c r="G260" s="20"/>
      <c r="I260" s="41"/>
      <c r="M260" s="20"/>
      <c r="N260" s="20" t="str">
        <f t="shared" si="1"/>
        <v/>
      </c>
    </row>
    <row r="261">
      <c r="B261" s="20"/>
      <c r="D261" s="41"/>
      <c r="E261" s="41"/>
      <c r="F261" s="20"/>
      <c r="G261" s="20"/>
      <c r="I261" s="41"/>
      <c r="M261" s="20"/>
      <c r="N261" s="20" t="str">
        <f t="shared" si="1"/>
        <v/>
      </c>
    </row>
    <row r="262">
      <c r="B262" s="20"/>
      <c r="D262" s="41"/>
      <c r="E262" s="41"/>
      <c r="F262" s="20"/>
      <c r="G262" s="20"/>
      <c r="I262" s="41"/>
      <c r="M262" s="20"/>
      <c r="N262" s="20" t="str">
        <f t="shared" si="1"/>
        <v/>
      </c>
    </row>
    <row r="263">
      <c r="B263" s="20"/>
      <c r="D263" s="41"/>
      <c r="E263" s="41"/>
      <c r="F263" s="20"/>
      <c r="G263" s="20"/>
      <c r="I263" s="41"/>
      <c r="M263" s="20"/>
      <c r="N263" s="20" t="str">
        <f t="shared" si="1"/>
        <v/>
      </c>
    </row>
    <row r="264">
      <c r="B264" s="20"/>
      <c r="D264" s="41"/>
      <c r="E264" s="41"/>
      <c r="F264" s="20"/>
      <c r="G264" s="20"/>
      <c r="I264" s="41"/>
      <c r="M264" s="20"/>
      <c r="N264" s="20" t="str">
        <f t="shared" si="1"/>
        <v/>
      </c>
    </row>
    <row r="265">
      <c r="B265" s="20"/>
      <c r="D265" s="41"/>
      <c r="E265" s="41"/>
      <c r="F265" s="20"/>
      <c r="G265" s="20"/>
      <c r="I265" s="41"/>
      <c r="M265" s="20"/>
      <c r="N265" s="20" t="str">
        <f t="shared" si="1"/>
        <v/>
      </c>
    </row>
    <row r="266">
      <c r="B266" s="20"/>
      <c r="D266" s="41"/>
      <c r="E266" s="41"/>
      <c r="F266" s="20"/>
      <c r="G266" s="20"/>
      <c r="I266" s="41"/>
      <c r="M266" s="20"/>
      <c r="N266" s="20" t="str">
        <f t="shared" si="1"/>
        <v/>
      </c>
    </row>
    <row r="267">
      <c r="B267" s="20"/>
      <c r="D267" s="41"/>
      <c r="E267" s="41"/>
      <c r="F267" s="20"/>
      <c r="G267" s="20"/>
      <c r="I267" s="41"/>
      <c r="M267" s="20"/>
      <c r="N267" s="20" t="str">
        <f t="shared" si="1"/>
        <v/>
      </c>
    </row>
    <row r="268">
      <c r="B268" s="20"/>
      <c r="D268" s="41"/>
      <c r="E268" s="41"/>
      <c r="F268" s="20"/>
      <c r="G268" s="20"/>
      <c r="I268" s="41"/>
      <c r="M268" s="20"/>
      <c r="N268" s="20" t="str">
        <f t="shared" si="1"/>
        <v/>
      </c>
    </row>
    <row r="269">
      <c r="B269" s="20"/>
      <c r="D269" s="41"/>
      <c r="E269" s="41"/>
      <c r="F269" s="20"/>
      <c r="G269" s="20"/>
      <c r="I269" s="41"/>
      <c r="M269" s="20"/>
      <c r="N269" s="20" t="str">
        <f t="shared" si="1"/>
        <v/>
      </c>
    </row>
    <row r="270">
      <c r="B270" s="20"/>
      <c r="D270" s="41"/>
      <c r="E270" s="41"/>
      <c r="F270" s="20"/>
      <c r="G270" s="20"/>
      <c r="I270" s="41"/>
      <c r="M270" s="20"/>
      <c r="N270" s="20" t="str">
        <f t="shared" si="1"/>
        <v/>
      </c>
    </row>
    <row r="271">
      <c r="B271" s="20"/>
      <c r="D271" s="41"/>
      <c r="E271" s="41"/>
      <c r="F271" s="20"/>
      <c r="G271" s="20"/>
      <c r="I271" s="41"/>
      <c r="M271" s="20"/>
      <c r="N271" s="20" t="str">
        <f t="shared" si="1"/>
        <v/>
      </c>
    </row>
    <row r="272">
      <c r="B272" s="20"/>
      <c r="D272" s="41"/>
      <c r="E272" s="41"/>
      <c r="F272" s="20"/>
      <c r="G272" s="20"/>
      <c r="I272" s="41"/>
      <c r="M272" s="20"/>
      <c r="N272" s="20" t="str">
        <f t="shared" si="1"/>
        <v/>
      </c>
    </row>
    <row r="273">
      <c r="B273" s="20"/>
      <c r="D273" s="41"/>
      <c r="E273" s="41"/>
      <c r="F273" s="20"/>
      <c r="G273" s="20"/>
      <c r="I273" s="41"/>
      <c r="M273" s="20"/>
      <c r="N273" s="20" t="str">
        <f t="shared" si="1"/>
        <v/>
      </c>
    </row>
    <row r="274">
      <c r="B274" s="20"/>
      <c r="D274" s="41"/>
      <c r="E274" s="41"/>
      <c r="F274" s="20"/>
      <c r="G274" s="20"/>
      <c r="I274" s="41"/>
      <c r="M274" s="20"/>
      <c r="N274" s="20" t="str">
        <f t="shared" si="1"/>
        <v/>
      </c>
    </row>
    <row r="275">
      <c r="B275" s="20"/>
      <c r="D275" s="41"/>
      <c r="E275" s="41"/>
      <c r="F275" s="20"/>
      <c r="G275" s="20"/>
      <c r="I275" s="41"/>
      <c r="M275" s="20"/>
      <c r="N275" s="20" t="str">
        <f t="shared" si="1"/>
        <v/>
      </c>
    </row>
    <row r="276">
      <c r="B276" s="20"/>
      <c r="D276" s="41"/>
      <c r="E276" s="41"/>
      <c r="F276" s="20"/>
      <c r="G276" s="20"/>
      <c r="I276" s="41"/>
      <c r="M276" s="20"/>
      <c r="N276" s="20" t="str">
        <f t="shared" si="1"/>
        <v/>
      </c>
    </row>
    <row r="277">
      <c r="B277" s="20"/>
      <c r="D277" s="41"/>
      <c r="E277" s="41"/>
      <c r="F277" s="20"/>
      <c r="G277" s="20"/>
      <c r="I277" s="41"/>
      <c r="M277" s="20"/>
      <c r="N277" s="20" t="str">
        <f t="shared" si="1"/>
        <v/>
      </c>
    </row>
    <row r="278">
      <c r="B278" s="20"/>
      <c r="D278" s="41"/>
      <c r="E278" s="41"/>
      <c r="F278" s="20"/>
      <c r="G278" s="20"/>
      <c r="I278" s="41"/>
      <c r="M278" s="20"/>
      <c r="N278" s="20" t="str">
        <f t="shared" si="1"/>
        <v/>
      </c>
    </row>
    <row r="279">
      <c r="B279" s="20"/>
      <c r="D279" s="41"/>
      <c r="E279" s="41"/>
      <c r="F279" s="20"/>
      <c r="G279" s="20"/>
      <c r="I279" s="41"/>
      <c r="M279" s="20"/>
      <c r="N279" s="20" t="str">
        <f t="shared" si="1"/>
        <v/>
      </c>
    </row>
    <row r="280">
      <c r="B280" s="20"/>
      <c r="D280" s="41"/>
      <c r="E280" s="41"/>
      <c r="F280" s="20"/>
      <c r="G280" s="20"/>
      <c r="I280" s="41"/>
      <c r="M280" s="20"/>
      <c r="N280" s="20" t="str">
        <f t="shared" si="1"/>
        <v/>
      </c>
    </row>
    <row r="281">
      <c r="B281" s="20"/>
      <c r="D281" s="41"/>
      <c r="E281" s="41"/>
      <c r="F281" s="20"/>
      <c r="G281" s="20"/>
      <c r="I281" s="41"/>
      <c r="M281" s="20"/>
      <c r="N281" s="20" t="str">
        <f t="shared" si="1"/>
        <v/>
      </c>
    </row>
    <row r="282">
      <c r="B282" s="20"/>
      <c r="D282" s="41"/>
      <c r="E282" s="41"/>
      <c r="F282" s="20"/>
      <c r="G282" s="20"/>
      <c r="I282" s="41"/>
      <c r="M282" s="20"/>
      <c r="N282" s="20" t="str">
        <f t="shared" si="1"/>
        <v/>
      </c>
    </row>
    <row r="283">
      <c r="B283" s="20"/>
      <c r="D283" s="41"/>
      <c r="E283" s="41"/>
      <c r="F283" s="20"/>
      <c r="G283" s="20"/>
      <c r="I283" s="41"/>
      <c r="M283" s="20"/>
      <c r="N283" s="20" t="str">
        <f t="shared" si="1"/>
        <v/>
      </c>
    </row>
    <row r="284">
      <c r="B284" s="20"/>
      <c r="D284" s="41"/>
      <c r="E284" s="41"/>
      <c r="F284" s="20"/>
      <c r="G284" s="20"/>
      <c r="I284" s="41"/>
      <c r="M284" s="20"/>
      <c r="N284" s="20" t="str">
        <f t="shared" si="1"/>
        <v/>
      </c>
    </row>
    <row r="285">
      <c r="B285" s="20"/>
      <c r="D285" s="41"/>
      <c r="E285" s="41"/>
      <c r="F285" s="20"/>
      <c r="G285" s="20"/>
      <c r="I285" s="41"/>
      <c r="M285" s="20"/>
      <c r="N285" s="20" t="str">
        <f t="shared" si="1"/>
        <v/>
      </c>
    </row>
    <row r="286">
      <c r="B286" s="20"/>
      <c r="D286" s="41"/>
      <c r="E286" s="41"/>
      <c r="F286" s="20"/>
      <c r="G286" s="20"/>
      <c r="I286" s="41"/>
      <c r="M286" s="20"/>
      <c r="N286" s="20" t="str">
        <f t="shared" si="1"/>
        <v/>
      </c>
    </row>
    <row r="287">
      <c r="B287" s="20"/>
      <c r="D287" s="41"/>
      <c r="E287" s="41"/>
      <c r="F287" s="20"/>
      <c r="G287" s="20"/>
      <c r="I287" s="41"/>
      <c r="M287" s="20"/>
      <c r="N287" s="20" t="str">
        <f t="shared" si="1"/>
        <v/>
      </c>
    </row>
    <row r="288">
      <c r="B288" s="20"/>
      <c r="D288" s="41"/>
      <c r="E288" s="41"/>
      <c r="F288" s="20"/>
      <c r="G288" s="20"/>
      <c r="I288" s="41"/>
      <c r="M288" s="20"/>
      <c r="N288" s="20" t="str">
        <f t="shared" si="1"/>
        <v/>
      </c>
    </row>
    <row r="289">
      <c r="B289" s="20"/>
      <c r="D289" s="41"/>
      <c r="E289" s="41"/>
      <c r="F289" s="20"/>
      <c r="G289" s="20"/>
      <c r="I289" s="41"/>
      <c r="M289" s="20"/>
      <c r="N289" s="20" t="str">
        <f t="shared" si="1"/>
        <v/>
      </c>
    </row>
    <row r="290">
      <c r="B290" s="20"/>
      <c r="D290" s="41"/>
      <c r="E290" s="41"/>
      <c r="F290" s="20"/>
      <c r="G290" s="20"/>
      <c r="I290" s="41"/>
      <c r="M290" s="20"/>
      <c r="N290" s="20" t="str">
        <f t="shared" si="1"/>
        <v/>
      </c>
    </row>
    <row r="291">
      <c r="B291" s="20"/>
      <c r="D291" s="41"/>
      <c r="E291" s="41"/>
      <c r="F291" s="20"/>
      <c r="G291" s="20"/>
      <c r="I291" s="41"/>
      <c r="M291" s="20"/>
      <c r="N291" s="20" t="str">
        <f t="shared" si="1"/>
        <v/>
      </c>
    </row>
    <row r="292">
      <c r="B292" s="20"/>
      <c r="D292" s="41"/>
      <c r="E292" s="41"/>
      <c r="F292" s="20"/>
      <c r="G292" s="20"/>
      <c r="I292" s="41"/>
      <c r="M292" s="20"/>
      <c r="N292" s="20" t="str">
        <f t="shared" si="1"/>
        <v/>
      </c>
    </row>
    <row r="293">
      <c r="B293" s="20"/>
      <c r="D293" s="41"/>
      <c r="E293" s="41"/>
      <c r="F293" s="20"/>
      <c r="G293" s="20"/>
      <c r="I293" s="41"/>
      <c r="M293" s="20"/>
    </row>
    <row r="294">
      <c r="B294" s="20"/>
      <c r="D294" s="41"/>
      <c r="E294" s="41"/>
      <c r="F294" s="20"/>
      <c r="G294" s="20"/>
      <c r="I294" s="41"/>
      <c r="M294" s="20"/>
    </row>
    <row r="295">
      <c r="B295" s="20"/>
      <c r="D295" s="41"/>
      <c r="E295" s="41"/>
      <c r="F295" s="20"/>
      <c r="G295" s="20"/>
      <c r="I295" s="41"/>
      <c r="M295" s="20"/>
    </row>
    <row r="296">
      <c r="B296" s="20"/>
      <c r="D296" s="41"/>
      <c r="E296" s="41"/>
      <c r="F296" s="20"/>
      <c r="G296" s="20"/>
      <c r="I296" s="41"/>
      <c r="M296" s="20"/>
    </row>
    <row r="297">
      <c r="B297" s="20"/>
      <c r="D297" s="41"/>
      <c r="E297" s="41"/>
      <c r="F297" s="20"/>
      <c r="G297" s="20"/>
      <c r="I297" s="41"/>
      <c r="M297" s="20"/>
    </row>
    <row r="298">
      <c r="B298" s="20"/>
      <c r="D298" s="41"/>
      <c r="E298" s="41"/>
      <c r="F298" s="20"/>
      <c r="G298" s="20"/>
      <c r="I298" s="41"/>
      <c r="M298" s="20"/>
    </row>
    <row r="299">
      <c r="B299" s="20"/>
      <c r="D299" s="41"/>
      <c r="E299" s="41"/>
      <c r="F299" s="20"/>
      <c r="G299" s="20"/>
      <c r="I299" s="41"/>
      <c r="M299" s="20"/>
    </row>
    <row r="300">
      <c r="B300" s="20"/>
      <c r="D300" s="41"/>
      <c r="E300" s="41"/>
      <c r="F300" s="20"/>
      <c r="G300" s="20"/>
      <c r="I300" s="41"/>
      <c r="M300" s="20"/>
    </row>
    <row r="301">
      <c r="B301" s="20"/>
      <c r="D301" s="41"/>
      <c r="E301" s="41"/>
      <c r="F301" s="20"/>
      <c r="G301" s="20"/>
      <c r="I301" s="41"/>
      <c r="M301" s="20"/>
    </row>
    <row r="302">
      <c r="B302" s="20"/>
      <c r="D302" s="41"/>
      <c r="E302" s="41"/>
      <c r="F302" s="20"/>
      <c r="G302" s="20"/>
      <c r="I302" s="41"/>
      <c r="M302" s="20"/>
    </row>
    <row r="303">
      <c r="B303" s="20"/>
      <c r="D303" s="41"/>
      <c r="E303" s="41"/>
      <c r="F303" s="20"/>
      <c r="G303" s="20"/>
      <c r="I303" s="41"/>
      <c r="M303" s="20"/>
    </row>
    <row r="304">
      <c r="B304" s="20"/>
      <c r="D304" s="41"/>
      <c r="E304" s="41"/>
      <c r="F304" s="20"/>
      <c r="G304" s="20"/>
      <c r="I304" s="41"/>
      <c r="M304" s="20"/>
    </row>
    <row r="305">
      <c r="B305" s="20"/>
      <c r="D305" s="41"/>
      <c r="E305" s="41"/>
      <c r="F305" s="20"/>
      <c r="G305" s="20"/>
      <c r="I305" s="41"/>
      <c r="M305" s="20"/>
    </row>
    <row r="306">
      <c r="B306" s="20"/>
      <c r="D306" s="41"/>
      <c r="E306" s="41"/>
      <c r="F306" s="20"/>
      <c r="G306" s="20"/>
      <c r="I306" s="41"/>
      <c r="M306" s="20"/>
    </row>
    <row r="307">
      <c r="B307" s="20"/>
      <c r="D307" s="41"/>
      <c r="E307" s="41"/>
      <c r="F307" s="20"/>
      <c r="G307" s="20"/>
      <c r="I307" s="41"/>
      <c r="M307" s="20"/>
    </row>
    <row r="308">
      <c r="B308" s="20"/>
      <c r="D308" s="41"/>
      <c r="E308" s="41"/>
      <c r="F308" s="20"/>
      <c r="G308" s="20"/>
      <c r="I308" s="41"/>
      <c r="M308" s="20"/>
    </row>
    <row r="309">
      <c r="B309" s="20"/>
      <c r="D309" s="41"/>
      <c r="E309" s="41"/>
      <c r="F309" s="20"/>
      <c r="G309" s="20"/>
      <c r="I309" s="41"/>
      <c r="M309" s="20"/>
    </row>
    <row r="310">
      <c r="B310" s="20"/>
      <c r="D310" s="41"/>
      <c r="E310" s="41"/>
      <c r="F310" s="20"/>
      <c r="G310" s="20"/>
      <c r="I310" s="41"/>
      <c r="M310" s="20"/>
    </row>
    <row r="311">
      <c r="B311" s="20"/>
      <c r="D311" s="41"/>
      <c r="E311" s="41"/>
      <c r="F311" s="20"/>
      <c r="G311" s="20"/>
      <c r="I311" s="41"/>
      <c r="M311" s="20"/>
    </row>
    <row r="312">
      <c r="B312" s="20"/>
      <c r="D312" s="41"/>
      <c r="E312" s="41"/>
      <c r="F312" s="20"/>
      <c r="G312" s="20"/>
      <c r="I312" s="41"/>
      <c r="M312" s="20"/>
    </row>
    <row r="313">
      <c r="B313" s="20"/>
      <c r="D313" s="41"/>
      <c r="E313" s="41"/>
      <c r="F313" s="20"/>
      <c r="G313" s="20"/>
      <c r="I313" s="41"/>
      <c r="M313" s="20"/>
    </row>
    <row r="314">
      <c r="B314" s="20"/>
      <c r="D314" s="41"/>
      <c r="E314" s="41"/>
      <c r="F314" s="20"/>
      <c r="G314" s="20"/>
      <c r="I314" s="41"/>
      <c r="M314" s="20"/>
    </row>
    <row r="315">
      <c r="B315" s="20"/>
      <c r="D315" s="41"/>
      <c r="E315" s="41"/>
      <c r="F315" s="20"/>
      <c r="G315" s="20"/>
      <c r="I315" s="41"/>
      <c r="M315" s="20"/>
    </row>
    <row r="316">
      <c r="B316" s="20"/>
      <c r="D316" s="41"/>
      <c r="E316" s="41"/>
      <c r="F316" s="20"/>
      <c r="G316" s="20"/>
      <c r="I316" s="41"/>
      <c r="M316" s="20"/>
    </row>
    <row r="317">
      <c r="B317" s="20"/>
      <c r="D317" s="41"/>
      <c r="E317" s="41"/>
      <c r="F317" s="20"/>
      <c r="G317" s="20"/>
      <c r="I317" s="41"/>
      <c r="M317" s="20"/>
    </row>
    <row r="318">
      <c r="B318" s="20"/>
      <c r="D318" s="41"/>
      <c r="E318" s="41"/>
      <c r="F318" s="20"/>
      <c r="G318" s="20"/>
      <c r="I318" s="41"/>
      <c r="M318" s="20"/>
    </row>
    <row r="319">
      <c r="B319" s="20"/>
      <c r="D319" s="41"/>
      <c r="E319" s="41"/>
      <c r="F319" s="20"/>
      <c r="G319" s="20"/>
      <c r="I319" s="41"/>
      <c r="M319" s="20"/>
    </row>
    <row r="320">
      <c r="B320" s="20"/>
      <c r="D320" s="41"/>
      <c r="E320" s="41"/>
      <c r="F320" s="20"/>
      <c r="G320" s="20"/>
      <c r="I320" s="41"/>
      <c r="M320" s="20"/>
    </row>
    <row r="321">
      <c r="B321" s="20"/>
      <c r="D321" s="41"/>
      <c r="E321" s="41"/>
      <c r="F321" s="20"/>
      <c r="G321" s="20"/>
      <c r="I321" s="41"/>
      <c r="M321" s="20"/>
    </row>
    <row r="322">
      <c r="B322" s="20"/>
      <c r="D322" s="41"/>
      <c r="E322" s="41"/>
      <c r="F322" s="20"/>
      <c r="G322" s="20"/>
      <c r="I322" s="41"/>
      <c r="M322" s="20"/>
    </row>
    <row r="323">
      <c r="B323" s="20"/>
      <c r="D323" s="41"/>
      <c r="E323" s="41"/>
      <c r="F323" s="20"/>
      <c r="G323" s="20"/>
      <c r="I323" s="41"/>
      <c r="M323" s="20"/>
    </row>
    <row r="324">
      <c r="B324" s="20"/>
      <c r="D324" s="41"/>
      <c r="E324" s="41"/>
      <c r="F324" s="20"/>
      <c r="G324" s="20"/>
      <c r="I324" s="41"/>
      <c r="M324" s="20"/>
    </row>
    <row r="325">
      <c r="B325" s="20"/>
      <c r="D325" s="41"/>
      <c r="E325" s="41"/>
      <c r="F325" s="20"/>
      <c r="G325" s="20"/>
      <c r="I325" s="41"/>
      <c r="M325" s="20"/>
    </row>
    <row r="326">
      <c r="B326" s="20"/>
      <c r="D326" s="41"/>
      <c r="E326" s="41"/>
      <c r="F326" s="20"/>
      <c r="G326" s="20"/>
      <c r="I326" s="41"/>
      <c r="M326" s="20"/>
    </row>
    <row r="327">
      <c r="B327" s="20"/>
      <c r="D327" s="41"/>
      <c r="E327" s="41"/>
      <c r="F327" s="20"/>
      <c r="G327" s="20"/>
      <c r="I327" s="41"/>
      <c r="M327" s="20"/>
    </row>
    <row r="328">
      <c r="B328" s="20"/>
      <c r="D328" s="41"/>
      <c r="E328" s="41"/>
      <c r="F328" s="20"/>
      <c r="G328" s="20"/>
      <c r="I328" s="41"/>
      <c r="M328" s="20"/>
    </row>
    <row r="329">
      <c r="B329" s="20"/>
      <c r="D329" s="41"/>
      <c r="E329" s="41"/>
      <c r="F329" s="20"/>
      <c r="G329" s="20"/>
      <c r="I329" s="41"/>
      <c r="M329" s="20"/>
    </row>
    <row r="330">
      <c r="B330" s="20"/>
      <c r="D330" s="41"/>
      <c r="E330" s="41"/>
      <c r="F330" s="20"/>
      <c r="G330" s="20"/>
      <c r="I330" s="41"/>
      <c r="M330" s="20"/>
    </row>
    <row r="331">
      <c r="B331" s="20"/>
      <c r="D331" s="41"/>
      <c r="E331" s="41"/>
      <c r="F331" s="20"/>
      <c r="G331" s="20"/>
      <c r="I331" s="41"/>
      <c r="M331" s="20"/>
    </row>
    <row r="332">
      <c r="B332" s="20"/>
      <c r="D332" s="41"/>
      <c r="E332" s="41"/>
      <c r="F332" s="20"/>
      <c r="G332" s="20"/>
      <c r="I332" s="41"/>
      <c r="M332" s="20"/>
    </row>
    <row r="333">
      <c r="B333" s="20"/>
      <c r="D333" s="41"/>
      <c r="E333" s="41"/>
      <c r="F333" s="20"/>
      <c r="G333" s="20"/>
      <c r="I333" s="41"/>
      <c r="M333" s="20"/>
    </row>
    <row r="334">
      <c r="B334" s="20"/>
      <c r="D334" s="41"/>
      <c r="E334" s="41"/>
      <c r="F334" s="20"/>
      <c r="G334" s="20"/>
      <c r="I334" s="41"/>
      <c r="M334" s="20"/>
    </row>
    <row r="335">
      <c r="B335" s="20"/>
      <c r="D335" s="41"/>
      <c r="E335" s="41"/>
      <c r="F335" s="20"/>
      <c r="G335" s="20"/>
      <c r="I335" s="41"/>
      <c r="M335" s="20"/>
    </row>
    <row r="336">
      <c r="B336" s="20"/>
      <c r="D336" s="41"/>
      <c r="E336" s="41"/>
      <c r="F336" s="20"/>
      <c r="G336" s="20"/>
      <c r="I336" s="41"/>
      <c r="M336" s="20"/>
    </row>
    <row r="337">
      <c r="B337" s="20"/>
      <c r="D337" s="41"/>
      <c r="E337" s="41"/>
      <c r="F337" s="20"/>
      <c r="G337" s="20"/>
      <c r="I337" s="41"/>
      <c r="M337" s="20"/>
    </row>
    <row r="338">
      <c r="B338" s="20"/>
      <c r="D338" s="41"/>
      <c r="E338" s="41"/>
      <c r="F338" s="20"/>
      <c r="G338" s="20"/>
      <c r="I338" s="41"/>
      <c r="M338" s="20"/>
    </row>
    <row r="339">
      <c r="B339" s="20"/>
      <c r="D339" s="41"/>
      <c r="E339" s="41"/>
      <c r="F339" s="20"/>
      <c r="G339" s="20"/>
      <c r="I339" s="41"/>
      <c r="M339" s="20"/>
    </row>
    <row r="340">
      <c r="B340" s="20"/>
      <c r="D340" s="41"/>
      <c r="E340" s="41"/>
      <c r="F340" s="20"/>
      <c r="G340" s="20"/>
      <c r="I340" s="41"/>
      <c r="M340" s="20"/>
    </row>
    <row r="341">
      <c r="B341" s="20"/>
      <c r="D341" s="41"/>
      <c r="E341" s="41"/>
      <c r="F341" s="20"/>
      <c r="G341" s="20"/>
      <c r="I341" s="41"/>
      <c r="M341" s="20"/>
    </row>
    <row r="342">
      <c r="B342" s="20"/>
      <c r="D342" s="41"/>
      <c r="E342" s="41"/>
      <c r="F342" s="20"/>
      <c r="G342" s="20"/>
      <c r="I342" s="41"/>
      <c r="M342" s="20"/>
    </row>
    <row r="343">
      <c r="B343" s="20"/>
      <c r="D343" s="41"/>
      <c r="E343" s="41"/>
      <c r="F343" s="20"/>
      <c r="G343" s="20"/>
      <c r="I343" s="41"/>
      <c r="M343" s="20"/>
    </row>
    <row r="344">
      <c r="B344" s="20"/>
      <c r="D344" s="41"/>
      <c r="E344" s="41"/>
      <c r="F344" s="20"/>
      <c r="G344" s="20"/>
      <c r="I344" s="41"/>
      <c r="M344" s="20"/>
    </row>
    <row r="345">
      <c r="B345" s="20"/>
      <c r="D345" s="41"/>
      <c r="E345" s="41"/>
      <c r="F345" s="20"/>
      <c r="G345" s="20"/>
      <c r="I345" s="41"/>
      <c r="M345" s="20"/>
    </row>
    <row r="346">
      <c r="B346" s="20"/>
      <c r="D346" s="41"/>
      <c r="E346" s="41"/>
      <c r="F346" s="20"/>
      <c r="G346" s="20"/>
      <c r="I346" s="41"/>
      <c r="M346" s="20"/>
    </row>
    <row r="347">
      <c r="B347" s="20"/>
      <c r="D347" s="41"/>
      <c r="E347" s="41"/>
      <c r="F347" s="20"/>
      <c r="G347" s="20"/>
      <c r="I347" s="41"/>
      <c r="M347" s="20"/>
    </row>
    <row r="348">
      <c r="B348" s="20"/>
      <c r="D348" s="41"/>
      <c r="E348" s="41"/>
      <c r="F348" s="20"/>
      <c r="G348" s="20"/>
      <c r="I348" s="41"/>
      <c r="M348" s="20"/>
    </row>
    <row r="349">
      <c r="B349" s="20"/>
      <c r="D349" s="41"/>
      <c r="E349" s="41"/>
      <c r="F349" s="20"/>
      <c r="G349" s="20"/>
      <c r="I349" s="41"/>
      <c r="M349" s="20"/>
    </row>
    <row r="350">
      <c r="B350" s="20"/>
      <c r="D350" s="41"/>
      <c r="E350" s="41"/>
      <c r="F350" s="20"/>
      <c r="G350" s="20"/>
      <c r="I350" s="41"/>
      <c r="M350" s="20"/>
    </row>
    <row r="351">
      <c r="B351" s="20"/>
      <c r="D351" s="41"/>
      <c r="E351" s="41"/>
      <c r="F351" s="20"/>
      <c r="G351" s="20"/>
      <c r="I351" s="41"/>
      <c r="M351" s="20"/>
    </row>
    <row r="352">
      <c r="B352" s="20"/>
      <c r="D352" s="41"/>
      <c r="E352" s="41"/>
      <c r="F352" s="20"/>
      <c r="G352" s="20"/>
      <c r="I352" s="41"/>
      <c r="M352" s="20"/>
    </row>
    <row r="353">
      <c r="B353" s="20"/>
      <c r="D353" s="41"/>
      <c r="E353" s="41"/>
      <c r="F353" s="20"/>
      <c r="G353" s="20"/>
      <c r="I353" s="41"/>
      <c r="M353" s="20"/>
    </row>
    <row r="354">
      <c r="B354" s="20"/>
      <c r="D354" s="41"/>
      <c r="E354" s="41"/>
      <c r="F354" s="20"/>
      <c r="G354" s="20"/>
      <c r="I354" s="41"/>
      <c r="M354" s="20"/>
    </row>
    <row r="355">
      <c r="B355" s="20"/>
      <c r="D355" s="41"/>
      <c r="E355" s="41"/>
      <c r="F355" s="20"/>
      <c r="G355" s="20"/>
      <c r="I355" s="41"/>
      <c r="M355" s="20"/>
    </row>
    <row r="356">
      <c r="B356" s="20"/>
      <c r="D356" s="41"/>
      <c r="E356" s="41"/>
      <c r="F356" s="20"/>
      <c r="G356" s="20"/>
      <c r="I356" s="41"/>
      <c r="M356" s="20"/>
    </row>
    <row r="357">
      <c r="B357" s="20"/>
      <c r="D357" s="41"/>
      <c r="E357" s="41"/>
      <c r="F357" s="20"/>
      <c r="G357" s="20"/>
      <c r="I357" s="41"/>
      <c r="M357" s="20"/>
    </row>
    <row r="358">
      <c r="B358" s="20"/>
      <c r="D358" s="41"/>
      <c r="E358" s="41"/>
      <c r="F358" s="20"/>
      <c r="G358" s="20"/>
      <c r="I358" s="41"/>
      <c r="M358" s="20"/>
    </row>
    <row r="359">
      <c r="B359" s="20"/>
      <c r="D359" s="41"/>
      <c r="E359" s="41"/>
      <c r="F359" s="20"/>
      <c r="G359" s="20"/>
      <c r="I359" s="41"/>
      <c r="M359" s="20"/>
    </row>
    <row r="360">
      <c r="B360" s="20"/>
      <c r="D360" s="41"/>
      <c r="E360" s="41"/>
      <c r="F360" s="20"/>
      <c r="G360" s="20"/>
      <c r="I360" s="41"/>
      <c r="M360" s="20"/>
    </row>
    <row r="361">
      <c r="B361" s="20"/>
      <c r="D361" s="41"/>
      <c r="E361" s="41"/>
      <c r="F361" s="20"/>
      <c r="G361" s="20"/>
      <c r="I361" s="41"/>
      <c r="M361" s="20"/>
    </row>
    <row r="362">
      <c r="B362" s="20"/>
      <c r="D362" s="41"/>
      <c r="E362" s="41"/>
      <c r="F362" s="20"/>
      <c r="G362" s="20"/>
      <c r="I362" s="41"/>
      <c r="M362" s="20"/>
    </row>
    <row r="363">
      <c r="B363" s="20"/>
      <c r="D363" s="41"/>
      <c r="E363" s="41"/>
      <c r="F363" s="20"/>
      <c r="G363" s="20"/>
      <c r="I363" s="41"/>
      <c r="M363" s="20"/>
    </row>
    <row r="364">
      <c r="B364" s="20"/>
      <c r="D364" s="41"/>
      <c r="E364" s="41"/>
      <c r="F364" s="20"/>
      <c r="G364" s="20"/>
      <c r="I364" s="41"/>
      <c r="M364" s="20"/>
    </row>
    <row r="365">
      <c r="B365" s="20"/>
      <c r="D365" s="41"/>
      <c r="E365" s="41"/>
      <c r="F365" s="20"/>
      <c r="G365" s="20"/>
      <c r="I365" s="41"/>
      <c r="M365" s="20"/>
    </row>
    <row r="366">
      <c r="B366" s="20"/>
      <c r="D366" s="41"/>
      <c r="E366" s="41"/>
      <c r="F366" s="20"/>
      <c r="G366" s="20"/>
      <c r="I366" s="41"/>
      <c r="M366" s="20"/>
    </row>
    <row r="367">
      <c r="B367" s="20"/>
      <c r="D367" s="41"/>
      <c r="E367" s="41"/>
      <c r="F367" s="20"/>
      <c r="G367" s="20"/>
      <c r="I367" s="41"/>
      <c r="M367" s="20"/>
    </row>
    <row r="368">
      <c r="B368" s="20"/>
      <c r="D368" s="41"/>
      <c r="E368" s="41"/>
      <c r="F368" s="20"/>
      <c r="G368" s="20"/>
      <c r="I368" s="41"/>
      <c r="M368" s="20"/>
    </row>
    <row r="369">
      <c r="B369" s="20"/>
      <c r="D369" s="41"/>
      <c r="E369" s="41"/>
      <c r="F369" s="20"/>
      <c r="G369" s="20"/>
      <c r="I369" s="41"/>
      <c r="M369" s="20"/>
    </row>
    <row r="370">
      <c r="B370" s="20"/>
      <c r="D370" s="41"/>
      <c r="E370" s="41"/>
      <c r="F370" s="20"/>
      <c r="G370" s="20"/>
      <c r="I370" s="41"/>
      <c r="M370" s="20"/>
    </row>
    <row r="371">
      <c r="B371" s="20"/>
      <c r="D371" s="41"/>
      <c r="E371" s="41"/>
      <c r="F371" s="20"/>
      <c r="G371" s="20"/>
      <c r="I371" s="41"/>
      <c r="M371" s="20"/>
    </row>
    <row r="372">
      <c r="B372" s="20"/>
      <c r="D372" s="41"/>
      <c r="E372" s="41"/>
      <c r="F372" s="20"/>
      <c r="G372" s="20"/>
      <c r="I372" s="41"/>
      <c r="M372" s="20"/>
    </row>
    <row r="373">
      <c r="B373" s="20"/>
      <c r="D373" s="41"/>
      <c r="E373" s="41"/>
      <c r="F373" s="20"/>
      <c r="G373" s="20"/>
      <c r="I373" s="41"/>
      <c r="M373" s="20"/>
    </row>
    <row r="374">
      <c r="B374" s="20"/>
      <c r="D374" s="41"/>
      <c r="E374" s="41"/>
      <c r="F374" s="20"/>
      <c r="G374" s="20"/>
      <c r="I374" s="41"/>
      <c r="M374" s="20"/>
    </row>
    <row r="375">
      <c r="B375" s="20"/>
      <c r="D375" s="41"/>
      <c r="E375" s="41"/>
      <c r="F375" s="20"/>
      <c r="G375" s="20"/>
      <c r="I375" s="41"/>
      <c r="M375" s="20"/>
    </row>
    <row r="376">
      <c r="B376" s="20"/>
      <c r="D376" s="41"/>
      <c r="E376" s="41"/>
      <c r="F376" s="20"/>
      <c r="G376" s="20"/>
      <c r="I376" s="41"/>
      <c r="M376" s="20"/>
    </row>
    <row r="377">
      <c r="B377" s="20"/>
      <c r="D377" s="41"/>
      <c r="E377" s="41"/>
      <c r="F377" s="20"/>
      <c r="G377" s="20"/>
      <c r="I377" s="41"/>
      <c r="M377" s="20"/>
    </row>
    <row r="378">
      <c r="B378" s="20"/>
      <c r="D378" s="41"/>
      <c r="E378" s="41"/>
      <c r="F378" s="20"/>
      <c r="G378" s="20"/>
      <c r="I378" s="41"/>
      <c r="M378" s="20"/>
    </row>
    <row r="379">
      <c r="B379" s="20"/>
      <c r="D379" s="41"/>
      <c r="E379" s="41"/>
      <c r="F379" s="20"/>
      <c r="G379" s="20"/>
      <c r="I379" s="41"/>
      <c r="M379" s="20"/>
    </row>
    <row r="380">
      <c r="B380" s="20"/>
      <c r="D380" s="41"/>
      <c r="E380" s="41"/>
      <c r="F380" s="20"/>
      <c r="G380" s="20"/>
      <c r="I380" s="41"/>
      <c r="M380" s="20"/>
    </row>
    <row r="381">
      <c r="B381" s="20"/>
      <c r="D381" s="41"/>
      <c r="E381" s="41"/>
      <c r="F381" s="20"/>
      <c r="G381" s="20"/>
      <c r="I381" s="41"/>
      <c r="M381" s="20"/>
    </row>
    <row r="382">
      <c r="B382" s="20"/>
      <c r="D382" s="41"/>
      <c r="E382" s="41"/>
      <c r="F382" s="20"/>
      <c r="G382" s="20"/>
      <c r="I382" s="41"/>
      <c r="M382" s="20"/>
    </row>
    <row r="383">
      <c r="B383" s="20"/>
      <c r="D383" s="41"/>
      <c r="E383" s="41"/>
      <c r="F383" s="20"/>
      <c r="G383" s="20"/>
      <c r="I383" s="41"/>
      <c r="M383" s="20"/>
    </row>
    <row r="384">
      <c r="B384" s="20"/>
      <c r="D384" s="41"/>
      <c r="E384" s="41"/>
      <c r="F384" s="20"/>
      <c r="G384" s="20"/>
      <c r="I384" s="41"/>
      <c r="M384" s="20"/>
    </row>
    <row r="385">
      <c r="B385" s="20"/>
      <c r="D385" s="41"/>
      <c r="E385" s="41"/>
      <c r="F385" s="20"/>
      <c r="G385" s="20"/>
      <c r="I385" s="41"/>
      <c r="M385" s="20"/>
    </row>
    <row r="386">
      <c r="B386" s="20"/>
      <c r="D386" s="41"/>
      <c r="E386" s="41"/>
      <c r="F386" s="20"/>
      <c r="G386" s="20"/>
      <c r="I386" s="41"/>
      <c r="M386" s="20"/>
    </row>
    <row r="387">
      <c r="B387" s="20"/>
      <c r="D387" s="41"/>
      <c r="E387" s="41"/>
      <c r="F387" s="20"/>
      <c r="G387" s="20"/>
      <c r="I387" s="41"/>
      <c r="M387" s="20"/>
    </row>
    <row r="388">
      <c r="B388" s="20"/>
      <c r="D388" s="41"/>
      <c r="E388" s="41"/>
      <c r="F388" s="20"/>
      <c r="G388" s="20"/>
      <c r="I388" s="41"/>
      <c r="M388" s="20"/>
    </row>
    <row r="389">
      <c r="B389" s="20"/>
      <c r="D389" s="41"/>
      <c r="E389" s="41"/>
      <c r="F389" s="20"/>
      <c r="G389" s="20"/>
      <c r="I389" s="41"/>
      <c r="M389" s="20"/>
    </row>
    <row r="390">
      <c r="B390" s="20"/>
      <c r="D390" s="41"/>
      <c r="E390" s="41"/>
      <c r="F390" s="20"/>
      <c r="G390" s="20"/>
      <c r="I390" s="41"/>
      <c r="M390" s="20"/>
    </row>
    <row r="391">
      <c r="B391" s="20"/>
      <c r="D391" s="41"/>
      <c r="E391" s="41"/>
      <c r="F391" s="20"/>
      <c r="G391" s="20"/>
      <c r="I391" s="41"/>
      <c r="M391" s="20"/>
    </row>
    <row r="392">
      <c r="B392" s="20"/>
      <c r="D392" s="41"/>
      <c r="E392" s="41"/>
      <c r="F392" s="20"/>
      <c r="G392" s="20"/>
      <c r="I392" s="41"/>
      <c r="M392" s="20"/>
    </row>
    <row r="393">
      <c r="B393" s="20"/>
      <c r="D393" s="41"/>
      <c r="E393" s="41"/>
      <c r="F393" s="20"/>
      <c r="G393" s="20"/>
      <c r="I393" s="41"/>
      <c r="M393" s="20"/>
    </row>
    <row r="394">
      <c r="B394" s="20"/>
      <c r="D394" s="41"/>
      <c r="E394" s="41"/>
      <c r="F394" s="20"/>
      <c r="G394" s="20"/>
      <c r="I394" s="41"/>
      <c r="M394" s="20"/>
    </row>
    <row r="395">
      <c r="B395" s="20"/>
      <c r="D395" s="41"/>
      <c r="E395" s="41"/>
      <c r="F395" s="20"/>
      <c r="G395" s="20"/>
      <c r="I395" s="41"/>
      <c r="M395" s="20"/>
    </row>
    <row r="396">
      <c r="B396" s="20"/>
      <c r="D396" s="41"/>
      <c r="E396" s="41"/>
      <c r="F396" s="20"/>
      <c r="G396" s="20"/>
      <c r="I396" s="41"/>
      <c r="M396" s="20"/>
    </row>
    <row r="397">
      <c r="B397" s="20"/>
      <c r="D397" s="41"/>
      <c r="E397" s="41"/>
      <c r="F397" s="20"/>
      <c r="G397" s="20"/>
      <c r="I397" s="41"/>
      <c r="M397" s="20"/>
    </row>
    <row r="398">
      <c r="B398" s="20"/>
      <c r="D398" s="41"/>
      <c r="E398" s="41"/>
      <c r="F398" s="20"/>
      <c r="G398" s="20"/>
      <c r="I398" s="41"/>
      <c r="M398" s="20"/>
    </row>
    <row r="399">
      <c r="B399" s="20"/>
      <c r="D399" s="41"/>
      <c r="E399" s="41"/>
      <c r="F399" s="20"/>
      <c r="G399" s="20"/>
      <c r="I399" s="41"/>
      <c r="M399" s="20"/>
    </row>
    <row r="400">
      <c r="B400" s="20"/>
      <c r="D400" s="41"/>
      <c r="E400" s="41"/>
      <c r="F400" s="20"/>
      <c r="G400" s="20"/>
      <c r="I400" s="41"/>
      <c r="M400" s="20"/>
    </row>
    <row r="401">
      <c r="B401" s="20"/>
      <c r="D401" s="41"/>
      <c r="E401" s="41"/>
      <c r="F401" s="20"/>
      <c r="G401" s="20"/>
      <c r="I401" s="41"/>
      <c r="M401" s="20"/>
    </row>
    <row r="402">
      <c r="B402" s="20"/>
      <c r="D402" s="41"/>
      <c r="E402" s="41"/>
      <c r="F402" s="20"/>
      <c r="G402" s="20"/>
      <c r="I402" s="41"/>
      <c r="M402" s="20"/>
    </row>
    <row r="403">
      <c r="B403" s="20"/>
      <c r="D403" s="41"/>
      <c r="E403" s="41"/>
      <c r="F403" s="20"/>
      <c r="G403" s="20"/>
      <c r="I403" s="41"/>
      <c r="M403" s="20"/>
    </row>
    <row r="404">
      <c r="B404" s="20"/>
      <c r="D404" s="41"/>
      <c r="E404" s="41"/>
      <c r="F404" s="20"/>
      <c r="G404" s="20"/>
      <c r="I404" s="41"/>
      <c r="M404" s="20"/>
    </row>
    <row r="405">
      <c r="B405" s="20"/>
      <c r="D405" s="41"/>
      <c r="E405" s="41"/>
      <c r="F405" s="20"/>
      <c r="G405" s="20"/>
      <c r="I405" s="41"/>
      <c r="M405" s="20"/>
    </row>
    <row r="406">
      <c r="B406" s="20"/>
      <c r="D406" s="41"/>
      <c r="E406" s="41"/>
      <c r="F406" s="20"/>
      <c r="G406" s="20"/>
      <c r="I406" s="41"/>
      <c r="M406" s="20"/>
    </row>
    <row r="407">
      <c r="B407" s="20"/>
      <c r="D407" s="41"/>
      <c r="E407" s="41"/>
      <c r="F407" s="20"/>
      <c r="G407" s="20"/>
      <c r="I407" s="41"/>
      <c r="M407" s="20"/>
    </row>
    <row r="408">
      <c r="B408" s="20"/>
      <c r="D408" s="41"/>
      <c r="E408" s="41"/>
      <c r="F408" s="20"/>
      <c r="G408" s="20"/>
      <c r="I408" s="41"/>
      <c r="M408" s="20"/>
    </row>
    <row r="409">
      <c r="B409" s="20"/>
      <c r="D409" s="41"/>
      <c r="E409" s="41"/>
      <c r="F409" s="20"/>
      <c r="G409" s="20"/>
      <c r="I409" s="41"/>
      <c r="M409" s="20"/>
    </row>
    <row r="410">
      <c r="B410" s="20"/>
      <c r="D410" s="41"/>
      <c r="E410" s="41"/>
      <c r="F410" s="20"/>
      <c r="G410" s="20"/>
      <c r="I410" s="41"/>
      <c r="M410" s="20"/>
    </row>
    <row r="411">
      <c r="B411" s="20"/>
      <c r="D411" s="41"/>
      <c r="E411" s="41"/>
      <c r="F411" s="20"/>
      <c r="G411" s="20"/>
      <c r="I411" s="41"/>
      <c r="M411" s="20"/>
    </row>
    <row r="412">
      <c r="B412" s="20"/>
      <c r="D412" s="41"/>
      <c r="E412" s="41"/>
      <c r="F412" s="20"/>
      <c r="G412" s="20"/>
      <c r="I412" s="41"/>
      <c r="M412" s="20"/>
    </row>
    <row r="413">
      <c r="B413" s="20"/>
      <c r="D413" s="41"/>
      <c r="E413" s="41"/>
      <c r="F413" s="20"/>
      <c r="G413" s="20"/>
      <c r="I413" s="41"/>
      <c r="M413" s="20"/>
    </row>
    <row r="414">
      <c r="B414" s="20"/>
      <c r="D414" s="41"/>
      <c r="E414" s="41"/>
      <c r="F414" s="20"/>
      <c r="G414" s="20"/>
      <c r="I414" s="41"/>
      <c r="M414" s="20"/>
    </row>
    <row r="415">
      <c r="B415" s="20"/>
      <c r="D415" s="41"/>
      <c r="E415" s="41"/>
      <c r="F415" s="20"/>
      <c r="G415" s="20"/>
      <c r="I415" s="41"/>
      <c r="M415" s="20"/>
    </row>
    <row r="416">
      <c r="B416" s="20"/>
      <c r="D416" s="41"/>
      <c r="E416" s="41"/>
      <c r="F416" s="20"/>
      <c r="G416" s="20"/>
      <c r="I416" s="41"/>
      <c r="M416" s="20"/>
    </row>
    <row r="417">
      <c r="B417" s="20"/>
      <c r="D417" s="41"/>
      <c r="E417" s="41"/>
      <c r="F417" s="20"/>
      <c r="G417" s="20"/>
      <c r="I417" s="41"/>
      <c r="M417" s="20"/>
    </row>
    <row r="418">
      <c r="B418" s="20"/>
      <c r="D418" s="41"/>
      <c r="E418" s="41"/>
      <c r="F418" s="20"/>
      <c r="G418" s="20"/>
      <c r="I418" s="41"/>
      <c r="M418" s="20"/>
    </row>
    <row r="419">
      <c r="B419" s="20"/>
      <c r="D419" s="41"/>
      <c r="E419" s="41"/>
      <c r="F419" s="20"/>
      <c r="G419" s="20"/>
      <c r="I419" s="41"/>
      <c r="M419" s="20"/>
    </row>
    <row r="420">
      <c r="B420" s="20"/>
      <c r="D420" s="41"/>
      <c r="E420" s="41"/>
      <c r="F420" s="20"/>
      <c r="G420" s="20"/>
      <c r="I420" s="41"/>
      <c r="M420" s="20"/>
    </row>
    <row r="421">
      <c r="B421" s="20"/>
      <c r="D421" s="41"/>
      <c r="E421" s="41"/>
      <c r="F421" s="20"/>
      <c r="G421" s="20"/>
      <c r="I421" s="41"/>
      <c r="M421" s="20"/>
    </row>
    <row r="422">
      <c r="B422" s="20"/>
      <c r="D422" s="41"/>
      <c r="E422" s="41"/>
      <c r="F422" s="20"/>
      <c r="G422" s="20"/>
      <c r="I422" s="41"/>
      <c r="M422" s="20"/>
    </row>
    <row r="423">
      <c r="B423" s="20"/>
      <c r="D423" s="41"/>
      <c r="E423" s="41"/>
      <c r="F423" s="20"/>
      <c r="G423" s="20"/>
      <c r="I423" s="41"/>
      <c r="M423" s="20"/>
    </row>
    <row r="424">
      <c r="B424" s="20"/>
      <c r="D424" s="41"/>
      <c r="E424" s="41"/>
      <c r="F424" s="20"/>
      <c r="G424" s="20"/>
      <c r="I424" s="41"/>
      <c r="M424" s="20"/>
    </row>
    <row r="425">
      <c r="B425" s="20"/>
      <c r="D425" s="41"/>
      <c r="E425" s="41"/>
      <c r="F425" s="20"/>
      <c r="G425" s="20"/>
      <c r="I425" s="41"/>
      <c r="M425" s="20"/>
    </row>
    <row r="426">
      <c r="B426" s="20"/>
      <c r="D426" s="41"/>
      <c r="E426" s="41"/>
      <c r="F426" s="20"/>
      <c r="G426" s="20"/>
      <c r="I426" s="41"/>
      <c r="M426" s="20"/>
    </row>
    <row r="427">
      <c r="B427" s="20"/>
      <c r="D427" s="41"/>
      <c r="E427" s="41"/>
      <c r="F427" s="20"/>
      <c r="G427" s="20"/>
      <c r="I427" s="41"/>
      <c r="M427" s="20"/>
    </row>
    <row r="428">
      <c r="B428" s="20"/>
      <c r="D428" s="41"/>
      <c r="E428" s="41"/>
      <c r="F428" s="20"/>
      <c r="G428" s="20"/>
      <c r="I428" s="41"/>
      <c r="M428" s="20"/>
    </row>
    <row r="429">
      <c r="B429" s="20"/>
      <c r="D429" s="41"/>
      <c r="E429" s="41"/>
      <c r="F429" s="20"/>
      <c r="G429" s="20"/>
      <c r="I429" s="41"/>
      <c r="M429" s="20"/>
    </row>
    <row r="430">
      <c r="B430" s="20"/>
      <c r="D430" s="41"/>
      <c r="E430" s="41"/>
      <c r="F430" s="20"/>
      <c r="G430" s="20"/>
      <c r="I430" s="41"/>
      <c r="M430" s="20"/>
    </row>
    <row r="431">
      <c r="B431" s="20"/>
      <c r="D431" s="41"/>
      <c r="E431" s="41"/>
      <c r="F431" s="20"/>
      <c r="G431" s="20"/>
      <c r="I431" s="41"/>
      <c r="M431" s="20"/>
    </row>
    <row r="432">
      <c r="B432" s="20"/>
      <c r="D432" s="41"/>
      <c r="E432" s="41"/>
      <c r="F432" s="20"/>
      <c r="G432" s="20"/>
      <c r="I432" s="41"/>
      <c r="M432" s="20"/>
    </row>
    <row r="433">
      <c r="B433" s="20"/>
      <c r="D433" s="41"/>
      <c r="E433" s="41"/>
      <c r="F433" s="20"/>
      <c r="G433" s="20"/>
      <c r="I433" s="41"/>
      <c r="M433" s="20"/>
    </row>
    <row r="434">
      <c r="B434" s="20"/>
      <c r="D434" s="41"/>
      <c r="E434" s="41"/>
      <c r="F434" s="20"/>
      <c r="G434" s="20"/>
      <c r="I434" s="41"/>
      <c r="M434" s="20"/>
    </row>
    <row r="435">
      <c r="B435" s="20"/>
      <c r="D435" s="41"/>
      <c r="E435" s="41"/>
      <c r="F435" s="20"/>
      <c r="G435" s="20"/>
      <c r="I435" s="41"/>
      <c r="M435" s="20"/>
    </row>
    <row r="436">
      <c r="B436" s="20"/>
      <c r="D436" s="41"/>
      <c r="E436" s="41"/>
      <c r="F436" s="20"/>
      <c r="G436" s="20"/>
      <c r="I436" s="41"/>
      <c r="M436" s="20"/>
    </row>
    <row r="437">
      <c r="B437" s="20"/>
      <c r="D437" s="41"/>
      <c r="E437" s="41"/>
      <c r="F437" s="20"/>
      <c r="G437" s="20"/>
      <c r="I437" s="41"/>
      <c r="M437" s="20"/>
    </row>
    <row r="438">
      <c r="B438" s="20"/>
      <c r="D438" s="41"/>
      <c r="E438" s="41"/>
      <c r="F438" s="20"/>
      <c r="G438" s="20"/>
      <c r="I438" s="41"/>
      <c r="M438" s="20"/>
    </row>
    <row r="439">
      <c r="B439" s="20"/>
      <c r="D439" s="41"/>
      <c r="E439" s="41"/>
      <c r="F439" s="20"/>
      <c r="G439" s="20"/>
      <c r="I439" s="41"/>
      <c r="M439" s="20"/>
    </row>
    <row r="440">
      <c r="B440" s="20"/>
      <c r="D440" s="41"/>
      <c r="E440" s="41"/>
      <c r="F440" s="20"/>
      <c r="G440" s="20"/>
      <c r="I440" s="41"/>
      <c r="M440" s="20"/>
    </row>
    <row r="441">
      <c r="B441" s="20"/>
      <c r="D441" s="41"/>
      <c r="E441" s="41"/>
      <c r="F441" s="20"/>
      <c r="G441" s="20"/>
      <c r="I441" s="41"/>
      <c r="M441" s="20"/>
    </row>
    <row r="442">
      <c r="B442" s="20"/>
      <c r="D442" s="41"/>
      <c r="E442" s="41"/>
      <c r="F442" s="20"/>
      <c r="G442" s="20"/>
      <c r="I442" s="41"/>
      <c r="M442" s="20"/>
    </row>
    <row r="443">
      <c r="B443" s="20"/>
      <c r="D443" s="41"/>
      <c r="E443" s="41"/>
      <c r="F443" s="20"/>
      <c r="G443" s="20"/>
      <c r="I443" s="41"/>
      <c r="M443" s="20"/>
    </row>
    <row r="444">
      <c r="B444" s="20"/>
      <c r="D444" s="41"/>
      <c r="E444" s="41"/>
      <c r="F444" s="20"/>
      <c r="G444" s="20"/>
      <c r="I444" s="41"/>
      <c r="M444" s="20"/>
    </row>
    <row r="445">
      <c r="B445" s="20"/>
      <c r="D445" s="41"/>
      <c r="E445" s="41"/>
      <c r="F445" s="20"/>
      <c r="G445" s="20"/>
      <c r="I445" s="41"/>
      <c r="M445" s="20"/>
    </row>
    <row r="446">
      <c r="B446" s="20"/>
      <c r="D446" s="41"/>
      <c r="E446" s="41"/>
      <c r="F446" s="20"/>
      <c r="G446" s="20"/>
      <c r="I446" s="41"/>
      <c r="M446" s="20"/>
    </row>
    <row r="447">
      <c r="B447" s="20"/>
      <c r="D447" s="41"/>
      <c r="E447" s="41"/>
      <c r="F447" s="20"/>
      <c r="G447" s="20"/>
      <c r="I447" s="41"/>
      <c r="M447" s="20"/>
    </row>
    <row r="448">
      <c r="B448" s="20"/>
      <c r="D448" s="41"/>
      <c r="E448" s="41"/>
      <c r="F448" s="20"/>
      <c r="G448" s="20"/>
      <c r="I448" s="41"/>
      <c r="M448" s="20"/>
    </row>
    <row r="449">
      <c r="B449" s="20"/>
      <c r="D449" s="41"/>
      <c r="E449" s="41"/>
      <c r="F449" s="20"/>
      <c r="G449" s="20"/>
      <c r="I449" s="41"/>
      <c r="M449" s="20"/>
    </row>
    <row r="450">
      <c r="B450" s="20"/>
      <c r="D450" s="41"/>
      <c r="E450" s="41"/>
      <c r="F450" s="20"/>
      <c r="G450" s="20"/>
      <c r="I450" s="41"/>
      <c r="M450" s="20"/>
    </row>
    <row r="451">
      <c r="B451" s="20"/>
      <c r="D451" s="41"/>
      <c r="E451" s="41"/>
      <c r="F451" s="20"/>
      <c r="G451" s="20"/>
      <c r="I451" s="41"/>
      <c r="M451" s="20"/>
    </row>
    <row r="452">
      <c r="B452" s="20"/>
      <c r="D452" s="41"/>
      <c r="E452" s="41"/>
      <c r="F452" s="20"/>
      <c r="G452" s="20"/>
      <c r="I452" s="41"/>
      <c r="M452" s="20"/>
    </row>
    <row r="453">
      <c r="B453" s="20"/>
      <c r="D453" s="41"/>
      <c r="E453" s="41"/>
      <c r="F453" s="20"/>
      <c r="G453" s="20"/>
      <c r="I453" s="41"/>
      <c r="M453" s="20"/>
    </row>
    <row r="454">
      <c r="B454" s="20"/>
      <c r="D454" s="41"/>
      <c r="E454" s="41"/>
      <c r="F454" s="20"/>
      <c r="G454" s="20"/>
      <c r="I454" s="41"/>
      <c r="M454" s="20"/>
    </row>
    <row r="455">
      <c r="B455" s="20"/>
      <c r="D455" s="41"/>
      <c r="E455" s="41"/>
      <c r="F455" s="20"/>
      <c r="G455" s="20"/>
      <c r="I455" s="41"/>
      <c r="M455" s="20"/>
    </row>
    <row r="456">
      <c r="B456" s="20"/>
      <c r="D456" s="41"/>
      <c r="E456" s="41"/>
      <c r="F456" s="20"/>
      <c r="G456" s="20"/>
      <c r="I456" s="41"/>
      <c r="M456" s="20"/>
    </row>
    <row r="457">
      <c r="B457" s="20"/>
      <c r="D457" s="41"/>
      <c r="E457" s="41"/>
      <c r="F457" s="20"/>
      <c r="G457" s="20"/>
      <c r="I457" s="41"/>
      <c r="M457" s="20"/>
    </row>
    <row r="458">
      <c r="B458" s="20"/>
      <c r="D458" s="41"/>
      <c r="E458" s="41"/>
      <c r="F458" s="20"/>
      <c r="G458" s="20"/>
      <c r="I458" s="41"/>
      <c r="M458" s="20"/>
    </row>
    <row r="459">
      <c r="B459" s="20"/>
      <c r="D459" s="41"/>
      <c r="E459" s="41"/>
      <c r="F459" s="20"/>
      <c r="G459" s="20"/>
      <c r="I459" s="41"/>
      <c r="M459" s="20"/>
    </row>
    <row r="460">
      <c r="B460" s="20"/>
      <c r="D460" s="41"/>
      <c r="E460" s="41"/>
      <c r="F460" s="20"/>
      <c r="G460" s="20"/>
      <c r="I460" s="41"/>
      <c r="M460" s="20"/>
    </row>
    <row r="461">
      <c r="B461" s="20"/>
      <c r="D461" s="41"/>
      <c r="E461" s="41"/>
      <c r="F461" s="20"/>
      <c r="G461" s="20"/>
      <c r="I461" s="41"/>
      <c r="M461" s="20"/>
    </row>
    <row r="462">
      <c r="B462" s="20"/>
      <c r="D462" s="41"/>
      <c r="E462" s="41"/>
      <c r="F462" s="20"/>
      <c r="G462" s="20"/>
      <c r="I462" s="41"/>
      <c r="M462" s="20"/>
    </row>
    <row r="463">
      <c r="B463" s="20"/>
      <c r="D463" s="41"/>
      <c r="E463" s="41"/>
      <c r="F463" s="20"/>
      <c r="G463" s="20"/>
      <c r="I463" s="41"/>
      <c r="M463" s="20"/>
    </row>
    <row r="464">
      <c r="B464" s="20"/>
      <c r="D464" s="41"/>
      <c r="E464" s="41"/>
      <c r="F464" s="20"/>
      <c r="G464" s="20"/>
      <c r="I464" s="41"/>
      <c r="M464" s="20"/>
    </row>
    <row r="465">
      <c r="B465" s="20"/>
      <c r="D465" s="41"/>
      <c r="E465" s="41"/>
      <c r="F465" s="20"/>
      <c r="G465" s="20"/>
      <c r="I465" s="41"/>
      <c r="M465" s="20"/>
    </row>
    <row r="466">
      <c r="B466" s="20"/>
      <c r="D466" s="41"/>
      <c r="E466" s="41"/>
      <c r="F466" s="20"/>
      <c r="G466" s="20"/>
      <c r="I466" s="41"/>
      <c r="M466" s="20"/>
    </row>
    <row r="467">
      <c r="B467" s="20"/>
      <c r="D467" s="41"/>
      <c r="E467" s="41"/>
      <c r="F467" s="20"/>
      <c r="G467" s="20"/>
      <c r="I467" s="41"/>
      <c r="M467" s="20"/>
    </row>
    <row r="468">
      <c r="B468" s="20"/>
      <c r="D468" s="41"/>
      <c r="E468" s="41"/>
      <c r="F468" s="20"/>
      <c r="G468" s="20"/>
      <c r="I468" s="41"/>
      <c r="M468" s="20"/>
    </row>
    <row r="469">
      <c r="B469" s="20"/>
      <c r="D469" s="41"/>
      <c r="E469" s="41"/>
      <c r="F469" s="20"/>
      <c r="G469" s="20"/>
      <c r="I469" s="41"/>
      <c r="M469" s="20"/>
    </row>
    <row r="470">
      <c r="B470" s="20"/>
      <c r="D470" s="41"/>
      <c r="E470" s="41"/>
      <c r="F470" s="20"/>
      <c r="G470" s="20"/>
      <c r="I470" s="41"/>
      <c r="M470" s="20"/>
    </row>
    <row r="471">
      <c r="B471" s="20"/>
      <c r="D471" s="41"/>
      <c r="E471" s="41"/>
      <c r="F471" s="20"/>
      <c r="G471" s="20"/>
      <c r="I471" s="41"/>
      <c r="M471" s="20"/>
    </row>
    <row r="472">
      <c r="B472" s="20"/>
      <c r="D472" s="41"/>
      <c r="E472" s="41"/>
      <c r="F472" s="20"/>
      <c r="G472" s="20"/>
      <c r="I472" s="41"/>
      <c r="M472" s="20"/>
    </row>
    <row r="473">
      <c r="B473" s="20"/>
      <c r="D473" s="41"/>
      <c r="E473" s="41"/>
      <c r="F473" s="20"/>
      <c r="G473" s="20"/>
      <c r="I473" s="41"/>
      <c r="M473" s="20"/>
    </row>
    <row r="474">
      <c r="B474" s="20"/>
      <c r="D474" s="41"/>
      <c r="E474" s="41"/>
      <c r="F474" s="20"/>
      <c r="G474" s="20"/>
      <c r="I474" s="41"/>
      <c r="M474" s="20"/>
    </row>
    <row r="475">
      <c r="B475" s="20"/>
      <c r="D475" s="41"/>
      <c r="E475" s="41"/>
      <c r="F475" s="20"/>
      <c r="G475" s="20"/>
      <c r="I475" s="41"/>
      <c r="M475" s="20"/>
    </row>
    <row r="476">
      <c r="B476" s="20"/>
      <c r="D476" s="41"/>
      <c r="E476" s="41"/>
      <c r="F476" s="20"/>
      <c r="G476" s="20"/>
      <c r="I476" s="41"/>
      <c r="M476" s="20"/>
    </row>
    <row r="477">
      <c r="B477" s="20"/>
      <c r="D477" s="41"/>
      <c r="E477" s="41"/>
      <c r="F477" s="20"/>
      <c r="G477" s="20"/>
      <c r="I477" s="41"/>
      <c r="M477" s="20"/>
    </row>
    <row r="478">
      <c r="B478" s="20"/>
      <c r="D478" s="41"/>
      <c r="E478" s="41"/>
      <c r="F478" s="20"/>
      <c r="G478" s="20"/>
      <c r="I478" s="41"/>
      <c r="M478" s="20"/>
    </row>
    <row r="479">
      <c r="B479" s="20"/>
      <c r="D479" s="41"/>
      <c r="E479" s="41"/>
      <c r="F479" s="20"/>
      <c r="G479" s="20"/>
      <c r="I479" s="41"/>
      <c r="M479" s="20"/>
    </row>
    <row r="480">
      <c r="B480" s="20"/>
      <c r="D480" s="41"/>
      <c r="E480" s="41"/>
      <c r="F480" s="20"/>
      <c r="G480" s="20"/>
      <c r="I480" s="41"/>
      <c r="M480" s="20"/>
    </row>
    <row r="481">
      <c r="B481" s="20"/>
      <c r="D481" s="41"/>
      <c r="E481" s="41"/>
      <c r="F481" s="20"/>
      <c r="G481" s="20"/>
      <c r="I481" s="41"/>
      <c r="M481" s="20"/>
    </row>
    <row r="482">
      <c r="B482" s="20"/>
      <c r="D482" s="41"/>
      <c r="E482" s="41"/>
      <c r="F482" s="20"/>
      <c r="G482" s="20"/>
      <c r="I482" s="41"/>
      <c r="M482" s="20"/>
    </row>
    <row r="483">
      <c r="B483" s="20"/>
      <c r="D483" s="41"/>
      <c r="E483" s="41"/>
      <c r="F483" s="20"/>
      <c r="G483" s="20"/>
      <c r="I483" s="41"/>
      <c r="M483" s="20"/>
    </row>
    <row r="484">
      <c r="B484" s="20"/>
      <c r="D484" s="41"/>
      <c r="E484" s="41"/>
      <c r="F484" s="20"/>
      <c r="G484" s="20"/>
      <c r="I484" s="41"/>
      <c r="M484" s="20"/>
    </row>
    <row r="485">
      <c r="B485" s="20"/>
      <c r="D485" s="41"/>
      <c r="E485" s="41"/>
      <c r="F485" s="20"/>
      <c r="G485" s="20"/>
      <c r="I485" s="41"/>
      <c r="M485" s="20"/>
    </row>
    <row r="486">
      <c r="B486" s="20"/>
      <c r="D486" s="41"/>
      <c r="E486" s="41"/>
      <c r="F486" s="20"/>
      <c r="G486" s="20"/>
      <c r="I486" s="41"/>
      <c r="M486" s="20"/>
    </row>
    <row r="487">
      <c r="B487" s="20"/>
      <c r="D487" s="41"/>
      <c r="E487" s="41"/>
      <c r="F487" s="20"/>
      <c r="G487" s="20"/>
      <c r="I487" s="41"/>
      <c r="M487" s="20"/>
    </row>
    <row r="488">
      <c r="B488" s="20"/>
      <c r="D488" s="41"/>
      <c r="E488" s="41"/>
      <c r="F488" s="20"/>
      <c r="G488" s="20"/>
      <c r="I488" s="41"/>
      <c r="M488" s="20"/>
    </row>
    <row r="489">
      <c r="B489" s="20"/>
      <c r="D489" s="41"/>
      <c r="E489" s="41"/>
      <c r="F489" s="20"/>
      <c r="G489" s="20"/>
      <c r="I489" s="41"/>
      <c r="M489" s="20"/>
    </row>
    <row r="490">
      <c r="B490" s="20"/>
      <c r="D490" s="41"/>
      <c r="E490" s="41"/>
      <c r="F490" s="20"/>
      <c r="G490" s="20"/>
      <c r="I490" s="41"/>
      <c r="M490" s="20"/>
    </row>
    <row r="491">
      <c r="B491" s="20"/>
      <c r="D491" s="41"/>
      <c r="E491" s="41"/>
      <c r="F491" s="20"/>
      <c r="G491" s="20"/>
      <c r="I491" s="41"/>
      <c r="M491" s="20"/>
    </row>
    <row r="492">
      <c r="B492" s="20"/>
      <c r="D492" s="41"/>
      <c r="E492" s="41"/>
      <c r="F492" s="20"/>
      <c r="G492" s="20"/>
      <c r="I492" s="41"/>
      <c r="M492" s="20"/>
    </row>
    <row r="493">
      <c r="B493" s="20"/>
      <c r="D493" s="41"/>
      <c r="E493" s="41"/>
      <c r="F493" s="20"/>
      <c r="G493" s="20"/>
      <c r="I493" s="41"/>
      <c r="M493" s="20"/>
    </row>
    <row r="494">
      <c r="B494" s="20"/>
      <c r="D494" s="41"/>
      <c r="E494" s="41"/>
      <c r="F494" s="20"/>
      <c r="G494" s="20"/>
      <c r="I494" s="41"/>
      <c r="M494" s="20"/>
    </row>
    <row r="495">
      <c r="B495" s="20"/>
      <c r="D495" s="41"/>
      <c r="E495" s="41"/>
      <c r="F495" s="20"/>
      <c r="G495" s="20"/>
      <c r="I495" s="41"/>
      <c r="M495" s="20"/>
    </row>
    <row r="496">
      <c r="B496" s="20"/>
      <c r="D496" s="41"/>
      <c r="E496" s="41"/>
      <c r="F496" s="20"/>
      <c r="G496" s="20"/>
      <c r="I496" s="41"/>
      <c r="M496" s="20"/>
    </row>
    <row r="497">
      <c r="B497" s="20"/>
      <c r="D497" s="41"/>
      <c r="E497" s="41"/>
      <c r="F497" s="20"/>
      <c r="G497" s="20"/>
      <c r="I497" s="41"/>
      <c r="M497" s="20"/>
    </row>
    <row r="498">
      <c r="B498" s="20"/>
      <c r="D498" s="41"/>
      <c r="E498" s="41"/>
      <c r="F498" s="20"/>
      <c r="G498" s="20"/>
      <c r="I498" s="41"/>
      <c r="M498" s="20"/>
    </row>
    <row r="499">
      <c r="B499" s="20"/>
      <c r="D499" s="41"/>
      <c r="E499" s="41"/>
      <c r="F499" s="20"/>
      <c r="G499" s="20"/>
      <c r="I499" s="41"/>
      <c r="M499" s="20"/>
    </row>
    <row r="500">
      <c r="B500" s="20"/>
      <c r="D500" s="41"/>
      <c r="E500" s="41"/>
      <c r="F500" s="20"/>
      <c r="G500" s="20"/>
      <c r="I500" s="41"/>
      <c r="M500" s="20"/>
    </row>
    <row r="501">
      <c r="B501" s="20"/>
      <c r="D501" s="41"/>
      <c r="E501" s="41"/>
      <c r="F501" s="20"/>
      <c r="G501" s="20"/>
      <c r="I501" s="41"/>
      <c r="M501" s="20"/>
    </row>
    <row r="502">
      <c r="B502" s="20"/>
      <c r="D502" s="41"/>
      <c r="E502" s="41"/>
      <c r="F502" s="20"/>
      <c r="G502" s="20"/>
      <c r="I502" s="41"/>
      <c r="M502" s="20"/>
    </row>
    <row r="503">
      <c r="B503" s="20"/>
      <c r="D503" s="41"/>
      <c r="E503" s="41"/>
      <c r="F503" s="20"/>
      <c r="G503" s="20"/>
      <c r="I503" s="41"/>
      <c r="M503" s="20"/>
    </row>
    <row r="504">
      <c r="B504" s="20"/>
      <c r="D504" s="41"/>
      <c r="E504" s="41"/>
      <c r="F504" s="20"/>
      <c r="G504" s="20"/>
      <c r="I504" s="41"/>
      <c r="M504" s="20"/>
    </row>
    <row r="505">
      <c r="B505" s="20"/>
      <c r="D505" s="41"/>
      <c r="E505" s="41"/>
      <c r="F505" s="20"/>
      <c r="G505" s="20"/>
      <c r="I505" s="41"/>
      <c r="M505" s="20"/>
    </row>
    <row r="506">
      <c r="B506" s="20"/>
      <c r="D506" s="41"/>
      <c r="E506" s="41"/>
      <c r="F506" s="20"/>
      <c r="G506" s="20"/>
      <c r="I506" s="41"/>
      <c r="M506" s="20"/>
    </row>
    <row r="507">
      <c r="B507" s="20"/>
      <c r="D507" s="41"/>
      <c r="E507" s="41"/>
      <c r="F507" s="20"/>
      <c r="G507" s="20"/>
      <c r="I507" s="41"/>
      <c r="M507" s="20"/>
    </row>
    <row r="508">
      <c r="B508" s="20"/>
      <c r="D508" s="41"/>
      <c r="E508" s="41"/>
      <c r="F508" s="20"/>
      <c r="G508" s="20"/>
      <c r="I508" s="41"/>
      <c r="M508" s="20"/>
    </row>
    <row r="509">
      <c r="B509" s="20"/>
      <c r="D509" s="41"/>
      <c r="E509" s="41"/>
      <c r="F509" s="20"/>
      <c r="G509" s="20"/>
      <c r="I509" s="41"/>
      <c r="M509" s="20"/>
    </row>
    <row r="510">
      <c r="B510" s="20"/>
      <c r="D510" s="41"/>
      <c r="E510" s="41"/>
      <c r="F510" s="20"/>
      <c r="G510" s="20"/>
      <c r="I510" s="41"/>
      <c r="M510" s="20"/>
    </row>
    <row r="511">
      <c r="B511" s="20"/>
      <c r="D511" s="41"/>
      <c r="E511" s="41"/>
      <c r="F511" s="20"/>
      <c r="G511" s="20"/>
      <c r="I511" s="41"/>
      <c r="M511" s="20"/>
    </row>
    <row r="512">
      <c r="B512" s="20"/>
      <c r="D512" s="41"/>
      <c r="E512" s="41"/>
      <c r="F512" s="20"/>
      <c r="G512" s="20"/>
      <c r="I512" s="41"/>
      <c r="M512" s="20"/>
    </row>
    <row r="513">
      <c r="B513" s="20"/>
      <c r="D513" s="41"/>
      <c r="E513" s="41"/>
      <c r="F513" s="20"/>
      <c r="G513" s="20"/>
      <c r="I513" s="41"/>
      <c r="M513" s="20"/>
    </row>
    <row r="514">
      <c r="B514" s="20"/>
      <c r="D514" s="41"/>
      <c r="E514" s="41"/>
      <c r="F514" s="20"/>
      <c r="G514" s="20"/>
      <c r="I514" s="41"/>
      <c r="M514" s="20"/>
    </row>
    <row r="515">
      <c r="B515" s="20"/>
      <c r="D515" s="41"/>
      <c r="E515" s="41"/>
      <c r="F515" s="20"/>
      <c r="G515" s="20"/>
      <c r="I515" s="41"/>
      <c r="M515" s="20"/>
    </row>
    <row r="516">
      <c r="B516" s="20"/>
      <c r="D516" s="41"/>
      <c r="E516" s="41"/>
      <c r="F516" s="20"/>
      <c r="G516" s="20"/>
      <c r="I516" s="41"/>
      <c r="M516" s="20"/>
    </row>
    <row r="517">
      <c r="B517" s="20"/>
      <c r="D517" s="41"/>
      <c r="E517" s="41"/>
      <c r="F517" s="20"/>
      <c r="G517" s="20"/>
      <c r="I517" s="41"/>
      <c r="M517" s="20"/>
    </row>
    <row r="518">
      <c r="B518" s="20"/>
      <c r="D518" s="41"/>
      <c r="E518" s="41"/>
      <c r="F518" s="20"/>
      <c r="G518" s="20"/>
      <c r="I518" s="41"/>
      <c r="M518" s="20"/>
    </row>
    <row r="519">
      <c r="B519" s="20"/>
      <c r="D519" s="41"/>
      <c r="E519" s="41"/>
      <c r="F519" s="20"/>
      <c r="G519" s="20"/>
      <c r="I519" s="41"/>
      <c r="M519" s="20"/>
    </row>
    <row r="520">
      <c r="B520" s="20"/>
      <c r="D520" s="41"/>
      <c r="E520" s="41"/>
      <c r="F520" s="20"/>
      <c r="G520" s="20"/>
      <c r="I520" s="41"/>
      <c r="M520" s="20"/>
    </row>
    <row r="521">
      <c r="B521" s="20"/>
      <c r="D521" s="41"/>
      <c r="E521" s="41"/>
      <c r="F521" s="20"/>
      <c r="G521" s="20"/>
      <c r="I521" s="41"/>
      <c r="M521" s="20"/>
    </row>
    <row r="522">
      <c r="B522" s="20"/>
      <c r="D522" s="41"/>
      <c r="E522" s="41"/>
      <c r="F522" s="20"/>
      <c r="G522" s="20"/>
      <c r="I522" s="41"/>
      <c r="M522" s="20"/>
    </row>
    <row r="523">
      <c r="B523" s="20"/>
      <c r="D523" s="41"/>
      <c r="E523" s="41"/>
      <c r="F523" s="20"/>
      <c r="G523" s="20"/>
      <c r="I523" s="41"/>
      <c r="M523" s="20"/>
    </row>
    <row r="524">
      <c r="B524" s="20"/>
      <c r="D524" s="41"/>
      <c r="E524" s="41"/>
      <c r="F524" s="20"/>
      <c r="G524" s="20"/>
      <c r="I524" s="41"/>
      <c r="M524" s="20"/>
    </row>
    <row r="525">
      <c r="B525" s="20"/>
      <c r="D525" s="41"/>
      <c r="E525" s="41"/>
      <c r="F525" s="20"/>
      <c r="G525" s="20"/>
      <c r="I525" s="41"/>
      <c r="M525" s="20"/>
    </row>
    <row r="526">
      <c r="B526" s="20"/>
      <c r="D526" s="41"/>
      <c r="E526" s="41"/>
      <c r="F526" s="20"/>
      <c r="G526" s="20"/>
      <c r="I526" s="41"/>
      <c r="M526" s="20"/>
    </row>
    <row r="527">
      <c r="B527" s="20"/>
      <c r="D527" s="41"/>
      <c r="E527" s="41"/>
      <c r="F527" s="20"/>
      <c r="G527" s="20"/>
      <c r="I527" s="41"/>
      <c r="M527" s="20"/>
    </row>
    <row r="528">
      <c r="B528" s="20"/>
      <c r="D528" s="41"/>
      <c r="E528" s="41"/>
      <c r="F528" s="20"/>
      <c r="G528" s="20"/>
      <c r="I528" s="41"/>
      <c r="M528" s="20"/>
    </row>
    <row r="529">
      <c r="B529" s="20"/>
      <c r="D529" s="41"/>
      <c r="E529" s="41"/>
      <c r="F529" s="20"/>
      <c r="G529" s="20"/>
      <c r="I529" s="41"/>
      <c r="M529" s="20"/>
    </row>
    <row r="530">
      <c r="B530" s="20"/>
      <c r="D530" s="41"/>
      <c r="E530" s="41"/>
      <c r="F530" s="20"/>
      <c r="G530" s="20"/>
      <c r="I530" s="41"/>
      <c r="M530" s="20"/>
    </row>
    <row r="531">
      <c r="B531" s="20"/>
      <c r="D531" s="41"/>
      <c r="E531" s="41"/>
      <c r="F531" s="20"/>
      <c r="G531" s="20"/>
      <c r="I531" s="41"/>
      <c r="M531" s="20"/>
    </row>
    <row r="532">
      <c r="B532" s="20"/>
      <c r="D532" s="41"/>
      <c r="E532" s="41"/>
      <c r="F532" s="20"/>
      <c r="G532" s="20"/>
      <c r="I532" s="41"/>
      <c r="M532" s="20"/>
    </row>
    <row r="533">
      <c r="B533" s="20"/>
      <c r="D533" s="41"/>
      <c r="E533" s="41"/>
      <c r="F533" s="20"/>
      <c r="G533" s="20"/>
      <c r="I533" s="41"/>
      <c r="M533" s="20"/>
    </row>
    <row r="534">
      <c r="B534" s="20"/>
      <c r="D534" s="41"/>
      <c r="E534" s="41"/>
      <c r="F534" s="20"/>
      <c r="G534" s="20"/>
      <c r="I534" s="41"/>
      <c r="M534" s="20"/>
    </row>
    <row r="535">
      <c r="B535" s="20"/>
      <c r="D535" s="41"/>
      <c r="E535" s="41"/>
      <c r="F535" s="20"/>
      <c r="G535" s="20"/>
      <c r="I535" s="41"/>
      <c r="M535" s="20"/>
    </row>
    <row r="536">
      <c r="B536" s="20"/>
      <c r="D536" s="41"/>
      <c r="E536" s="41"/>
      <c r="F536" s="20"/>
      <c r="G536" s="20"/>
      <c r="I536" s="41"/>
      <c r="M536" s="20"/>
    </row>
    <row r="537">
      <c r="B537" s="20"/>
      <c r="D537" s="41"/>
      <c r="E537" s="41"/>
      <c r="F537" s="20"/>
      <c r="G537" s="20"/>
      <c r="I537" s="41"/>
      <c r="M537" s="20"/>
    </row>
    <row r="538">
      <c r="B538" s="20"/>
      <c r="D538" s="41"/>
      <c r="E538" s="41"/>
      <c r="F538" s="20"/>
      <c r="G538" s="20"/>
      <c r="I538" s="41"/>
      <c r="M538" s="20"/>
    </row>
    <row r="539">
      <c r="B539" s="20"/>
      <c r="D539" s="41"/>
      <c r="E539" s="41"/>
      <c r="F539" s="20"/>
      <c r="G539" s="20"/>
      <c r="I539" s="41"/>
      <c r="M539" s="20"/>
    </row>
    <row r="540">
      <c r="B540" s="20"/>
      <c r="D540" s="41"/>
      <c r="E540" s="41"/>
      <c r="F540" s="20"/>
      <c r="G540" s="20"/>
      <c r="I540" s="41"/>
      <c r="M540" s="20"/>
    </row>
    <row r="541">
      <c r="B541" s="20"/>
      <c r="D541" s="41"/>
      <c r="E541" s="41"/>
      <c r="F541" s="20"/>
      <c r="G541" s="20"/>
      <c r="I541" s="41"/>
      <c r="M541" s="20"/>
    </row>
    <row r="542">
      <c r="B542" s="20"/>
      <c r="D542" s="41"/>
      <c r="E542" s="41"/>
      <c r="F542" s="20"/>
      <c r="G542" s="20"/>
      <c r="I542" s="41"/>
      <c r="M542" s="20"/>
    </row>
    <row r="543">
      <c r="B543" s="20"/>
      <c r="D543" s="41"/>
      <c r="E543" s="41"/>
      <c r="F543" s="20"/>
      <c r="G543" s="20"/>
      <c r="I543" s="41"/>
      <c r="M543" s="20"/>
    </row>
    <row r="544">
      <c r="B544" s="20"/>
      <c r="D544" s="41"/>
      <c r="E544" s="41"/>
      <c r="F544" s="20"/>
      <c r="G544" s="20"/>
      <c r="I544" s="41"/>
      <c r="M544" s="20"/>
    </row>
    <row r="545">
      <c r="B545" s="20"/>
      <c r="D545" s="41"/>
      <c r="E545" s="41"/>
      <c r="F545" s="20"/>
      <c r="G545" s="20"/>
      <c r="I545" s="41"/>
      <c r="M545" s="20"/>
    </row>
    <row r="546">
      <c r="B546" s="20"/>
      <c r="D546" s="41"/>
      <c r="E546" s="41"/>
      <c r="F546" s="20"/>
      <c r="G546" s="20"/>
      <c r="I546" s="41"/>
      <c r="M546" s="20"/>
    </row>
    <row r="547">
      <c r="B547" s="20"/>
      <c r="D547" s="41"/>
      <c r="E547" s="41"/>
      <c r="F547" s="20"/>
      <c r="G547" s="20"/>
      <c r="I547" s="41"/>
      <c r="M547" s="20"/>
    </row>
    <row r="548">
      <c r="B548" s="20"/>
      <c r="D548" s="41"/>
      <c r="E548" s="41"/>
      <c r="F548" s="20"/>
      <c r="G548" s="20"/>
      <c r="I548" s="41"/>
      <c r="M548" s="20"/>
    </row>
    <row r="549">
      <c r="B549" s="20"/>
      <c r="D549" s="41"/>
      <c r="E549" s="41"/>
      <c r="F549" s="20"/>
      <c r="G549" s="20"/>
      <c r="I549" s="41"/>
      <c r="M549" s="20"/>
    </row>
    <row r="550">
      <c r="B550" s="20"/>
      <c r="D550" s="41"/>
      <c r="E550" s="41"/>
      <c r="F550" s="20"/>
      <c r="G550" s="20"/>
      <c r="I550" s="41"/>
      <c r="M550" s="20"/>
    </row>
    <row r="551">
      <c r="B551" s="20"/>
      <c r="D551" s="41"/>
      <c r="E551" s="41"/>
      <c r="F551" s="20"/>
      <c r="G551" s="20"/>
      <c r="I551" s="41"/>
      <c r="M551" s="20"/>
    </row>
    <row r="552">
      <c r="B552" s="20"/>
      <c r="D552" s="41"/>
      <c r="E552" s="41"/>
      <c r="F552" s="20"/>
      <c r="G552" s="20"/>
      <c r="I552" s="41"/>
      <c r="M552" s="20"/>
    </row>
    <row r="553">
      <c r="B553" s="20"/>
      <c r="D553" s="41"/>
      <c r="E553" s="41"/>
      <c r="F553" s="20"/>
      <c r="G553" s="20"/>
      <c r="I553" s="41"/>
      <c r="M553" s="20"/>
    </row>
    <row r="554">
      <c r="B554" s="20"/>
      <c r="D554" s="41"/>
      <c r="E554" s="41"/>
      <c r="F554" s="20"/>
      <c r="G554" s="20"/>
      <c r="I554" s="41"/>
      <c r="M554" s="20"/>
    </row>
    <row r="555">
      <c r="B555" s="20"/>
      <c r="D555" s="41"/>
      <c r="E555" s="41"/>
      <c r="F555" s="20"/>
      <c r="G555" s="20"/>
      <c r="I555" s="41"/>
      <c r="M555" s="20"/>
    </row>
    <row r="556">
      <c r="B556" s="20"/>
      <c r="D556" s="41"/>
      <c r="E556" s="41"/>
      <c r="F556" s="20"/>
      <c r="G556" s="20"/>
      <c r="I556" s="41"/>
      <c r="M556" s="20"/>
    </row>
    <row r="557">
      <c r="B557" s="20"/>
      <c r="D557" s="41"/>
      <c r="E557" s="41"/>
      <c r="F557" s="20"/>
      <c r="G557" s="20"/>
      <c r="I557" s="41"/>
      <c r="M557" s="20"/>
    </row>
    <row r="558">
      <c r="B558" s="20"/>
      <c r="D558" s="41"/>
      <c r="E558" s="41"/>
      <c r="F558" s="20"/>
      <c r="G558" s="20"/>
      <c r="I558" s="41"/>
      <c r="M558" s="20"/>
    </row>
    <row r="559">
      <c r="B559" s="20"/>
      <c r="D559" s="41"/>
      <c r="E559" s="41"/>
      <c r="F559" s="20"/>
      <c r="G559" s="20"/>
      <c r="I559" s="41"/>
      <c r="M559" s="20"/>
    </row>
    <row r="560">
      <c r="B560" s="20"/>
      <c r="D560" s="41"/>
      <c r="E560" s="41"/>
      <c r="F560" s="20"/>
      <c r="G560" s="20"/>
      <c r="I560" s="41"/>
      <c r="M560" s="20"/>
    </row>
    <row r="561">
      <c r="B561" s="20"/>
      <c r="D561" s="41"/>
      <c r="E561" s="41"/>
      <c r="F561" s="20"/>
      <c r="G561" s="20"/>
      <c r="I561" s="41"/>
      <c r="M561" s="20"/>
    </row>
    <row r="562">
      <c r="B562" s="20"/>
      <c r="D562" s="41"/>
      <c r="E562" s="41"/>
      <c r="F562" s="20"/>
      <c r="G562" s="20"/>
      <c r="I562" s="41"/>
      <c r="M562" s="20"/>
    </row>
    <row r="563">
      <c r="B563" s="20"/>
      <c r="D563" s="41"/>
      <c r="E563" s="41"/>
      <c r="F563" s="20"/>
      <c r="G563" s="20"/>
      <c r="I563" s="41"/>
      <c r="M563" s="20"/>
    </row>
    <row r="564">
      <c r="B564" s="20"/>
      <c r="D564" s="41"/>
      <c r="E564" s="41"/>
      <c r="F564" s="20"/>
      <c r="G564" s="20"/>
      <c r="I564" s="41"/>
      <c r="M564" s="20"/>
    </row>
    <row r="565">
      <c r="B565" s="20"/>
      <c r="D565" s="41"/>
      <c r="E565" s="41"/>
      <c r="F565" s="20"/>
      <c r="G565" s="20"/>
      <c r="I565" s="41"/>
      <c r="M565" s="20"/>
    </row>
    <row r="566">
      <c r="B566" s="20"/>
      <c r="D566" s="41"/>
      <c r="E566" s="41"/>
      <c r="F566" s="20"/>
      <c r="G566" s="20"/>
      <c r="I566" s="41"/>
      <c r="M566" s="20"/>
    </row>
    <row r="567">
      <c r="B567" s="20"/>
      <c r="D567" s="41"/>
      <c r="E567" s="41"/>
      <c r="F567" s="20"/>
      <c r="G567" s="20"/>
      <c r="I567" s="41"/>
      <c r="M567" s="20"/>
    </row>
    <row r="568">
      <c r="B568" s="20"/>
      <c r="D568" s="41"/>
      <c r="E568" s="41"/>
      <c r="F568" s="20"/>
      <c r="G568" s="20"/>
      <c r="I568" s="41"/>
      <c r="M568" s="20"/>
    </row>
    <row r="569">
      <c r="B569" s="20"/>
      <c r="D569" s="41"/>
      <c r="E569" s="41"/>
      <c r="F569" s="20"/>
      <c r="G569" s="20"/>
      <c r="I569" s="41"/>
      <c r="M569" s="20"/>
    </row>
    <row r="570">
      <c r="B570" s="20"/>
      <c r="D570" s="41"/>
      <c r="E570" s="41"/>
      <c r="F570" s="20"/>
      <c r="G570" s="20"/>
      <c r="I570" s="41"/>
      <c r="M570" s="20"/>
    </row>
    <row r="571">
      <c r="B571" s="20"/>
      <c r="D571" s="41"/>
      <c r="E571" s="41"/>
      <c r="F571" s="20"/>
      <c r="G571" s="20"/>
      <c r="I571" s="41"/>
      <c r="M571" s="20"/>
    </row>
    <row r="572">
      <c r="B572" s="20"/>
      <c r="D572" s="41"/>
      <c r="E572" s="41"/>
      <c r="F572" s="20"/>
      <c r="G572" s="20"/>
      <c r="I572" s="41"/>
      <c r="M572" s="20"/>
    </row>
    <row r="573">
      <c r="B573" s="20"/>
      <c r="D573" s="41"/>
      <c r="E573" s="41"/>
      <c r="F573" s="20"/>
      <c r="G573" s="20"/>
      <c r="I573" s="41"/>
      <c r="M573" s="20"/>
    </row>
    <row r="574">
      <c r="B574" s="20"/>
      <c r="D574" s="41"/>
      <c r="E574" s="41"/>
      <c r="F574" s="20"/>
      <c r="G574" s="20"/>
      <c r="I574" s="41"/>
      <c r="M574" s="20"/>
    </row>
    <row r="575">
      <c r="B575" s="20"/>
      <c r="D575" s="41"/>
      <c r="E575" s="41"/>
      <c r="F575" s="20"/>
      <c r="G575" s="20"/>
      <c r="I575" s="41"/>
      <c r="M575" s="20"/>
    </row>
    <row r="576">
      <c r="B576" s="20"/>
      <c r="D576" s="41"/>
      <c r="E576" s="41"/>
      <c r="F576" s="20"/>
      <c r="G576" s="20"/>
      <c r="I576" s="41"/>
      <c r="M576" s="20"/>
    </row>
    <row r="577">
      <c r="B577" s="20"/>
      <c r="D577" s="41"/>
      <c r="E577" s="41"/>
      <c r="F577" s="20"/>
      <c r="G577" s="20"/>
      <c r="I577" s="41"/>
      <c r="M577" s="20"/>
    </row>
    <row r="578">
      <c r="B578" s="20"/>
      <c r="D578" s="41"/>
      <c r="E578" s="41"/>
      <c r="F578" s="20"/>
      <c r="G578" s="20"/>
      <c r="I578" s="41"/>
      <c r="M578" s="20"/>
    </row>
    <row r="579">
      <c r="B579" s="20"/>
      <c r="D579" s="41"/>
      <c r="E579" s="41"/>
      <c r="F579" s="20"/>
      <c r="G579" s="20"/>
      <c r="I579" s="41"/>
      <c r="M579" s="20"/>
    </row>
    <row r="580">
      <c r="B580" s="20"/>
      <c r="D580" s="41"/>
      <c r="E580" s="41"/>
      <c r="F580" s="20"/>
      <c r="G580" s="20"/>
      <c r="I580" s="41"/>
      <c r="M580" s="20"/>
    </row>
    <row r="581">
      <c r="B581" s="20"/>
      <c r="D581" s="41"/>
      <c r="E581" s="41"/>
      <c r="F581" s="20"/>
      <c r="G581" s="20"/>
      <c r="I581" s="41"/>
      <c r="M581" s="20"/>
    </row>
    <row r="582">
      <c r="B582" s="20"/>
      <c r="D582" s="41"/>
      <c r="E582" s="41"/>
      <c r="F582" s="20"/>
      <c r="G582" s="20"/>
      <c r="I582" s="41"/>
      <c r="M582" s="20"/>
    </row>
    <row r="583">
      <c r="B583" s="20"/>
      <c r="D583" s="41"/>
      <c r="E583" s="41"/>
      <c r="F583" s="20"/>
      <c r="G583" s="20"/>
      <c r="I583" s="41"/>
      <c r="M583" s="20"/>
    </row>
    <row r="584">
      <c r="B584" s="20"/>
      <c r="D584" s="41"/>
      <c r="E584" s="41"/>
      <c r="F584" s="20"/>
      <c r="G584" s="20"/>
      <c r="I584" s="41"/>
      <c r="M584" s="20"/>
    </row>
    <row r="585">
      <c r="B585" s="20"/>
      <c r="D585" s="41"/>
      <c r="E585" s="41"/>
      <c r="F585" s="20"/>
      <c r="G585" s="20"/>
      <c r="I585" s="41"/>
      <c r="M585" s="20"/>
    </row>
    <row r="586">
      <c r="B586" s="20"/>
      <c r="D586" s="41"/>
      <c r="E586" s="41"/>
      <c r="F586" s="20"/>
      <c r="G586" s="20"/>
      <c r="I586" s="41"/>
      <c r="M586" s="20"/>
    </row>
    <row r="587">
      <c r="B587" s="20"/>
      <c r="D587" s="41"/>
      <c r="E587" s="41"/>
      <c r="F587" s="20"/>
      <c r="G587" s="20"/>
      <c r="I587" s="41"/>
      <c r="M587" s="20"/>
    </row>
    <row r="588">
      <c r="B588" s="20"/>
      <c r="D588" s="41"/>
      <c r="E588" s="41"/>
      <c r="F588" s="20"/>
      <c r="G588" s="20"/>
      <c r="I588" s="41"/>
      <c r="M588" s="20"/>
    </row>
    <row r="589">
      <c r="B589" s="20"/>
      <c r="D589" s="41"/>
      <c r="E589" s="41"/>
      <c r="F589" s="20"/>
      <c r="G589" s="20"/>
      <c r="I589" s="41"/>
      <c r="M589" s="20"/>
    </row>
    <row r="590">
      <c r="B590" s="20"/>
      <c r="D590" s="41"/>
      <c r="E590" s="41"/>
      <c r="F590" s="20"/>
      <c r="G590" s="20"/>
      <c r="I590" s="41"/>
      <c r="M590" s="20"/>
    </row>
    <row r="591">
      <c r="B591" s="20"/>
      <c r="D591" s="41"/>
      <c r="E591" s="41"/>
      <c r="F591" s="20"/>
      <c r="G591" s="20"/>
      <c r="I591" s="41"/>
      <c r="M591" s="20"/>
    </row>
    <row r="592">
      <c r="B592" s="20"/>
      <c r="D592" s="41"/>
      <c r="E592" s="41"/>
      <c r="F592" s="20"/>
      <c r="G592" s="20"/>
      <c r="I592" s="41"/>
      <c r="M592" s="20"/>
    </row>
    <row r="593">
      <c r="B593" s="20"/>
      <c r="D593" s="41"/>
      <c r="E593" s="41"/>
      <c r="F593" s="20"/>
      <c r="G593" s="20"/>
      <c r="I593" s="41"/>
      <c r="M593" s="20"/>
    </row>
    <row r="594">
      <c r="B594" s="20"/>
      <c r="D594" s="41"/>
      <c r="E594" s="41"/>
      <c r="F594" s="20"/>
      <c r="G594" s="20"/>
      <c r="I594" s="41"/>
      <c r="M594" s="20"/>
    </row>
    <row r="595">
      <c r="B595" s="20"/>
      <c r="D595" s="41"/>
      <c r="E595" s="41"/>
      <c r="F595" s="20"/>
      <c r="G595" s="20"/>
      <c r="I595" s="41"/>
      <c r="M595" s="20"/>
    </row>
    <row r="596">
      <c r="B596" s="20"/>
      <c r="D596" s="41"/>
      <c r="E596" s="41"/>
      <c r="F596" s="20"/>
      <c r="G596" s="20"/>
      <c r="I596" s="41"/>
      <c r="M596" s="20"/>
    </row>
    <row r="597">
      <c r="B597" s="20"/>
      <c r="D597" s="41"/>
      <c r="E597" s="41"/>
      <c r="F597" s="20"/>
      <c r="G597" s="20"/>
      <c r="I597" s="41"/>
      <c r="M597" s="20"/>
    </row>
    <row r="598">
      <c r="B598" s="20"/>
      <c r="D598" s="41"/>
      <c r="E598" s="41"/>
      <c r="F598" s="20"/>
      <c r="G598" s="20"/>
      <c r="I598" s="41"/>
      <c r="M598" s="20"/>
    </row>
    <row r="599">
      <c r="B599" s="20"/>
      <c r="D599" s="41"/>
      <c r="E599" s="41"/>
      <c r="F599" s="20"/>
      <c r="G599" s="20"/>
      <c r="I599" s="41"/>
      <c r="M599" s="20"/>
    </row>
    <row r="600">
      <c r="B600" s="20"/>
      <c r="D600" s="41"/>
      <c r="E600" s="41"/>
      <c r="F600" s="20"/>
      <c r="G600" s="20"/>
      <c r="I600" s="41"/>
      <c r="M600" s="20"/>
    </row>
    <row r="601">
      <c r="B601" s="20"/>
      <c r="D601" s="41"/>
      <c r="E601" s="41"/>
      <c r="F601" s="20"/>
      <c r="G601" s="20"/>
      <c r="I601" s="41"/>
      <c r="M601" s="20"/>
    </row>
    <row r="602">
      <c r="B602" s="20"/>
      <c r="D602" s="41"/>
      <c r="E602" s="41"/>
      <c r="F602" s="20"/>
      <c r="G602" s="20"/>
      <c r="I602" s="41"/>
      <c r="M602" s="20"/>
    </row>
    <row r="603">
      <c r="B603" s="20"/>
      <c r="D603" s="41"/>
      <c r="E603" s="41"/>
      <c r="F603" s="20"/>
      <c r="G603" s="20"/>
      <c r="I603" s="41"/>
      <c r="M603" s="20"/>
    </row>
    <row r="604">
      <c r="B604" s="20"/>
      <c r="D604" s="41"/>
      <c r="E604" s="41"/>
      <c r="F604" s="20"/>
      <c r="G604" s="20"/>
      <c r="I604" s="41"/>
      <c r="M604" s="20"/>
    </row>
    <row r="605">
      <c r="B605" s="20"/>
      <c r="D605" s="41"/>
      <c r="E605" s="41"/>
      <c r="F605" s="20"/>
      <c r="G605" s="20"/>
      <c r="I605" s="41"/>
      <c r="M605" s="20"/>
    </row>
    <row r="606">
      <c r="B606" s="20"/>
      <c r="D606" s="41"/>
      <c r="E606" s="41"/>
      <c r="F606" s="20"/>
      <c r="G606" s="20"/>
      <c r="I606" s="41"/>
      <c r="M606" s="20"/>
    </row>
    <row r="607">
      <c r="B607" s="20"/>
      <c r="D607" s="41"/>
      <c r="E607" s="41"/>
      <c r="F607" s="20"/>
      <c r="G607" s="20"/>
      <c r="I607" s="41"/>
      <c r="M607" s="20"/>
    </row>
    <row r="608">
      <c r="B608" s="20"/>
      <c r="D608" s="41"/>
      <c r="E608" s="41"/>
      <c r="F608" s="20"/>
      <c r="G608" s="20"/>
      <c r="I608" s="41"/>
      <c r="M608" s="20"/>
    </row>
    <row r="609">
      <c r="B609" s="20"/>
      <c r="D609" s="41"/>
      <c r="E609" s="41"/>
      <c r="F609" s="20"/>
      <c r="G609" s="20"/>
      <c r="I609" s="41"/>
      <c r="M609" s="20"/>
    </row>
    <row r="610">
      <c r="B610" s="20"/>
      <c r="D610" s="41"/>
      <c r="E610" s="41"/>
      <c r="F610" s="20"/>
      <c r="G610" s="20"/>
      <c r="I610" s="41"/>
      <c r="M610" s="20"/>
    </row>
    <row r="611">
      <c r="B611" s="20"/>
      <c r="D611" s="41"/>
      <c r="E611" s="41"/>
      <c r="F611" s="20"/>
      <c r="G611" s="20"/>
      <c r="I611" s="41"/>
      <c r="M611" s="20"/>
    </row>
    <row r="612">
      <c r="B612" s="20"/>
      <c r="D612" s="41"/>
      <c r="E612" s="41"/>
      <c r="F612" s="20"/>
      <c r="G612" s="20"/>
      <c r="I612" s="41"/>
      <c r="M612" s="20"/>
    </row>
    <row r="613">
      <c r="B613" s="20"/>
      <c r="D613" s="41"/>
      <c r="E613" s="41"/>
      <c r="F613" s="20"/>
      <c r="G613" s="20"/>
      <c r="I613" s="41"/>
      <c r="M613" s="20"/>
    </row>
    <row r="614">
      <c r="B614" s="20"/>
      <c r="D614" s="41"/>
      <c r="E614" s="41"/>
      <c r="F614" s="20"/>
      <c r="G614" s="20"/>
      <c r="I614" s="41"/>
      <c r="M614" s="20"/>
    </row>
    <row r="615">
      <c r="B615" s="20"/>
      <c r="D615" s="41"/>
      <c r="E615" s="41"/>
      <c r="F615" s="20"/>
      <c r="G615" s="20"/>
      <c r="I615" s="41"/>
      <c r="M615" s="20"/>
    </row>
    <row r="616">
      <c r="B616" s="20"/>
      <c r="D616" s="41"/>
      <c r="E616" s="41"/>
      <c r="F616" s="20"/>
      <c r="G616" s="20"/>
      <c r="I616" s="41"/>
      <c r="M616" s="20"/>
    </row>
    <row r="617">
      <c r="B617" s="20"/>
      <c r="D617" s="41"/>
      <c r="E617" s="41"/>
      <c r="F617" s="20"/>
      <c r="G617" s="20"/>
      <c r="I617" s="41"/>
      <c r="M617" s="20"/>
    </row>
    <row r="618">
      <c r="B618" s="20"/>
      <c r="D618" s="41"/>
      <c r="E618" s="41"/>
      <c r="F618" s="20"/>
      <c r="G618" s="20"/>
      <c r="I618" s="41"/>
      <c r="M618" s="20"/>
    </row>
    <row r="619">
      <c r="B619" s="20"/>
      <c r="D619" s="41"/>
      <c r="E619" s="41"/>
      <c r="F619" s="20"/>
      <c r="G619" s="20"/>
      <c r="I619" s="41"/>
      <c r="M619" s="20"/>
    </row>
    <row r="620">
      <c r="B620" s="20"/>
      <c r="D620" s="41"/>
      <c r="E620" s="41"/>
      <c r="F620" s="20"/>
      <c r="G620" s="20"/>
      <c r="I620" s="41"/>
      <c r="M620" s="20"/>
    </row>
    <row r="621">
      <c r="B621" s="20"/>
      <c r="D621" s="41"/>
      <c r="E621" s="41"/>
      <c r="F621" s="20"/>
      <c r="G621" s="20"/>
      <c r="I621" s="41"/>
      <c r="M621" s="20"/>
    </row>
    <row r="622">
      <c r="B622" s="20"/>
      <c r="D622" s="41"/>
      <c r="E622" s="41"/>
      <c r="F622" s="20"/>
      <c r="G622" s="20"/>
      <c r="I622" s="41"/>
      <c r="M622" s="20"/>
    </row>
    <row r="623">
      <c r="B623" s="20"/>
      <c r="D623" s="41"/>
      <c r="E623" s="41"/>
      <c r="F623" s="20"/>
      <c r="G623" s="20"/>
      <c r="I623" s="41"/>
      <c r="M623" s="20"/>
    </row>
    <row r="624">
      <c r="B624" s="20"/>
      <c r="D624" s="41"/>
      <c r="E624" s="41"/>
      <c r="F624" s="20"/>
      <c r="G624" s="20"/>
      <c r="I624" s="41"/>
      <c r="M624" s="20"/>
    </row>
    <row r="625">
      <c r="B625" s="20"/>
      <c r="D625" s="41"/>
      <c r="E625" s="41"/>
      <c r="F625" s="20"/>
      <c r="G625" s="20"/>
      <c r="I625" s="41"/>
      <c r="M625" s="20"/>
    </row>
    <row r="626">
      <c r="B626" s="20"/>
      <c r="D626" s="41"/>
      <c r="E626" s="41"/>
      <c r="F626" s="20"/>
      <c r="G626" s="20"/>
      <c r="I626" s="41"/>
      <c r="M626" s="20"/>
    </row>
    <row r="627">
      <c r="B627" s="20"/>
      <c r="D627" s="41"/>
      <c r="E627" s="41"/>
      <c r="F627" s="20"/>
      <c r="G627" s="20"/>
      <c r="I627" s="41"/>
      <c r="M627" s="20"/>
    </row>
    <row r="628">
      <c r="B628" s="20"/>
      <c r="D628" s="41"/>
      <c r="E628" s="41"/>
      <c r="F628" s="20"/>
      <c r="G628" s="20"/>
      <c r="I628" s="41"/>
      <c r="M628" s="20"/>
    </row>
    <row r="629">
      <c r="B629" s="20"/>
      <c r="D629" s="41"/>
      <c r="E629" s="41"/>
      <c r="F629" s="20"/>
      <c r="G629" s="20"/>
      <c r="I629" s="41"/>
      <c r="M629" s="20"/>
    </row>
    <row r="630">
      <c r="B630" s="20"/>
      <c r="D630" s="41"/>
      <c r="E630" s="41"/>
      <c r="F630" s="20"/>
      <c r="G630" s="20"/>
      <c r="I630" s="41"/>
      <c r="M630" s="20"/>
    </row>
    <row r="631">
      <c r="B631" s="20"/>
      <c r="D631" s="41"/>
      <c r="E631" s="41"/>
      <c r="F631" s="20"/>
      <c r="G631" s="20"/>
      <c r="I631" s="41"/>
      <c r="M631" s="20"/>
    </row>
    <row r="632">
      <c r="B632" s="20"/>
      <c r="D632" s="41"/>
      <c r="E632" s="41"/>
      <c r="F632" s="20"/>
      <c r="G632" s="20"/>
      <c r="I632" s="41"/>
      <c r="M632" s="20"/>
    </row>
    <row r="633">
      <c r="B633" s="20"/>
      <c r="D633" s="41"/>
      <c r="E633" s="41"/>
      <c r="F633" s="20"/>
      <c r="G633" s="20"/>
      <c r="I633" s="41"/>
      <c r="M633" s="20"/>
    </row>
    <row r="634">
      <c r="B634" s="20"/>
      <c r="D634" s="41"/>
      <c r="E634" s="41"/>
      <c r="F634" s="20"/>
      <c r="G634" s="20"/>
      <c r="I634" s="41"/>
      <c r="M634" s="20"/>
    </row>
    <row r="635">
      <c r="B635" s="20"/>
      <c r="D635" s="41"/>
      <c r="E635" s="41"/>
      <c r="F635" s="20"/>
      <c r="G635" s="20"/>
      <c r="I635" s="41"/>
      <c r="M635" s="20"/>
    </row>
    <row r="636">
      <c r="B636" s="20"/>
      <c r="D636" s="41"/>
      <c r="E636" s="41"/>
      <c r="F636" s="20"/>
      <c r="G636" s="20"/>
      <c r="I636" s="41"/>
      <c r="M636" s="20"/>
    </row>
    <row r="637">
      <c r="B637" s="20"/>
      <c r="D637" s="41"/>
      <c r="E637" s="41"/>
      <c r="F637" s="20"/>
      <c r="G637" s="20"/>
      <c r="I637" s="41"/>
      <c r="M637" s="20"/>
    </row>
    <row r="638">
      <c r="B638" s="20"/>
      <c r="D638" s="41"/>
      <c r="E638" s="41"/>
      <c r="F638" s="20"/>
      <c r="G638" s="20"/>
      <c r="I638" s="41"/>
      <c r="M638" s="20"/>
    </row>
    <row r="639">
      <c r="B639" s="20"/>
      <c r="D639" s="41"/>
      <c r="E639" s="41"/>
      <c r="F639" s="20"/>
      <c r="G639" s="20"/>
      <c r="I639" s="41"/>
      <c r="M639" s="20"/>
    </row>
    <row r="640">
      <c r="B640" s="20"/>
      <c r="D640" s="41"/>
      <c r="E640" s="41"/>
      <c r="F640" s="20"/>
      <c r="G640" s="20"/>
      <c r="I640" s="41"/>
      <c r="M640" s="20"/>
    </row>
    <row r="641">
      <c r="B641" s="20"/>
      <c r="D641" s="41"/>
      <c r="E641" s="41"/>
      <c r="F641" s="20"/>
      <c r="G641" s="20"/>
      <c r="I641" s="41"/>
      <c r="M641" s="20"/>
    </row>
    <row r="642">
      <c r="B642" s="20"/>
      <c r="D642" s="41"/>
      <c r="E642" s="41"/>
      <c r="F642" s="20"/>
      <c r="G642" s="20"/>
      <c r="I642" s="41"/>
      <c r="M642" s="20"/>
    </row>
    <row r="643">
      <c r="B643" s="20"/>
      <c r="D643" s="41"/>
      <c r="E643" s="41"/>
      <c r="F643" s="20"/>
      <c r="G643" s="20"/>
      <c r="I643" s="41"/>
      <c r="M643" s="20"/>
    </row>
    <row r="644">
      <c r="B644" s="20"/>
      <c r="D644" s="41"/>
      <c r="E644" s="41"/>
      <c r="F644" s="20"/>
      <c r="G644" s="20"/>
      <c r="I644" s="41"/>
      <c r="M644" s="20"/>
    </row>
    <row r="645">
      <c r="B645" s="20"/>
      <c r="D645" s="41"/>
      <c r="E645" s="41"/>
      <c r="F645" s="20"/>
      <c r="G645" s="20"/>
      <c r="I645" s="41"/>
      <c r="M645" s="20"/>
    </row>
    <row r="646">
      <c r="B646" s="20"/>
      <c r="D646" s="41"/>
      <c r="E646" s="41"/>
      <c r="F646" s="20"/>
      <c r="G646" s="20"/>
      <c r="I646" s="41"/>
      <c r="M646" s="20"/>
    </row>
    <row r="647">
      <c r="B647" s="20"/>
      <c r="D647" s="41"/>
      <c r="E647" s="41"/>
      <c r="F647" s="20"/>
      <c r="G647" s="20"/>
      <c r="I647" s="41"/>
      <c r="M647" s="20"/>
    </row>
    <row r="648">
      <c r="B648" s="20"/>
      <c r="D648" s="41"/>
      <c r="E648" s="41"/>
      <c r="F648" s="20"/>
      <c r="G648" s="20"/>
      <c r="I648" s="41"/>
      <c r="M648" s="20"/>
    </row>
    <row r="649">
      <c r="B649" s="20"/>
      <c r="D649" s="41"/>
      <c r="E649" s="41"/>
      <c r="F649" s="20"/>
      <c r="G649" s="20"/>
      <c r="I649" s="41"/>
      <c r="M649" s="20"/>
    </row>
    <row r="650">
      <c r="B650" s="20"/>
      <c r="D650" s="41"/>
      <c r="E650" s="41"/>
      <c r="F650" s="20"/>
      <c r="G650" s="20"/>
      <c r="I650" s="41"/>
      <c r="M650" s="20"/>
    </row>
    <row r="651">
      <c r="B651" s="20"/>
      <c r="D651" s="41"/>
      <c r="E651" s="41"/>
      <c r="F651" s="20"/>
      <c r="G651" s="20"/>
      <c r="I651" s="41"/>
      <c r="M651" s="20"/>
    </row>
    <row r="652">
      <c r="B652" s="20"/>
      <c r="D652" s="41"/>
      <c r="E652" s="41"/>
      <c r="F652" s="20"/>
      <c r="G652" s="20"/>
      <c r="I652" s="41"/>
      <c r="M652" s="20"/>
    </row>
    <row r="653">
      <c r="B653" s="20"/>
      <c r="D653" s="41"/>
      <c r="E653" s="41"/>
      <c r="F653" s="20"/>
      <c r="G653" s="20"/>
      <c r="I653" s="41"/>
      <c r="M653" s="20"/>
    </row>
    <row r="654">
      <c r="B654" s="20"/>
      <c r="D654" s="41"/>
      <c r="E654" s="41"/>
      <c r="F654" s="20"/>
      <c r="G654" s="20"/>
      <c r="I654" s="41"/>
      <c r="M654" s="20"/>
    </row>
    <row r="655">
      <c r="B655" s="20"/>
      <c r="D655" s="41"/>
      <c r="E655" s="41"/>
      <c r="F655" s="20"/>
      <c r="G655" s="20"/>
      <c r="I655" s="41"/>
      <c r="M655" s="20"/>
    </row>
    <row r="656">
      <c r="B656" s="20"/>
      <c r="D656" s="41"/>
      <c r="E656" s="41"/>
      <c r="F656" s="20"/>
      <c r="G656" s="20"/>
      <c r="I656" s="41"/>
      <c r="M656" s="20"/>
    </row>
    <row r="657">
      <c r="B657" s="20"/>
      <c r="D657" s="41"/>
      <c r="E657" s="41"/>
      <c r="F657" s="20"/>
      <c r="G657" s="20"/>
      <c r="I657" s="41"/>
      <c r="M657" s="20"/>
    </row>
    <row r="658">
      <c r="B658" s="20"/>
      <c r="D658" s="41"/>
      <c r="E658" s="41"/>
      <c r="F658" s="20"/>
      <c r="G658" s="20"/>
      <c r="I658" s="41"/>
      <c r="M658" s="20"/>
    </row>
    <row r="659">
      <c r="B659" s="20"/>
      <c r="D659" s="41"/>
      <c r="E659" s="41"/>
      <c r="F659" s="20"/>
      <c r="G659" s="20"/>
      <c r="I659" s="41"/>
      <c r="M659" s="20"/>
    </row>
    <row r="660">
      <c r="B660" s="20"/>
      <c r="D660" s="41"/>
      <c r="E660" s="41"/>
      <c r="F660" s="20"/>
      <c r="G660" s="20"/>
      <c r="I660" s="41"/>
      <c r="M660" s="20"/>
    </row>
    <row r="661">
      <c r="B661" s="20"/>
      <c r="D661" s="41"/>
      <c r="E661" s="41"/>
      <c r="F661" s="20"/>
      <c r="G661" s="20"/>
      <c r="I661" s="41"/>
      <c r="M661" s="20"/>
    </row>
    <row r="662">
      <c r="B662" s="20"/>
      <c r="D662" s="41"/>
      <c r="E662" s="41"/>
      <c r="F662" s="20"/>
      <c r="G662" s="20"/>
      <c r="I662" s="41"/>
      <c r="M662" s="20"/>
    </row>
    <row r="663">
      <c r="B663" s="20"/>
      <c r="D663" s="41"/>
      <c r="E663" s="41"/>
      <c r="F663" s="20"/>
      <c r="G663" s="20"/>
      <c r="I663" s="41"/>
      <c r="M663" s="20"/>
    </row>
    <row r="664">
      <c r="B664" s="20"/>
      <c r="D664" s="41"/>
      <c r="E664" s="41"/>
      <c r="F664" s="20"/>
      <c r="G664" s="20"/>
      <c r="I664" s="41"/>
      <c r="M664" s="20"/>
    </row>
    <row r="665">
      <c r="B665" s="20"/>
      <c r="D665" s="41"/>
      <c r="E665" s="41"/>
      <c r="F665" s="20"/>
      <c r="G665" s="20"/>
      <c r="I665" s="41"/>
      <c r="M665" s="20"/>
    </row>
    <row r="666">
      <c r="B666" s="20"/>
      <c r="D666" s="41"/>
      <c r="E666" s="41"/>
      <c r="F666" s="20"/>
      <c r="G666" s="20"/>
      <c r="I666" s="41"/>
      <c r="M666" s="20"/>
    </row>
    <row r="667">
      <c r="B667" s="20"/>
      <c r="D667" s="41"/>
      <c r="E667" s="41"/>
      <c r="F667" s="20"/>
      <c r="G667" s="20"/>
      <c r="I667" s="41"/>
      <c r="M667" s="20"/>
    </row>
    <row r="668">
      <c r="B668" s="20"/>
      <c r="D668" s="41"/>
      <c r="E668" s="41"/>
      <c r="F668" s="20"/>
      <c r="G668" s="20"/>
      <c r="I668" s="41"/>
      <c r="M668" s="20"/>
    </row>
    <row r="669">
      <c r="B669" s="20"/>
      <c r="D669" s="41"/>
      <c r="E669" s="41"/>
      <c r="F669" s="20"/>
      <c r="G669" s="20"/>
      <c r="I669" s="41"/>
      <c r="M669" s="20"/>
    </row>
    <row r="670">
      <c r="B670" s="20"/>
      <c r="D670" s="41"/>
      <c r="E670" s="41"/>
      <c r="F670" s="20"/>
      <c r="G670" s="20"/>
      <c r="I670" s="41"/>
      <c r="M670" s="20"/>
    </row>
    <row r="671">
      <c r="B671" s="20"/>
      <c r="D671" s="41"/>
      <c r="E671" s="41"/>
      <c r="F671" s="20"/>
      <c r="G671" s="20"/>
      <c r="I671" s="41"/>
      <c r="M671" s="20"/>
    </row>
    <row r="672">
      <c r="B672" s="20"/>
      <c r="D672" s="41"/>
      <c r="E672" s="41"/>
      <c r="F672" s="20"/>
      <c r="G672" s="20"/>
      <c r="I672" s="41"/>
      <c r="M672" s="20"/>
    </row>
    <row r="673">
      <c r="B673" s="20"/>
      <c r="D673" s="41"/>
      <c r="E673" s="41"/>
      <c r="F673" s="20"/>
      <c r="G673" s="20"/>
      <c r="I673" s="41"/>
      <c r="M673" s="20"/>
    </row>
    <row r="674">
      <c r="B674" s="20"/>
      <c r="D674" s="41"/>
      <c r="E674" s="41"/>
      <c r="F674" s="20"/>
      <c r="G674" s="20"/>
      <c r="I674" s="41"/>
      <c r="M674" s="20"/>
    </row>
    <row r="675">
      <c r="B675" s="20"/>
      <c r="D675" s="41"/>
      <c r="E675" s="41"/>
      <c r="F675" s="20"/>
      <c r="G675" s="20"/>
      <c r="I675" s="41"/>
      <c r="M675" s="20"/>
    </row>
    <row r="676">
      <c r="B676" s="20"/>
      <c r="D676" s="41"/>
      <c r="E676" s="41"/>
      <c r="F676" s="20"/>
      <c r="G676" s="20"/>
      <c r="I676" s="41"/>
      <c r="M676" s="20"/>
    </row>
    <row r="677">
      <c r="B677" s="20"/>
      <c r="D677" s="41"/>
      <c r="E677" s="41"/>
      <c r="F677" s="20"/>
      <c r="G677" s="20"/>
      <c r="I677" s="41"/>
      <c r="M677" s="20"/>
    </row>
    <row r="678">
      <c r="B678" s="20"/>
      <c r="D678" s="41"/>
      <c r="E678" s="41"/>
      <c r="F678" s="20"/>
      <c r="G678" s="20"/>
      <c r="I678" s="41"/>
      <c r="M678" s="20"/>
    </row>
    <row r="679">
      <c r="B679" s="20"/>
      <c r="D679" s="41"/>
      <c r="E679" s="41"/>
      <c r="F679" s="20"/>
      <c r="G679" s="20"/>
      <c r="I679" s="41"/>
      <c r="M679" s="20"/>
    </row>
    <row r="680">
      <c r="B680" s="20"/>
      <c r="D680" s="41"/>
      <c r="E680" s="41"/>
      <c r="F680" s="20"/>
      <c r="G680" s="20"/>
      <c r="I680" s="41"/>
      <c r="M680" s="20"/>
    </row>
    <row r="681">
      <c r="B681" s="20"/>
      <c r="D681" s="41"/>
      <c r="E681" s="41"/>
      <c r="F681" s="20"/>
      <c r="G681" s="20"/>
      <c r="I681" s="41"/>
      <c r="M681" s="20"/>
    </row>
    <row r="682">
      <c r="B682" s="20"/>
      <c r="D682" s="41"/>
      <c r="E682" s="41"/>
      <c r="F682" s="20"/>
      <c r="G682" s="20"/>
      <c r="I682" s="41"/>
      <c r="M682" s="20"/>
    </row>
    <row r="683">
      <c r="B683" s="20"/>
      <c r="D683" s="41"/>
      <c r="E683" s="41"/>
      <c r="F683" s="20"/>
      <c r="G683" s="20"/>
      <c r="I683" s="41"/>
      <c r="M683" s="20"/>
    </row>
    <row r="684">
      <c r="B684" s="20"/>
      <c r="D684" s="41"/>
      <c r="E684" s="41"/>
      <c r="F684" s="20"/>
      <c r="G684" s="20"/>
      <c r="I684" s="41"/>
      <c r="M684" s="20"/>
    </row>
    <row r="685">
      <c r="B685" s="20"/>
      <c r="D685" s="41"/>
      <c r="E685" s="41"/>
      <c r="F685" s="20"/>
      <c r="G685" s="20"/>
      <c r="I685" s="41"/>
      <c r="M685" s="20"/>
    </row>
    <row r="686">
      <c r="B686" s="20"/>
      <c r="D686" s="41"/>
      <c r="E686" s="41"/>
      <c r="F686" s="20"/>
      <c r="G686" s="20"/>
      <c r="I686" s="41"/>
      <c r="M686" s="20"/>
    </row>
    <row r="687">
      <c r="B687" s="20"/>
      <c r="D687" s="41"/>
      <c r="E687" s="41"/>
      <c r="F687" s="20"/>
      <c r="G687" s="20"/>
      <c r="I687" s="41"/>
      <c r="M687" s="20"/>
    </row>
    <row r="688">
      <c r="B688" s="20"/>
      <c r="D688" s="41"/>
      <c r="E688" s="41"/>
      <c r="F688" s="20"/>
      <c r="G688" s="20"/>
      <c r="I688" s="41"/>
      <c r="M688" s="20"/>
    </row>
    <row r="689">
      <c r="B689" s="20"/>
      <c r="D689" s="41"/>
      <c r="E689" s="41"/>
      <c r="F689" s="20"/>
      <c r="G689" s="20"/>
      <c r="I689" s="41"/>
      <c r="M689" s="20"/>
    </row>
    <row r="690">
      <c r="B690" s="20"/>
      <c r="D690" s="41"/>
      <c r="E690" s="41"/>
      <c r="F690" s="20"/>
      <c r="G690" s="20"/>
      <c r="I690" s="41"/>
      <c r="M690" s="20"/>
    </row>
    <row r="691">
      <c r="B691" s="20"/>
      <c r="D691" s="41"/>
      <c r="E691" s="41"/>
      <c r="F691" s="20"/>
      <c r="G691" s="20"/>
      <c r="I691" s="41"/>
      <c r="M691" s="20"/>
    </row>
    <row r="692">
      <c r="B692" s="20"/>
      <c r="D692" s="41"/>
      <c r="E692" s="41"/>
      <c r="F692" s="20"/>
      <c r="G692" s="20"/>
      <c r="I692" s="41"/>
      <c r="M692" s="20"/>
    </row>
    <row r="693">
      <c r="B693" s="20"/>
      <c r="D693" s="41"/>
      <c r="E693" s="41"/>
      <c r="F693" s="20"/>
      <c r="G693" s="20"/>
      <c r="I693" s="41"/>
      <c r="M693" s="20"/>
    </row>
    <row r="694">
      <c r="B694" s="20"/>
      <c r="D694" s="41"/>
      <c r="E694" s="41"/>
      <c r="F694" s="20"/>
      <c r="G694" s="20"/>
      <c r="I694" s="41"/>
      <c r="M694" s="20"/>
    </row>
    <row r="695">
      <c r="B695" s="20"/>
      <c r="D695" s="41"/>
      <c r="E695" s="41"/>
      <c r="F695" s="20"/>
      <c r="G695" s="20"/>
      <c r="I695" s="41"/>
      <c r="M695" s="20"/>
    </row>
    <row r="696">
      <c r="B696" s="20"/>
      <c r="D696" s="41"/>
      <c r="E696" s="41"/>
      <c r="F696" s="20"/>
      <c r="G696" s="20"/>
      <c r="I696" s="41"/>
      <c r="M696" s="20"/>
    </row>
    <row r="697">
      <c r="B697" s="20"/>
      <c r="D697" s="41"/>
      <c r="E697" s="41"/>
      <c r="F697" s="20"/>
      <c r="G697" s="20"/>
      <c r="I697" s="41"/>
      <c r="M697" s="20"/>
    </row>
    <row r="698">
      <c r="B698" s="20"/>
      <c r="D698" s="41"/>
      <c r="E698" s="41"/>
      <c r="F698" s="20"/>
      <c r="G698" s="20"/>
      <c r="I698" s="41"/>
      <c r="M698" s="20"/>
    </row>
    <row r="699">
      <c r="B699" s="20"/>
      <c r="D699" s="41"/>
      <c r="E699" s="41"/>
      <c r="F699" s="20"/>
      <c r="G699" s="20"/>
      <c r="I699" s="41"/>
      <c r="M699" s="20"/>
    </row>
    <row r="700">
      <c r="B700" s="20"/>
      <c r="D700" s="41"/>
      <c r="E700" s="41"/>
      <c r="F700" s="20"/>
      <c r="G700" s="20"/>
      <c r="I700" s="41"/>
      <c r="M700" s="20"/>
    </row>
    <row r="701">
      <c r="B701" s="20"/>
      <c r="D701" s="41"/>
      <c r="E701" s="41"/>
      <c r="F701" s="20"/>
      <c r="G701" s="20"/>
      <c r="I701" s="41"/>
      <c r="M701" s="20"/>
    </row>
    <row r="702">
      <c r="B702" s="20"/>
      <c r="D702" s="41"/>
      <c r="E702" s="41"/>
      <c r="F702" s="20"/>
      <c r="G702" s="20"/>
      <c r="I702" s="41"/>
      <c r="M702" s="20"/>
    </row>
    <row r="703">
      <c r="B703" s="20"/>
      <c r="D703" s="41"/>
      <c r="E703" s="41"/>
      <c r="F703" s="20"/>
      <c r="G703" s="20"/>
      <c r="I703" s="41"/>
      <c r="M703" s="20"/>
    </row>
    <row r="704">
      <c r="B704" s="20"/>
      <c r="D704" s="41"/>
      <c r="E704" s="41"/>
      <c r="F704" s="20"/>
      <c r="G704" s="20"/>
      <c r="I704" s="41"/>
      <c r="M704" s="20"/>
    </row>
    <row r="705">
      <c r="B705" s="20"/>
      <c r="D705" s="41"/>
      <c r="E705" s="41"/>
      <c r="F705" s="20"/>
      <c r="G705" s="20"/>
      <c r="I705" s="41"/>
      <c r="M705" s="20"/>
    </row>
    <row r="706">
      <c r="B706" s="20"/>
      <c r="D706" s="41"/>
      <c r="E706" s="41"/>
      <c r="F706" s="20"/>
      <c r="G706" s="20"/>
      <c r="I706" s="41"/>
      <c r="M706" s="20"/>
    </row>
    <row r="707">
      <c r="B707" s="20"/>
      <c r="D707" s="41"/>
      <c r="E707" s="41"/>
      <c r="F707" s="20"/>
      <c r="G707" s="20"/>
      <c r="I707" s="41"/>
      <c r="M707" s="20"/>
    </row>
    <row r="708">
      <c r="B708" s="20"/>
      <c r="D708" s="41"/>
      <c r="E708" s="41"/>
      <c r="F708" s="20"/>
      <c r="G708" s="20"/>
      <c r="I708" s="41"/>
      <c r="M708" s="20"/>
    </row>
    <row r="709">
      <c r="B709" s="20"/>
      <c r="D709" s="41"/>
      <c r="E709" s="41"/>
      <c r="F709" s="20"/>
      <c r="G709" s="20"/>
      <c r="I709" s="41"/>
      <c r="M709" s="20"/>
    </row>
    <row r="710">
      <c r="B710" s="20"/>
      <c r="D710" s="41"/>
      <c r="E710" s="41"/>
      <c r="F710" s="20"/>
      <c r="G710" s="20"/>
      <c r="I710" s="41"/>
      <c r="M710" s="20"/>
    </row>
    <row r="711">
      <c r="B711" s="20"/>
      <c r="D711" s="41"/>
      <c r="E711" s="41"/>
      <c r="F711" s="20"/>
      <c r="G711" s="20"/>
      <c r="I711" s="41"/>
      <c r="M711" s="20"/>
    </row>
    <row r="712">
      <c r="B712" s="20"/>
      <c r="D712" s="41"/>
      <c r="E712" s="41"/>
      <c r="F712" s="20"/>
      <c r="G712" s="20"/>
      <c r="I712" s="41"/>
      <c r="M712" s="20"/>
    </row>
    <row r="713">
      <c r="B713" s="20"/>
      <c r="D713" s="41"/>
      <c r="E713" s="41"/>
      <c r="F713" s="20"/>
      <c r="G713" s="20"/>
      <c r="I713" s="41"/>
      <c r="M713" s="20"/>
    </row>
    <row r="714">
      <c r="B714" s="20"/>
      <c r="D714" s="41"/>
      <c r="E714" s="41"/>
      <c r="F714" s="20"/>
      <c r="G714" s="20"/>
      <c r="I714" s="41"/>
      <c r="M714" s="20"/>
    </row>
    <row r="715">
      <c r="B715" s="20"/>
      <c r="D715" s="41"/>
      <c r="E715" s="41"/>
      <c r="F715" s="20"/>
      <c r="G715" s="20"/>
      <c r="I715" s="41"/>
      <c r="M715" s="20"/>
    </row>
    <row r="716">
      <c r="B716" s="20"/>
      <c r="D716" s="41"/>
      <c r="E716" s="41"/>
      <c r="F716" s="20"/>
      <c r="G716" s="20"/>
      <c r="I716" s="41"/>
      <c r="M716" s="20"/>
    </row>
    <row r="717">
      <c r="B717" s="20"/>
      <c r="D717" s="41"/>
      <c r="E717" s="41"/>
      <c r="F717" s="20"/>
      <c r="G717" s="20"/>
      <c r="I717" s="41"/>
      <c r="M717" s="20"/>
    </row>
    <row r="718">
      <c r="B718" s="20"/>
      <c r="D718" s="41"/>
      <c r="E718" s="41"/>
      <c r="F718" s="20"/>
      <c r="G718" s="20"/>
      <c r="I718" s="41"/>
      <c r="M718" s="20"/>
    </row>
    <row r="719">
      <c r="B719" s="20"/>
      <c r="D719" s="41"/>
      <c r="E719" s="41"/>
      <c r="F719" s="20"/>
      <c r="G719" s="20"/>
      <c r="I719" s="41"/>
      <c r="M719" s="20"/>
    </row>
    <row r="720">
      <c r="B720" s="20"/>
      <c r="D720" s="41"/>
      <c r="E720" s="41"/>
      <c r="F720" s="20"/>
      <c r="G720" s="20"/>
      <c r="I720" s="41"/>
      <c r="M720" s="20"/>
    </row>
    <row r="721">
      <c r="B721" s="20"/>
      <c r="D721" s="41"/>
      <c r="E721" s="41"/>
      <c r="F721" s="20"/>
      <c r="G721" s="20"/>
      <c r="I721" s="41"/>
      <c r="M721" s="20"/>
    </row>
    <row r="722">
      <c r="B722" s="20"/>
      <c r="D722" s="41"/>
      <c r="E722" s="41"/>
      <c r="F722" s="20"/>
      <c r="G722" s="20"/>
      <c r="I722" s="41"/>
      <c r="M722" s="20"/>
    </row>
    <row r="723">
      <c r="B723" s="20"/>
      <c r="D723" s="41"/>
      <c r="E723" s="41"/>
      <c r="F723" s="20"/>
      <c r="G723" s="20"/>
      <c r="I723" s="41"/>
      <c r="M723" s="20"/>
    </row>
    <row r="724">
      <c r="B724" s="20"/>
      <c r="D724" s="41"/>
      <c r="E724" s="41"/>
      <c r="F724" s="20"/>
      <c r="G724" s="20"/>
      <c r="I724" s="41"/>
      <c r="M724" s="20"/>
    </row>
    <row r="725">
      <c r="B725" s="20"/>
      <c r="D725" s="41"/>
      <c r="E725" s="41"/>
      <c r="F725" s="20"/>
      <c r="G725" s="20"/>
      <c r="I725" s="41"/>
      <c r="M725" s="20"/>
    </row>
    <row r="726">
      <c r="B726" s="20"/>
      <c r="D726" s="41"/>
      <c r="E726" s="41"/>
      <c r="F726" s="20"/>
      <c r="G726" s="20"/>
      <c r="I726" s="41"/>
      <c r="M726" s="20"/>
    </row>
    <row r="727">
      <c r="B727" s="20"/>
      <c r="D727" s="41"/>
      <c r="E727" s="41"/>
      <c r="F727" s="20"/>
      <c r="G727" s="20"/>
      <c r="I727" s="41"/>
      <c r="M727" s="20"/>
    </row>
    <row r="728">
      <c r="B728" s="20"/>
      <c r="D728" s="41"/>
      <c r="E728" s="41"/>
      <c r="F728" s="20"/>
      <c r="G728" s="20"/>
      <c r="I728" s="41"/>
      <c r="M728" s="20"/>
    </row>
    <row r="729">
      <c r="B729" s="20"/>
      <c r="D729" s="41"/>
      <c r="E729" s="41"/>
      <c r="F729" s="20"/>
      <c r="G729" s="20"/>
      <c r="I729" s="41"/>
      <c r="M729" s="20"/>
    </row>
    <row r="730">
      <c r="B730" s="20"/>
      <c r="D730" s="41"/>
      <c r="E730" s="41"/>
      <c r="F730" s="20"/>
      <c r="G730" s="20"/>
      <c r="I730" s="41"/>
      <c r="M730" s="20"/>
    </row>
    <row r="731">
      <c r="B731" s="20"/>
      <c r="D731" s="41"/>
      <c r="E731" s="41"/>
      <c r="F731" s="20"/>
      <c r="G731" s="20"/>
      <c r="I731" s="41"/>
      <c r="M731" s="20"/>
    </row>
    <row r="732">
      <c r="B732" s="20"/>
      <c r="D732" s="41"/>
      <c r="E732" s="41"/>
      <c r="F732" s="20"/>
      <c r="G732" s="20"/>
      <c r="I732" s="41"/>
      <c r="M732" s="20"/>
    </row>
    <row r="733">
      <c r="B733" s="20"/>
      <c r="D733" s="41"/>
      <c r="E733" s="41"/>
      <c r="F733" s="20"/>
      <c r="G733" s="20"/>
      <c r="I733" s="41"/>
      <c r="M733" s="20"/>
    </row>
    <row r="734">
      <c r="B734" s="20"/>
      <c r="D734" s="41"/>
      <c r="E734" s="41"/>
      <c r="F734" s="20"/>
      <c r="G734" s="20"/>
      <c r="I734" s="41"/>
      <c r="M734" s="20"/>
    </row>
    <row r="735">
      <c r="B735" s="20"/>
      <c r="D735" s="41"/>
      <c r="E735" s="41"/>
      <c r="F735" s="20"/>
      <c r="G735" s="20"/>
      <c r="I735" s="41"/>
      <c r="M735" s="20"/>
    </row>
    <row r="736">
      <c r="B736" s="20"/>
      <c r="D736" s="41"/>
      <c r="E736" s="41"/>
      <c r="F736" s="20"/>
      <c r="G736" s="20"/>
      <c r="I736" s="41"/>
      <c r="M736" s="20"/>
    </row>
    <row r="737">
      <c r="B737" s="20"/>
      <c r="D737" s="41"/>
      <c r="E737" s="41"/>
      <c r="F737" s="20"/>
      <c r="G737" s="20"/>
      <c r="I737" s="41"/>
      <c r="M737" s="20"/>
    </row>
    <row r="738">
      <c r="B738" s="20"/>
      <c r="D738" s="41"/>
      <c r="E738" s="41"/>
      <c r="F738" s="20"/>
      <c r="G738" s="20"/>
      <c r="I738" s="41"/>
      <c r="M738" s="20"/>
    </row>
    <row r="739">
      <c r="B739" s="20"/>
      <c r="D739" s="41"/>
      <c r="E739" s="41"/>
      <c r="F739" s="20"/>
      <c r="G739" s="20"/>
      <c r="I739" s="41"/>
      <c r="M739" s="20"/>
    </row>
    <row r="740">
      <c r="B740" s="20"/>
      <c r="D740" s="41"/>
      <c r="E740" s="41"/>
      <c r="F740" s="20"/>
      <c r="G740" s="20"/>
      <c r="I740" s="41"/>
      <c r="M740" s="20"/>
    </row>
    <row r="741">
      <c r="B741" s="20"/>
      <c r="D741" s="41"/>
      <c r="E741" s="41"/>
      <c r="F741" s="20"/>
      <c r="G741" s="20"/>
      <c r="I741" s="41"/>
      <c r="M741" s="20"/>
    </row>
    <row r="742">
      <c r="B742" s="20"/>
      <c r="D742" s="41"/>
      <c r="E742" s="41"/>
      <c r="F742" s="20"/>
      <c r="G742" s="20"/>
      <c r="I742" s="41"/>
      <c r="M742" s="20"/>
    </row>
    <row r="743">
      <c r="B743" s="20"/>
      <c r="D743" s="41"/>
      <c r="E743" s="41"/>
      <c r="F743" s="20"/>
      <c r="G743" s="20"/>
      <c r="I743" s="41"/>
      <c r="M743" s="20"/>
    </row>
    <row r="744">
      <c r="B744" s="20"/>
      <c r="D744" s="41"/>
      <c r="E744" s="41"/>
      <c r="F744" s="20"/>
      <c r="G744" s="20"/>
      <c r="I744" s="41"/>
      <c r="M744" s="20"/>
    </row>
    <row r="745">
      <c r="B745" s="20"/>
      <c r="D745" s="41"/>
      <c r="E745" s="41"/>
      <c r="F745" s="20"/>
      <c r="G745" s="20"/>
      <c r="I745" s="41"/>
      <c r="M745" s="20"/>
    </row>
    <row r="746">
      <c r="B746" s="20"/>
      <c r="D746" s="41"/>
      <c r="E746" s="41"/>
      <c r="F746" s="20"/>
      <c r="G746" s="20"/>
      <c r="I746" s="41"/>
      <c r="M746" s="20"/>
    </row>
    <row r="747">
      <c r="B747" s="20"/>
      <c r="D747" s="41"/>
      <c r="E747" s="41"/>
      <c r="F747" s="20"/>
      <c r="G747" s="20"/>
      <c r="I747" s="41"/>
      <c r="M747" s="20"/>
    </row>
    <row r="748">
      <c r="B748" s="20"/>
      <c r="D748" s="41"/>
      <c r="E748" s="41"/>
      <c r="F748" s="20"/>
      <c r="G748" s="20"/>
      <c r="I748" s="41"/>
      <c r="M748" s="20"/>
    </row>
    <row r="749">
      <c r="B749" s="20"/>
      <c r="D749" s="41"/>
      <c r="E749" s="41"/>
      <c r="F749" s="20"/>
      <c r="G749" s="20"/>
      <c r="I749" s="41"/>
      <c r="M749" s="20"/>
    </row>
    <row r="750">
      <c r="B750" s="20"/>
      <c r="D750" s="41"/>
      <c r="E750" s="41"/>
      <c r="F750" s="20"/>
      <c r="G750" s="20"/>
      <c r="I750" s="41"/>
      <c r="M750" s="20"/>
    </row>
    <row r="751">
      <c r="B751" s="20"/>
      <c r="D751" s="41"/>
      <c r="E751" s="41"/>
      <c r="F751" s="20"/>
      <c r="G751" s="20"/>
      <c r="I751" s="41"/>
      <c r="M751" s="20"/>
    </row>
    <row r="752">
      <c r="B752" s="20"/>
      <c r="D752" s="41"/>
      <c r="E752" s="41"/>
      <c r="F752" s="20"/>
      <c r="G752" s="20"/>
      <c r="I752" s="41"/>
      <c r="M752" s="20"/>
    </row>
    <row r="753">
      <c r="B753" s="20"/>
      <c r="D753" s="41"/>
      <c r="E753" s="41"/>
      <c r="F753" s="20"/>
      <c r="G753" s="20"/>
      <c r="I753" s="41"/>
      <c r="M753" s="20"/>
    </row>
    <row r="754">
      <c r="B754" s="20"/>
      <c r="D754" s="41"/>
      <c r="E754" s="41"/>
      <c r="F754" s="20"/>
      <c r="G754" s="20"/>
      <c r="I754" s="41"/>
      <c r="M754" s="20"/>
    </row>
    <row r="755">
      <c r="B755" s="20"/>
      <c r="D755" s="41"/>
      <c r="E755" s="41"/>
      <c r="F755" s="20"/>
      <c r="G755" s="20"/>
      <c r="I755" s="41"/>
      <c r="M755" s="20"/>
    </row>
    <row r="756">
      <c r="B756" s="20"/>
      <c r="D756" s="41"/>
      <c r="E756" s="41"/>
      <c r="F756" s="20"/>
      <c r="G756" s="20"/>
      <c r="I756" s="41"/>
      <c r="M756" s="20"/>
    </row>
    <row r="757">
      <c r="B757" s="20"/>
      <c r="D757" s="41"/>
      <c r="E757" s="41"/>
      <c r="F757" s="20"/>
      <c r="G757" s="20"/>
      <c r="I757" s="41"/>
      <c r="M757" s="20"/>
    </row>
    <row r="758">
      <c r="B758" s="20"/>
      <c r="D758" s="41"/>
      <c r="E758" s="41"/>
      <c r="F758" s="20"/>
      <c r="G758" s="20"/>
      <c r="I758" s="41"/>
      <c r="M758" s="20"/>
    </row>
    <row r="759">
      <c r="B759" s="20"/>
      <c r="D759" s="41"/>
      <c r="E759" s="41"/>
      <c r="F759" s="20"/>
      <c r="G759" s="20"/>
      <c r="I759" s="41"/>
      <c r="M759" s="20"/>
    </row>
    <row r="760">
      <c r="B760" s="20"/>
      <c r="D760" s="41"/>
      <c r="E760" s="41"/>
      <c r="F760" s="20"/>
      <c r="G760" s="20"/>
      <c r="I760" s="41"/>
      <c r="M760" s="20"/>
    </row>
    <row r="761">
      <c r="B761" s="20"/>
      <c r="D761" s="41"/>
      <c r="E761" s="41"/>
      <c r="F761" s="20"/>
      <c r="G761" s="20"/>
      <c r="I761" s="41"/>
      <c r="M761" s="20"/>
    </row>
    <row r="762">
      <c r="B762" s="20"/>
      <c r="D762" s="41"/>
      <c r="E762" s="41"/>
      <c r="F762" s="20"/>
      <c r="G762" s="20"/>
      <c r="I762" s="41"/>
      <c r="M762" s="20"/>
    </row>
    <row r="763">
      <c r="B763" s="20"/>
      <c r="D763" s="41"/>
      <c r="E763" s="41"/>
      <c r="F763" s="20"/>
      <c r="G763" s="20"/>
      <c r="I763" s="41"/>
      <c r="M763" s="20"/>
    </row>
    <row r="764">
      <c r="B764" s="20"/>
      <c r="D764" s="41"/>
      <c r="E764" s="41"/>
      <c r="F764" s="20"/>
      <c r="G764" s="20"/>
      <c r="I764" s="41"/>
      <c r="M764" s="20"/>
    </row>
    <row r="765">
      <c r="B765" s="20"/>
      <c r="D765" s="41"/>
      <c r="E765" s="41"/>
      <c r="F765" s="20"/>
      <c r="G765" s="20"/>
      <c r="I765" s="41"/>
      <c r="M765" s="20"/>
    </row>
    <row r="766">
      <c r="B766" s="20"/>
      <c r="D766" s="41"/>
      <c r="E766" s="41"/>
      <c r="F766" s="20"/>
      <c r="G766" s="20"/>
      <c r="I766" s="41"/>
      <c r="M766" s="20"/>
    </row>
    <row r="767">
      <c r="B767" s="20"/>
      <c r="D767" s="41"/>
      <c r="E767" s="41"/>
      <c r="F767" s="20"/>
      <c r="G767" s="20"/>
      <c r="I767" s="41"/>
      <c r="M767" s="20"/>
    </row>
    <row r="768">
      <c r="B768" s="20"/>
      <c r="D768" s="41"/>
      <c r="E768" s="41"/>
      <c r="F768" s="20"/>
      <c r="G768" s="20"/>
      <c r="I768" s="41"/>
      <c r="M768" s="20"/>
    </row>
    <row r="769">
      <c r="B769" s="20"/>
      <c r="D769" s="41"/>
      <c r="E769" s="41"/>
      <c r="F769" s="20"/>
      <c r="G769" s="20"/>
      <c r="I769" s="41"/>
      <c r="M769" s="20"/>
    </row>
    <row r="770">
      <c r="B770" s="20"/>
      <c r="D770" s="41"/>
      <c r="E770" s="41"/>
      <c r="F770" s="20"/>
      <c r="G770" s="20"/>
      <c r="I770" s="41"/>
      <c r="M770" s="20"/>
    </row>
    <row r="771">
      <c r="B771" s="20"/>
      <c r="D771" s="41"/>
      <c r="E771" s="41"/>
      <c r="F771" s="20"/>
      <c r="G771" s="20"/>
      <c r="I771" s="41"/>
      <c r="M771" s="20"/>
    </row>
    <row r="772">
      <c r="B772" s="20"/>
      <c r="D772" s="41"/>
      <c r="E772" s="41"/>
      <c r="F772" s="20"/>
      <c r="G772" s="20"/>
      <c r="I772" s="41"/>
      <c r="M772" s="20"/>
    </row>
    <row r="773">
      <c r="B773" s="20"/>
      <c r="D773" s="41"/>
      <c r="E773" s="41"/>
      <c r="F773" s="20"/>
      <c r="G773" s="20"/>
      <c r="I773" s="41"/>
      <c r="M773" s="20"/>
    </row>
    <row r="774">
      <c r="B774" s="20"/>
      <c r="D774" s="41"/>
      <c r="E774" s="41"/>
      <c r="F774" s="20"/>
      <c r="G774" s="20"/>
      <c r="I774" s="41"/>
      <c r="M774" s="20"/>
    </row>
    <row r="775">
      <c r="B775" s="20"/>
      <c r="D775" s="41"/>
      <c r="E775" s="41"/>
      <c r="F775" s="20"/>
      <c r="G775" s="20"/>
      <c r="I775" s="41"/>
      <c r="M775" s="20"/>
    </row>
    <row r="776">
      <c r="B776" s="20"/>
      <c r="D776" s="41"/>
      <c r="E776" s="41"/>
      <c r="F776" s="20"/>
      <c r="G776" s="20"/>
      <c r="I776" s="41"/>
      <c r="M776" s="20"/>
    </row>
    <row r="777">
      <c r="B777" s="20"/>
      <c r="D777" s="41"/>
      <c r="E777" s="41"/>
      <c r="F777" s="20"/>
      <c r="G777" s="20"/>
      <c r="I777" s="41"/>
      <c r="M777" s="20"/>
    </row>
    <row r="778">
      <c r="B778" s="20"/>
      <c r="D778" s="41"/>
      <c r="E778" s="41"/>
      <c r="F778" s="20"/>
      <c r="G778" s="20"/>
      <c r="I778" s="41"/>
      <c r="M778" s="20"/>
    </row>
    <row r="779">
      <c r="B779" s="20"/>
      <c r="D779" s="41"/>
      <c r="E779" s="41"/>
      <c r="F779" s="20"/>
      <c r="G779" s="20"/>
      <c r="I779" s="41"/>
      <c r="M779" s="20"/>
    </row>
    <row r="780">
      <c r="B780" s="20"/>
      <c r="D780" s="41"/>
      <c r="E780" s="41"/>
      <c r="F780" s="20"/>
      <c r="G780" s="20"/>
      <c r="I780" s="41"/>
      <c r="M780" s="20"/>
    </row>
    <row r="781">
      <c r="B781" s="20"/>
      <c r="D781" s="41"/>
      <c r="E781" s="41"/>
      <c r="F781" s="20"/>
      <c r="G781" s="20"/>
      <c r="I781" s="41"/>
      <c r="M781" s="20"/>
    </row>
    <row r="782">
      <c r="B782" s="20"/>
      <c r="D782" s="41"/>
      <c r="E782" s="41"/>
      <c r="F782" s="20"/>
      <c r="G782" s="20"/>
      <c r="I782" s="41"/>
      <c r="M782" s="20"/>
    </row>
    <row r="783">
      <c r="B783" s="20"/>
      <c r="D783" s="41"/>
      <c r="E783" s="41"/>
      <c r="F783" s="20"/>
      <c r="G783" s="20"/>
      <c r="I783" s="41"/>
      <c r="M783" s="20"/>
    </row>
    <row r="784">
      <c r="B784" s="20"/>
      <c r="D784" s="41"/>
      <c r="E784" s="41"/>
      <c r="F784" s="20"/>
      <c r="G784" s="20"/>
      <c r="I784" s="41"/>
      <c r="M784" s="20"/>
    </row>
    <row r="785">
      <c r="B785" s="20"/>
      <c r="D785" s="41"/>
      <c r="E785" s="41"/>
      <c r="F785" s="20"/>
      <c r="G785" s="20"/>
      <c r="I785" s="41"/>
      <c r="M785" s="20"/>
    </row>
    <row r="786">
      <c r="B786" s="20"/>
      <c r="D786" s="41"/>
      <c r="E786" s="41"/>
      <c r="F786" s="20"/>
      <c r="G786" s="20"/>
      <c r="I786" s="41"/>
      <c r="M786" s="20"/>
    </row>
    <row r="787">
      <c r="B787" s="20"/>
      <c r="D787" s="41"/>
      <c r="E787" s="41"/>
      <c r="F787" s="20"/>
      <c r="G787" s="20"/>
      <c r="I787" s="41"/>
      <c r="M787" s="20"/>
    </row>
    <row r="788">
      <c r="B788" s="20"/>
      <c r="D788" s="41"/>
      <c r="E788" s="41"/>
      <c r="F788" s="20"/>
      <c r="G788" s="20"/>
      <c r="I788" s="41"/>
      <c r="M788" s="20"/>
    </row>
    <row r="789">
      <c r="B789" s="20"/>
      <c r="D789" s="41"/>
      <c r="E789" s="41"/>
      <c r="F789" s="20"/>
      <c r="G789" s="20"/>
      <c r="I789" s="41"/>
      <c r="M789" s="20"/>
    </row>
    <row r="790">
      <c r="B790" s="20"/>
      <c r="D790" s="41"/>
      <c r="E790" s="41"/>
      <c r="F790" s="20"/>
      <c r="G790" s="20"/>
      <c r="I790" s="41"/>
      <c r="M790" s="20"/>
    </row>
    <row r="791">
      <c r="B791" s="20"/>
      <c r="D791" s="41"/>
      <c r="E791" s="41"/>
      <c r="F791" s="20"/>
      <c r="G791" s="20"/>
      <c r="I791" s="41"/>
      <c r="M791" s="20"/>
    </row>
    <row r="792">
      <c r="B792" s="20"/>
      <c r="D792" s="41"/>
      <c r="E792" s="41"/>
      <c r="F792" s="20"/>
      <c r="G792" s="20"/>
      <c r="I792" s="41"/>
      <c r="M792" s="20"/>
    </row>
    <row r="793">
      <c r="B793" s="20"/>
      <c r="D793" s="41"/>
      <c r="E793" s="41"/>
      <c r="F793" s="20"/>
      <c r="G793" s="20"/>
      <c r="I793" s="41"/>
      <c r="M793" s="20"/>
    </row>
    <row r="794">
      <c r="B794" s="20"/>
      <c r="D794" s="41"/>
      <c r="E794" s="41"/>
      <c r="F794" s="20"/>
      <c r="G794" s="20"/>
      <c r="I794" s="41"/>
      <c r="M794" s="20"/>
    </row>
    <row r="795">
      <c r="B795" s="20"/>
      <c r="D795" s="41"/>
      <c r="E795" s="41"/>
      <c r="F795" s="20"/>
      <c r="G795" s="20"/>
      <c r="I795" s="41"/>
      <c r="M795" s="20"/>
    </row>
    <row r="796">
      <c r="B796" s="20"/>
      <c r="D796" s="41"/>
      <c r="E796" s="41"/>
      <c r="F796" s="20"/>
      <c r="G796" s="20"/>
      <c r="I796" s="41"/>
      <c r="M796" s="20"/>
    </row>
    <row r="797">
      <c r="B797" s="20"/>
      <c r="D797" s="41"/>
      <c r="E797" s="41"/>
      <c r="F797" s="20"/>
      <c r="G797" s="20"/>
      <c r="I797" s="41"/>
      <c r="M797" s="20"/>
    </row>
    <row r="798">
      <c r="B798" s="20"/>
      <c r="D798" s="41"/>
      <c r="E798" s="41"/>
      <c r="F798" s="20"/>
      <c r="G798" s="20"/>
      <c r="I798" s="41"/>
      <c r="M798" s="20"/>
    </row>
    <row r="799">
      <c r="B799" s="20"/>
      <c r="D799" s="41"/>
      <c r="E799" s="41"/>
      <c r="F799" s="20"/>
      <c r="G799" s="20"/>
      <c r="I799" s="41"/>
      <c r="M799" s="20"/>
    </row>
    <row r="800">
      <c r="B800" s="20"/>
      <c r="D800" s="41"/>
      <c r="E800" s="41"/>
      <c r="F800" s="20"/>
      <c r="G800" s="20"/>
      <c r="I800" s="41"/>
      <c r="M800" s="20"/>
    </row>
    <row r="801">
      <c r="B801" s="20"/>
      <c r="D801" s="41"/>
      <c r="E801" s="41"/>
      <c r="F801" s="20"/>
      <c r="G801" s="20"/>
      <c r="I801" s="41"/>
      <c r="M801" s="20"/>
    </row>
    <row r="802">
      <c r="B802" s="20"/>
      <c r="D802" s="41"/>
      <c r="E802" s="41"/>
      <c r="F802" s="20"/>
      <c r="G802" s="20"/>
      <c r="I802" s="41"/>
      <c r="M802" s="20"/>
    </row>
    <row r="803">
      <c r="B803" s="20"/>
      <c r="D803" s="41"/>
      <c r="E803" s="41"/>
      <c r="F803" s="20"/>
      <c r="G803" s="20"/>
      <c r="I803" s="41"/>
      <c r="M803" s="20"/>
    </row>
    <row r="804">
      <c r="B804" s="20"/>
      <c r="D804" s="41"/>
      <c r="E804" s="41"/>
      <c r="F804" s="20"/>
      <c r="G804" s="20"/>
      <c r="I804" s="41"/>
      <c r="M804" s="20"/>
    </row>
    <row r="805">
      <c r="B805" s="20"/>
      <c r="D805" s="41"/>
      <c r="E805" s="41"/>
      <c r="F805" s="20"/>
      <c r="G805" s="20"/>
      <c r="I805" s="41"/>
      <c r="M805" s="20"/>
    </row>
    <row r="806">
      <c r="B806" s="20"/>
      <c r="D806" s="41"/>
      <c r="E806" s="41"/>
      <c r="F806" s="20"/>
      <c r="G806" s="20"/>
      <c r="I806" s="41"/>
      <c r="M806" s="20"/>
    </row>
    <row r="807">
      <c r="B807" s="20"/>
      <c r="D807" s="41"/>
      <c r="E807" s="41"/>
      <c r="F807" s="20"/>
      <c r="G807" s="20"/>
      <c r="I807" s="41"/>
      <c r="M807" s="20"/>
    </row>
    <row r="808">
      <c r="B808" s="20"/>
      <c r="D808" s="41"/>
      <c r="E808" s="41"/>
      <c r="F808" s="20"/>
      <c r="G808" s="20"/>
      <c r="I808" s="41"/>
      <c r="M808" s="20"/>
    </row>
    <row r="809">
      <c r="B809" s="20"/>
      <c r="D809" s="41"/>
      <c r="E809" s="41"/>
      <c r="F809" s="20"/>
      <c r="G809" s="20"/>
      <c r="I809" s="41"/>
      <c r="M809" s="20"/>
    </row>
    <row r="810">
      <c r="B810" s="20"/>
      <c r="D810" s="41"/>
      <c r="E810" s="41"/>
      <c r="F810" s="20"/>
      <c r="G810" s="20"/>
      <c r="I810" s="41"/>
      <c r="M810" s="20"/>
    </row>
    <row r="811">
      <c r="B811" s="20"/>
      <c r="D811" s="41"/>
      <c r="E811" s="41"/>
      <c r="F811" s="20"/>
      <c r="G811" s="20"/>
      <c r="I811" s="41"/>
      <c r="M811" s="20"/>
    </row>
    <row r="812">
      <c r="B812" s="20"/>
      <c r="D812" s="41"/>
      <c r="E812" s="41"/>
      <c r="F812" s="20"/>
      <c r="G812" s="20"/>
      <c r="I812" s="41"/>
      <c r="M812" s="20"/>
    </row>
    <row r="813">
      <c r="B813" s="20"/>
      <c r="D813" s="41"/>
      <c r="E813" s="41"/>
      <c r="F813" s="20"/>
      <c r="G813" s="20"/>
      <c r="I813" s="41"/>
      <c r="M813" s="20"/>
    </row>
    <row r="814">
      <c r="B814" s="20"/>
      <c r="D814" s="41"/>
      <c r="E814" s="41"/>
      <c r="F814" s="20"/>
      <c r="G814" s="20"/>
      <c r="I814" s="41"/>
      <c r="M814" s="20"/>
    </row>
    <row r="815">
      <c r="B815" s="20"/>
      <c r="D815" s="41"/>
      <c r="E815" s="41"/>
      <c r="F815" s="20"/>
      <c r="G815" s="20"/>
      <c r="I815" s="41"/>
      <c r="M815" s="20"/>
    </row>
    <row r="816">
      <c r="B816" s="20"/>
      <c r="D816" s="41"/>
      <c r="E816" s="41"/>
      <c r="F816" s="20"/>
      <c r="G816" s="20"/>
      <c r="I816" s="41"/>
      <c r="M816" s="20"/>
    </row>
    <row r="817">
      <c r="B817" s="20"/>
      <c r="D817" s="41"/>
      <c r="E817" s="41"/>
      <c r="F817" s="20"/>
      <c r="G817" s="20"/>
      <c r="I817" s="41"/>
      <c r="M817" s="20"/>
    </row>
    <row r="818">
      <c r="B818" s="20"/>
      <c r="D818" s="41"/>
      <c r="E818" s="41"/>
      <c r="F818" s="20"/>
      <c r="G818" s="20"/>
      <c r="I818" s="41"/>
      <c r="M818" s="20"/>
    </row>
    <row r="819">
      <c r="B819" s="20"/>
      <c r="D819" s="41"/>
      <c r="E819" s="41"/>
      <c r="F819" s="20"/>
      <c r="G819" s="20"/>
      <c r="I819" s="41"/>
      <c r="M819" s="20"/>
    </row>
    <row r="820">
      <c r="B820" s="20"/>
      <c r="D820" s="41"/>
      <c r="E820" s="41"/>
      <c r="F820" s="20"/>
      <c r="G820" s="20"/>
      <c r="I820" s="41"/>
      <c r="M820" s="20"/>
    </row>
    <row r="821">
      <c r="B821" s="20"/>
      <c r="D821" s="41"/>
      <c r="E821" s="41"/>
      <c r="F821" s="20"/>
      <c r="G821" s="20"/>
      <c r="I821" s="41"/>
      <c r="M821" s="20"/>
    </row>
    <row r="822">
      <c r="B822" s="20"/>
      <c r="D822" s="41"/>
      <c r="E822" s="41"/>
      <c r="F822" s="20"/>
      <c r="G822" s="20"/>
      <c r="I822" s="41"/>
      <c r="M822" s="20"/>
    </row>
    <row r="823">
      <c r="B823" s="20"/>
      <c r="D823" s="41"/>
      <c r="E823" s="41"/>
      <c r="F823" s="20"/>
      <c r="G823" s="20"/>
      <c r="I823" s="41"/>
      <c r="M823" s="20"/>
    </row>
    <row r="824">
      <c r="B824" s="20"/>
      <c r="D824" s="41"/>
      <c r="E824" s="41"/>
      <c r="F824" s="20"/>
      <c r="G824" s="20"/>
      <c r="I824" s="41"/>
      <c r="M824" s="20"/>
    </row>
    <row r="825">
      <c r="B825" s="20"/>
      <c r="D825" s="41"/>
      <c r="E825" s="41"/>
      <c r="F825" s="20"/>
      <c r="G825" s="20"/>
      <c r="I825" s="41"/>
      <c r="M825" s="20"/>
    </row>
    <row r="826">
      <c r="B826" s="20"/>
      <c r="D826" s="41"/>
      <c r="E826" s="41"/>
      <c r="F826" s="20"/>
      <c r="G826" s="20"/>
      <c r="I826" s="41"/>
      <c r="M826" s="20"/>
    </row>
    <row r="827">
      <c r="B827" s="20"/>
      <c r="D827" s="41"/>
      <c r="E827" s="41"/>
      <c r="F827" s="20"/>
      <c r="G827" s="20"/>
      <c r="I827" s="41"/>
      <c r="M827" s="20"/>
    </row>
    <row r="828">
      <c r="B828" s="20"/>
      <c r="D828" s="41"/>
      <c r="E828" s="41"/>
      <c r="F828" s="20"/>
      <c r="G828" s="20"/>
      <c r="I828" s="41"/>
      <c r="M828" s="20"/>
    </row>
    <row r="829">
      <c r="B829" s="20"/>
      <c r="D829" s="41"/>
      <c r="E829" s="41"/>
      <c r="F829" s="20"/>
      <c r="G829" s="20"/>
      <c r="I829" s="41"/>
      <c r="M829" s="20"/>
    </row>
    <row r="830">
      <c r="B830" s="20"/>
      <c r="D830" s="41"/>
      <c r="E830" s="41"/>
      <c r="F830" s="20"/>
      <c r="G830" s="20"/>
      <c r="I830" s="41"/>
      <c r="M830" s="20"/>
    </row>
    <row r="831">
      <c r="B831" s="20"/>
      <c r="D831" s="41"/>
      <c r="E831" s="41"/>
      <c r="F831" s="20"/>
      <c r="G831" s="20"/>
      <c r="I831" s="41"/>
      <c r="M831" s="20"/>
    </row>
    <row r="832">
      <c r="B832" s="20"/>
      <c r="D832" s="41"/>
      <c r="E832" s="41"/>
      <c r="F832" s="20"/>
      <c r="G832" s="20"/>
      <c r="I832" s="41"/>
      <c r="M832" s="20"/>
    </row>
    <row r="833">
      <c r="B833" s="20"/>
      <c r="D833" s="41"/>
      <c r="E833" s="41"/>
      <c r="F833" s="20"/>
      <c r="G833" s="20"/>
      <c r="I833" s="41"/>
      <c r="M833" s="20"/>
    </row>
    <row r="834">
      <c r="B834" s="20"/>
      <c r="D834" s="41"/>
      <c r="E834" s="41"/>
      <c r="F834" s="20"/>
      <c r="G834" s="20"/>
      <c r="I834" s="41"/>
      <c r="M834" s="20"/>
    </row>
    <row r="835">
      <c r="B835" s="20"/>
      <c r="D835" s="41"/>
      <c r="E835" s="41"/>
      <c r="F835" s="20"/>
      <c r="G835" s="20"/>
      <c r="I835" s="41"/>
      <c r="M835" s="20"/>
    </row>
    <row r="836">
      <c r="B836" s="20"/>
      <c r="D836" s="41"/>
      <c r="E836" s="41"/>
      <c r="F836" s="20"/>
      <c r="G836" s="20"/>
      <c r="I836" s="41"/>
      <c r="M836" s="20"/>
    </row>
    <row r="837">
      <c r="B837" s="20"/>
      <c r="D837" s="41"/>
      <c r="E837" s="41"/>
      <c r="F837" s="20"/>
      <c r="G837" s="20"/>
      <c r="I837" s="41"/>
      <c r="M837" s="20"/>
    </row>
    <row r="838">
      <c r="B838" s="20"/>
      <c r="D838" s="41"/>
      <c r="E838" s="41"/>
      <c r="F838" s="20"/>
      <c r="G838" s="20"/>
      <c r="I838" s="41"/>
      <c r="M838" s="20"/>
    </row>
    <row r="839">
      <c r="B839" s="20"/>
      <c r="D839" s="41"/>
      <c r="E839" s="41"/>
      <c r="F839" s="20"/>
      <c r="G839" s="20"/>
      <c r="I839" s="41"/>
      <c r="M839" s="20"/>
    </row>
    <row r="840">
      <c r="B840" s="20"/>
      <c r="D840" s="41"/>
      <c r="E840" s="41"/>
      <c r="F840" s="20"/>
      <c r="G840" s="20"/>
      <c r="I840" s="41"/>
      <c r="M840" s="20"/>
    </row>
    <row r="841">
      <c r="B841" s="20"/>
      <c r="D841" s="41"/>
      <c r="E841" s="41"/>
      <c r="F841" s="20"/>
      <c r="G841" s="20"/>
      <c r="I841" s="41"/>
      <c r="M841" s="20"/>
    </row>
    <row r="842">
      <c r="B842" s="20"/>
      <c r="D842" s="41"/>
      <c r="E842" s="41"/>
      <c r="F842" s="20"/>
      <c r="G842" s="20"/>
      <c r="I842" s="41"/>
      <c r="M842" s="20"/>
    </row>
    <row r="843">
      <c r="B843" s="20"/>
      <c r="D843" s="41"/>
      <c r="E843" s="41"/>
      <c r="F843" s="20"/>
      <c r="G843" s="20"/>
      <c r="I843" s="41"/>
      <c r="M843" s="20"/>
    </row>
    <row r="844">
      <c r="B844" s="20"/>
      <c r="D844" s="41"/>
      <c r="E844" s="41"/>
      <c r="F844" s="20"/>
      <c r="G844" s="20"/>
      <c r="I844" s="41"/>
      <c r="M844" s="20"/>
    </row>
    <row r="845">
      <c r="B845" s="20"/>
      <c r="D845" s="41"/>
      <c r="E845" s="41"/>
      <c r="F845" s="20"/>
      <c r="G845" s="20"/>
      <c r="I845" s="41"/>
      <c r="M845" s="20"/>
    </row>
    <row r="846">
      <c r="B846" s="20"/>
      <c r="D846" s="41"/>
      <c r="E846" s="41"/>
      <c r="F846" s="20"/>
      <c r="G846" s="20"/>
      <c r="I846" s="41"/>
      <c r="M846" s="20"/>
    </row>
    <row r="847">
      <c r="B847" s="20"/>
      <c r="D847" s="41"/>
      <c r="E847" s="41"/>
      <c r="F847" s="20"/>
      <c r="G847" s="20"/>
      <c r="I847" s="41"/>
      <c r="M847" s="20"/>
    </row>
    <row r="848">
      <c r="B848" s="20"/>
      <c r="D848" s="41"/>
      <c r="E848" s="41"/>
      <c r="F848" s="20"/>
      <c r="G848" s="20"/>
      <c r="I848" s="41"/>
      <c r="M848" s="20"/>
    </row>
    <row r="849">
      <c r="B849" s="20"/>
      <c r="D849" s="41"/>
      <c r="E849" s="41"/>
      <c r="F849" s="20"/>
      <c r="G849" s="20"/>
      <c r="I849" s="41"/>
      <c r="M849" s="20"/>
    </row>
    <row r="850">
      <c r="B850" s="20"/>
      <c r="D850" s="41"/>
      <c r="E850" s="41"/>
      <c r="F850" s="20"/>
      <c r="G850" s="20"/>
      <c r="I850" s="41"/>
      <c r="M850" s="20"/>
    </row>
    <row r="851">
      <c r="B851" s="20"/>
      <c r="D851" s="41"/>
      <c r="E851" s="41"/>
      <c r="F851" s="20"/>
      <c r="G851" s="20"/>
      <c r="I851" s="41"/>
      <c r="M851" s="20"/>
    </row>
    <row r="852">
      <c r="B852" s="20"/>
      <c r="D852" s="41"/>
      <c r="E852" s="41"/>
      <c r="F852" s="20"/>
      <c r="G852" s="20"/>
      <c r="I852" s="41"/>
      <c r="M852" s="20"/>
    </row>
    <row r="853">
      <c r="B853" s="20"/>
      <c r="D853" s="41"/>
      <c r="E853" s="41"/>
      <c r="F853" s="20"/>
      <c r="G853" s="20"/>
      <c r="I853" s="41"/>
      <c r="M853" s="20"/>
    </row>
    <row r="854">
      <c r="B854" s="20"/>
      <c r="D854" s="41"/>
      <c r="E854" s="41"/>
      <c r="F854" s="20"/>
      <c r="G854" s="20"/>
      <c r="I854" s="41"/>
      <c r="M854" s="20"/>
    </row>
    <row r="855">
      <c r="B855" s="20"/>
      <c r="D855" s="41"/>
      <c r="E855" s="41"/>
      <c r="F855" s="20"/>
      <c r="G855" s="20"/>
      <c r="I855" s="41"/>
      <c r="M855" s="20"/>
    </row>
    <row r="856">
      <c r="B856" s="20"/>
      <c r="D856" s="41"/>
      <c r="E856" s="41"/>
      <c r="F856" s="20"/>
      <c r="G856" s="20"/>
      <c r="I856" s="41"/>
      <c r="M856" s="20"/>
    </row>
    <row r="857">
      <c r="B857" s="20"/>
      <c r="D857" s="41"/>
      <c r="E857" s="41"/>
      <c r="F857" s="20"/>
      <c r="G857" s="20"/>
      <c r="I857" s="41"/>
      <c r="M857" s="20"/>
    </row>
    <row r="858">
      <c r="B858" s="20"/>
      <c r="D858" s="41"/>
      <c r="E858" s="41"/>
      <c r="F858" s="20"/>
      <c r="G858" s="20"/>
      <c r="I858" s="41"/>
      <c r="M858" s="20"/>
    </row>
    <row r="859">
      <c r="B859" s="20"/>
      <c r="D859" s="41"/>
      <c r="E859" s="41"/>
      <c r="F859" s="20"/>
      <c r="G859" s="20"/>
      <c r="I859" s="41"/>
      <c r="M859" s="20"/>
    </row>
    <row r="860">
      <c r="B860" s="20"/>
      <c r="D860" s="41"/>
      <c r="E860" s="41"/>
      <c r="F860" s="20"/>
      <c r="G860" s="20"/>
      <c r="I860" s="41"/>
      <c r="M860" s="20"/>
    </row>
    <row r="861">
      <c r="B861" s="20"/>
      <c r="D861" s="41"/>
      <c r="E861" s="41"/>
      <c r="F861" s="20"/>
      <c r="G861" s="20"/>
      <c r="I861" s="41"/>
      <c r="M861" s="20"/>
    </row>
    <row r="862">
      <c r="B862" s="20"/>
      <c r="D862" s="41"/>
      <c r="E862" s="41"/>
      <c r="F862" s="20"/>
      <c r="G862" s="20"/>
      <c r="I862" s="41"/>
      <c r="M862" s="20"/>
    </row>
    <row r="863">
      <c r="B863" s="20"/>
      <c r="D863" s="41"/>
      <c r="E863" s="41"/>
      <c r="F863" s="20"/>
      <c r="G863" s="20"/>
      <c r="I863" s="41"/>
      <c r="M863" s="20"/>
    </row>
    <row r="864">
      <c r="B864" s="20"/>
      <c r="D864" s="41"/>
      <c r="E864" s="41"/>
      <c r="F864" s="20"/>
      <c r="G864" s="20"/>
      <c r="I864" s="41"/>
      <c r="M864" s="20"/>
    </row>
    <row r="865">
      <c r="B865" s="20"/>
      <c r="D865" s="41"/>
      <c r="E865" s="41"/>
      <c r="F865" s="20"/>
      <c r="G865" s="20"/>
      <c r="I865" s="41"/>
      <c r="M865" s="20"/>
    </row>
    <row r="866">
      <c r="B866" s="20"/>
      <c r="D866" s="41"/>
      <c r="E866" s="41"/>
      <c r="F866" s="20"/>
      <c r="G866" s="20"/>
      <c r="I866" s="41"/>
      <c r="M866" s="20"/>
    </row>
    <row r="867">
      <c r="B867" s="20"/>
      <c r="D867" s="41"/>
      <c r="E867" s="41"/>
      <c r="F867" s="20"/>
      <c r="G867" s="20"/>
      <c r="I867" s="41"/>
      <c r="M867" s="20"/>
    </row>
    <row r="868">
      <c r="B868" s="20"/>
      <c r="D868" s="41"/>
      <c r="E868" s="41"/>
      <c r="F868" s="20"/>
      <c r="G868" s="20"/>
      <c r="I868" s="41"/>
      <c r="M868" s="20"/>
    </row>
    <row r="869">
      <c r="B869" s="20"/>
      <c r="D869" s="41"/>
      <c r="E869" s="41"/>
      <c r="F869" s="20"/>
      <c r="G869" s="20"/>
      <c r="I869" s="41"/>
      <c r="M869" s="20"/>
    </row>
    <row r="870">
      <c r="B870" s="20"/>
      <c r="D870" s="41"/>
      <c r="E870" s="41"/>
      <c r="F870" s="20"/>
      <c r="G870" s="20"/>
      <c r="I870" s="41"/>
      <c r="M870" s="20"/>
    </row>
    <row r="871">
      <c r="B871" s="20"/>
      <c r="D871" s="41"/>
      <c r="E871" s="41"/>
      <c r="F871" s="20"/>
      <c r="G871" s="20"/>
      <c r="I871" s="41"/>
      <c r="M871" s="20"/>
    </row>
    <row r="872">
      <c r="B872" s="20"/>
      <c r="D872" s="41"/>
      <c r="E872" s="41"/>
      <c r="F872" s="20"/>
      <c r="G872" s="20"/>
      <c r="I872" s="41"/>
      <c r="M872" s="20"/>
    </row>
    <row r="873">
      <c r="B873" s="20"/>
      <c r="D873" s="41"/>
      <c r="E873" s="41"/>
      <c r="F873" s="20"/>
      <c r="G873" s="20"/>
      <c r="I873" s="41"/>
      <c r="M873" s="20"/>
    </row>
    <row r="874">
      <c r="B874" s="20"/>
      <c r="D874" s="41"/>
      <c r="E874" s="41"/>
      <c r="F874" s="20"/>
      <c r="G874" s="20"/>
      <c r="I874" s="41"/>
      <c r="M874" s="20"/>
    </row>
    <row r="875">
      <c r="B875" s="20"/>
      <c r="D875" s="41"/>
      <c r="E875" s="41"/>
      <c r="F875" s="20"/>
      <c r="G875" s="20"/>
      <c r="I875" s="41"/>
      <c r="M875" s="20"/>
    </row>
    <row r="876">
      <c r="B876" s="20"/>
      <c r="D876" s="41"/>
      <c r="E876" s="41"/>
      <c r="F876" s="20"/>
      <c r="G876" s="20"/>
      <c r="I876" s="41"/>
      <c r="M876" s="20"/>
    </row>
    <row r="877">
      <c r="B877" s="20"/>
      <c r="D877" s="41"/>
      <c r="E877" s="41"/>
      <c r="F877" s="20"/>
      <c r="G877" s="20"/>
      <c r="I877" s="41"/>
      <c r="M877" s="20"/>
    </row>
    <row r="878">
      <c r="B878" s="20"/>
      <c r="D878" s="41"/>
      <c r="E878" s="41"/>
      <c r="F878" s="20"/>
      <c r="G878" s="20"/>
      <c r="I878" s="41"/>
      <c r="M878" s="20"/>
    </row>
    <row r="879">
      <c r="B879" s="20"/>
      <c r="D879" s="41"/>
      <c r="E879" s="41"/>
      <c r="F879" s="20"/>
      <c r="G879" s="20"/>
      <c r="I879" s="41"/>
      <c r="M879" s="20"/>
    </row>
    <row r="880">
      <c r="B880" s="20"/>
      <c r="D880" s="41"/>
      <c r="E880" s="41"/>
      <c r="F880" s="20"/>
      <c r="G880" s="20"/>
      <c r="I880" s="41"/>
      <c r="M880" s="20"/>
    </row>
    <row r="881">
      <c r="B881" s="20"/>
      <c r="D881" s="41"/>
      <c r="E881" s="41"/>
      <c r="F881" s="20"/>
      <c r="G881" s="20"/>
      <c r="I881" s="41"/>
      <c r="M881" s="20"/>
    </row>
    <row r="882">
      <c r="B882" s="20"/>
      <c r="D882" s="41"/>
      <c r="E882" s="41"/>
      <c r="F882" s="20"/>
      <c r="G882" s="20"/>
      <c r="I882" s="41"/>
      <c r="M882" s="20"/>
    </row>
    <row r="883">
      <c r="B883" s="20"/>
      <c r="D883" s="41"/>
      <c r="E883" s="41"/>
      <c r="F883" s="20"/>
      <c r="G883" s="20"/>
      <c r="I883" s="41"/>
      <c r="M883" s="20"/>
    </row>
    <row r="884">
      <c r="B884" s="20"/>
      <c r="D884" s="41"/>
      <c r="E884" s="41"/>
      <c r="F884" s="20"/>
      <c r="G884" s="20"/>
      <c r="I884" s="41"/>
      <c r="M884" s="20"/>
    </row>
    <row r="885">
      <c r="B885" s="20"/>
      <c r="D885" s="41"/>
      <c r="E885" s="41"/>
      <c r="F885" s="20"/>
      <c r="G885" s="20"/>
      <c r="I885" s="41"/>
      <c r="M885" s="20"/>
    </row>
    <row r="886">
      <c r="B886" s="20"/>
      <c r="D886" s="41"/>
      <c r="E886" s="41"/>
      <c r="F886" s="20"/>
      <c r="G886" s="20"/>
      <c r="I886" s="41"/>
      <c r="M886" s="20"/>
    </row>
    <row r="887">
      <c r="B887" s="20"/>
      <c r="D887" s="41"/>
      <c r="E887" s="41"/>
      <c r="F887" s="20"/>
      <c r="G887" s="20"/>
      <c r="I887" s="41"/>
      <c r="M887" s="20"/>
    </row>
    <row r="888">
      <c r="B888" s="20"/>
      <c r="D888" s="41"/>
      <c r="E888" s="41"/>
      <c r="F888" s="20"/>
      <c r="G888" s="20"/>
      <c r="I888" s="41"/>
      <c r="M888" s="20"/>
    </row>
    <row r="889">
      <c r="B889" s="20"/>
      <c r="D889" s="41"/>
      <c r="E889" s="41"/>
      <c r="F889" s="20"/>
      <c r="G889" s="20"/>
      <c r="I889" s="41"/>
      <c r="M889" s="20"/>
    </row>
    <row r="890">
      <c r="B890" s="20"/>
      <c r="D890" s="41"/>
      <c r="E890" s="41"/>
      <c r="F890" s="20"/>
      <c r="G890" s="20"/>
      <c r="I890" s="41"/>
      <c r="M890" s="20"/>
    </row>
    <row r="891">
      <c r="B891" s="20"/>
      <c r="D891" s="41"/>
      <c r="E891" s="41"/>
      <c r="F891" s="20"/>
      <c r="G891" s="20"/>
      <c r="I891" s="41"/>
      <c r="M891" s="20"/>
    </row>
    <row r="892">
      <c r="B892" s="20"/>
      <c r="D892" s="41"/>
      <c r="E892" s="41"/>
      <c r="F892" s="20"/>
      <c r="G892" s="20"/>
      <c r="I892" s="41"/>
      <c r="M892" s="20"/>
    </row>
    <row r="893">
      <c r="B893" s="20"/>
      <c r="D893" s="41"/>
      <c r="E893" s="41"/>
      <c r="F893" s="20"/>
      <c r="G893" s="20"/>
      <c r="I893" s="41"/>
      <c r="M893" s="20"/>
    </row>
    <row r="894">
      <c r="B894" s="20"/>
      <c r="D894" s="41"/>
      <c r="E894" s="41"/>
      <c r="F894" s="20"/>
      <c r="G894" s="20"/>
      <c r="I894" s="41"/>
      <c r="M894" s="20"/>
    </row>
    <row r="895">
      <c r="B895" s="20"/>
      <c r="D895" s="41"/>
      <c r="E895" s="41"/>
      <c r="F895" s="20"/>
      <c r="G895" s="20"/>
      <c r="I895" s="41"/>
      <c r="M895" s="20"/>
    </row>
    <row r="896">
      <c r="B896" s="20"/>
      <c r="D896" s="41"/>
      <c r="E896" s="41"/>
      <c r="F896" s="20"/>
      <c r="G896" s="20"/>
      <c r="I896" s="41"/>
      <c r="M896" s="20"/>
    </row>
    <row r="897">
      <c r="B897" s="20"/>
      <c r="D897" s="41"/>
      <c r="E897" s="41"/>
      <c r="F897" s="20"/>
      <c r="G897" s="20"/>
      <c r="I897" s="41"/>
      <c r="M897" s="20"/>
    </row>
    <row r="898">
      <c r="B898" s="20"/>
      <c r="D898" s="41"/>
      <c r="E898" s="41"/>
      <c r="F898" s="20"/>
      <c r="G898" s="20"/>
      <c r="I898" s="41"/>
      <c r="M898" s="20"/>
    </row>
    <row r="899">
      <c r="B899" s="20"/>
      <c r="D899" s="41"/>
      <c r="E899" s="41"/>
      <c r="F899" s="20"/>
      <c r="G899" s="20"/>
      <c r="I899" s="41"/>
      <c r="M899" s="20"/>
    </row>
    <row r="900">
      <c r="B900" s="20"/>
      <c r="D900" s="41"/>
      <c r="E900" s="41"/>
      <c r="F900" s="20"/>
      <c r="G900" s="20"/>
      <c r="I900" s="41"/>
      <c r="M900" s="20"/>
    </row>
    <row r="901">
      <c r="B901" s="20"/>
      <c r="D901" s="41"/>
      <c r="E901" s="41"/>
      <c r="F901" s="20"/>
      <c r="G901" s="20"/>
      <c r="I901" s="41"/>
      <c r="M901" s="20"/>
    </row>
    <row r="902">
      <c r="B902" s="20"/>
      <c r="D902" s="41"/>
      <c r="E902" s="41"/>
      <c r="F902" s="20"/>
      <c r="G902" s="20"/>
      <c r="I902" s="41"/>
      <c r="M902" s="20"/>
    </row>
    <row r="903">
      <c r="B903" s="20"/>
      <c r="D903" s="41"/>
      <c r="E903" s="41"/>
      <c r="F903" s="20"/>
      <c r="G903" s="20"/>
      <c r="I903" s="41"/>
      <c r="M903" s="20"/>
    </row>
    <row r="904">
      <c r="B904" s="20"/>
      <c r="D904" s="41"/>
      <c r="E904" s="41"/>
      <c r="F904" s="20"/>
      <c r="G904" s="20"/>
      <c r="I904" s="41"/>
      <c r="M904" s="20"/>
    </row>
    <row r="905">
      <c r="B905" s="20"/>
      <c r="D905" s="41"/>
      <c r="E905" s="41"/>
      <c r="F905" s="20"/>
      <c r="G905" s="20"/>
      <c r="I905" s="41"/>
      <c r="M905" s="20"/>
    </row>
    <row r="906">
      <c r="B906" s="20"/>
      <c r="D906" s="41"/>
      <c r="E906" s="41"/>
      <c r="F906" s="20"/>
      <c r="G906" s="20"/>
      <c r="I906" s="41"/>
      <c r="M906" s="20"/>
    </row>
    <row r="907">
      <c r="B907" s="20"/>
      <c r="D907" s="41"/>
      <c r="E907" s="41"/>
      <c r="F907" s="20"/>
      <c r="G907" s="20"/>
      <c r="I907" s="41"/>
      <c r="M907" s="20"/>
    </row>
    <row r="908">
      <c r="B908" s="20"/>
      <c r="D908" s="41"/>
      <c r="E908" s="41"/>
      <c r="F908" s="20"/>
      <c r="G908" s="20"/>
      <c r="I908" s="41"/>
      <c r="M908" s="20"/>
    </row>
    <row r="909">
      <c r="B909" s="20"/>
      <c r="D909" s="41"/>
      <c r="E909" s="41"/>
      <c r="F909" s="20"/>
      <c r="G909" s="20"/>
      <c r="I909" s="41"/>
      <c r="M909" s="20"/>
    </row>
    <row r="910">
      <c r="B910" s="20"/>
      <c r="D910" s="41"/>
      <c r="E910" s="41"/>
      <c r="F910" s="20"/>
      <c r="G910" s="20"/>
      <c r="I910" s="41"/>
      <c r="M910" s="20"/>
    </row>
    <row r="911">
      <c r="B911" s="20"/>
      <c r="D911" s="41"/>
      <c r="E911" s="41"/>
      <c r="F911" s="20"/>
      <c r="G911" s="20"/>
      <c r="I911" s="41"/>
      <c r="M911" s="20"/>
    </row>
    <row r="912">
      <c r="B912" s="20"/>
      <c r="D912" s="41"/>
      <c r="E912" s="41"/>
      <c r="F912" s="20"/>
      <c r="G912" s="20"/>
      <c r="I912" s="41"/>
      <c r="M912" s="20"/>
    </row>
    <row r="913">
      <c r="B913" s="20"/>
      <c r="D913" s="41"/>
      <c r="E913" s="41"/>
      <c r="F913" s="20"/>
      <c r="G913" s="20"/>
      <c r="I913" s="41"/>
      <c r="M913" s="20"/>
    </row>
    <row r="914">
      <c r="B914" s="20"/>
      <c r="D914" s="41"/>
      <c r="E914" s="41"/>
      <c r="F914" s="20"/>
      <c r="G914" s="20"/>
      <c r="I914" s="41"/>
      <c r="M914" s="20"/>
    </row>
    <row r="915">
      <c r="B915" s="20"/>
      <c r="D915" s="41"/>
      <c r="E915" s="41"/>
      <c r="F915" s="20"/>
      <c r="G915" s="20"/>
      <c r="I915" s="41"/>
      <c r="M915" s="20"/>
    </row>
    <row r="916">
      <c r="B916" s="20"/>
      <c r="D916" s="41"/>
      <c r="E916" s="41"/>
      <c r="F916" s="20"/>
      <c r="G916" s="20"/>
      <c r="I916" s="41"/>
      <c r="M916" s="20"/>
    </row>
    <row r="917">
      <c r="B917" s="20"/>
      <c r="D917" s="41"/>
      <c r="E917" s="41"/>
      <c r="F917" s="20"/>
      <c r="G917" s="20"/>
      <c r="I917" s="41"/>
      <c r="M917" s="20"/>
    </row>
    <row r="918">
      <c r="B918" s="20"/>
      <c r="D918" s="41"/>
      <c r="E918" s="41"/>
      <c r="F918" s="20"/>
      <c r="G918" s="20"/>
      <c r="I918" s="41"/>
      <c r="M918" s="20"/>
    </row>
    <row r="919">
      <c r="B919" s="20"/>
      <c r="D919" s="41"/>
      <c r="E919" s="41"/>
      <c r="F919" s="20"/>
      <c r="G919" s="20"/>
      <c r="I919" s="41"/>
      <c r="M919" s="20"/>
    </row>
    <row r="920">
      <c r="B920" s="20"/>
      <c r="D920" s="41"/>
      <c r="E920" s="41"/>
      <c r="F920" s="20"/>
      <c r="G920" s="20"/>
      <c r="I920" s="41"/>
      <c r="M920" s="20"/>
    </row>
    <row r="921">
      <c r="B921" s="20"/>
      <c r="D921" s="41"/>
      <c r="E921" s="41"/>
      <c r="F921" s="20"/>
      <c r="G921" s="20"/>
      <c r="I921" s="41"/>
      <c r="M921" s="20"/>
    </row>
    <row r="922">
      <c r="B922" s="20"/>
      <c r="D922" s="41"/>
      <c r="E922" s="41"/>
      <c r="F922" s="20"/>
      <c r="G922" s="20"/>
      <c r="I922" s="41"/>
      <c r="M922" s="20"/>
    </row>
    <row r="923">
      <c r="B923" s="20"/>
      <c r="D923" s="41"/>
      <c r="E923" s="41"/>
      <c r="F923" s="20"/>
      <c r="G923" s="20"/>
      <c r="I923" s="41"/>
      <c r="M923" s="20"/>
    </row>
    <row r="924">
      <c r="B924" s="20"/>
      <c r="D924" s="41"/>
      <c r="E924" s="41"/>
      <c r="F924" s="20"/>
      <c r="G924" s="20"/>
      <c r="I924" s="41"/>
      <c r="M924" s="20"/>
    </row>
    <row r="925">
      <c r="B925" s="20"/>
      <c r="D925" s="41"/>
      <c r="E925" s="41"/>
      <c r="F925" s="20"/>
      <c r="G925" s="20"/>
      <c r="I925" s="41"/>
      <c r="M925" s="20"/>
    </row>
    <row r="926">
      <c r="B926" s="20"/>
      <c r="D926" s="41"/>
      <c r="E926" s="41"/>
      <c r="F926" s="20"/>
      <c r="G926" s="20"/>
      <c r="I926" s="41"/>
      <c r="M926" s="20"/>
    </row>
    <row r="927">
      <c r="B927" s="20"/>
      <c r="D927" s="41"/>
      <c r="E927" s="41"/>
      <c r="F927" s="20"/>
      <c r="G927" s="20"/>
      <c r="I927" s="41"/>
      <c r="M927" s="20"/>
    </row>
    <row r="928">
      <c r="B928" s="20"/>
      <c r="D928" s="41"/>
      <c r="E928" s="41"/>
      <c r="F928" s="20"/>
      <c r="G928" s="20"/>
      <c r="I928" s="41"/>
      <c r="M928" s="20"/>
    </row>
    <row r="929">
      <c r="B929" s="20"/>
      <c r="D929" s="41"/>
      <c r="E929" s="41"/>
      <c r="F929" s="20"/>
      <c r="G929" s="20"/>
      <c r="I929" s="41"/>
      <c r="M929" s="20"/>
    </row>
    <row r="930">
      <c r="B930" s="20"/>
      <c r="D930" s="41"/>
      <c r="E930" s="41"/>
      <c r="F930" s="20"/>
      <c r="G930" s="20"/>
      <c r="I930" s="41"/>
      <c r="M930" s="20"/>
    </row>
    <row r="931">
      <c r="B931" s="20"/>
      <c r="D931" s="41"/>
      <c r="E931" s="41"/>
      <c r="F931" s="20"/>
      <c r="G931" s="20"/>
      <c r="I931" s="41"/>
      <c r="M931" s="20"/>
    </row>
    <row r="932">
      <c r="B932" s="20"/>
      <c r="D932" s="41"/>
      <c r="E932" s="41"/>
      <c r="F932" s="20"/>
      <c r="G932" s="20"/>
      <c r="I932" s="41"/>
      <c r="M932" s="20"/>
    </row>
    <row r="933">
      <c r="B933" s="20"/>
      <c r="D933" s="41"/>
      <c r="E933" s="41"/>
      <c r="F933" s="20"/>
      <c r="G933" s="20"/>
      <c r="I933" s="41"/>
      <c r="M933" s="20"/>
    </row>
    <row r="934">
      <c r="B934" s="20"/>
      <c r="D934" s="41"/>
      <c r="E934" s="41"/>
      <c r="F934" s="20"/>
      <c r="G934" s="20"/>
      <c r="I934" s="41"/>
      <c r="M934" s="20"/>
    </row>
    <row r="935">
      <c r="B935" s="20"/>
      <c r="D935" s="41"/>
      <c r="E935" s="41"/>
      <c r="F935" s="20"/>
      <c r="G935" s="20"/>
      <c r="I935" s="41"/>
      <c r="M935" s="20"/>
    </row>
    <row r="936">
      <c r="B936" s="20"/>
      <c r="D936" s="41"/>
      <c r="E936" s="41"/>
      <c r="F936" s="20"/>
      <c r="G936" s="20"/>
      <c r="I936" s="41"/>
      <c r="M936" s="20"/>
    </row>
    <row r="937">
      <c r="B937" s="20"/>
      <c r="D937" s="41"/>
      <c r="E937" s="41"/>
      <c r="F937" s="20"/>
      <c r="G937" s="20"/>
      <c r="I937" s="41"/>
      <c r="M937" s="20"/>
    </row>
    <row r="938">
      <c r="B938" s="20"/>
      <c r="D938" s="41"/>
      <c r="E938" s="41"/>
      <c r="F938" s="20"/>
      <c r="G938" s="20"/>
      <c r="I938" s="41"/>
      <c r="M938" s="20"/>
    </row>
    <row r="939">
      <c r="B939" s="20"/>
      <c r="D939" s="41"/>
      <c r="E939" s="41"/>
      <c r="F939" s="20"/>
      <c r="G939" s="20"/>
      <c r="I939" s="41"/>
      <c r="M939" s="20"/>
    </row>
    <row r="940">
      <c r="B940" s="20"/>
      <c r="D940" s="41"/>
      <c r="E940" s="41"/>
      <c r="F940" s="20"/>
      <c r="G940" s="20"/>
      <c r="I940" s="41"/>
      <c r="M940" s="20"/>
    </row>
    <row r="941">
      <c r="B941" s="20"/>
      <c r="D941" s="41"/>
      <c r="E941" s="41"/>
      <c r="F941" s="20"/>
      <c r="G941" s="20"/>
      <c r="I941" s="41"/>
      <c r="M941" s="20"/>
    </row>
    <row r="942">
      <c r="B942" s="20"/>
      <c r="D942" s="41"/>
      <c r="E942" s="41"/>
      <c r="F942" s="20"/>
      <c r="G942" s="20"/>
      <c r="I942" s="41"/>
      <c r="M942" s="20"/>
    </row>
    <row r="943">
      <c r="B943" s="20"/>
      <c r="D943" s="41"/>
      <c r="E943" s="41"/>
      <c r="F943" s="20"/>
      <c r="G943" s="20"/>
      <c r="I943" s="41"/>
      <c r="M943" s="20"/>
    </row>
    <row r="944">
      <c r="B944" s="20"/>
      <c r="D944" s="41"/>
      <c r="E944" s="41"/>
      <c r="F944" s="20"/>
      <c r="G944" s="20"/>
      <c r="I944" s="41"/>
      <c r="M944" s="20"/>
    </row>
    <row r="945">
      <c r="B945" s="20"/>
      <c r="D945" s="41"/>
      <c r="E945" s="41"/>
      <c r="F945" s="20"/>
      <c r="G945" s="20"/>
      <c r="I945" s="41"/>
      <c r="M945" s="20"/>
    </row>
    <row r="946">
      <c r="B946" s="20"/>
      <c r="D946" s="41"/>
      <c r="E946" s="41"/>
      <c r="F946" s="20"/>
      <c r="G946" s="20"/>
      <c r="I946" s="41"/>
      <c r="M946" s="20"/>
    </row>
    <row r="947">
      <c r="B947" s="20"/>
      <c r="D947" s="41"/>
      <c r="E947" s="41"/>
      <c r="F947" s="20"/>
      <c r="G947" s="20"/>
      <c r="I947" s="41"/>
      <c r="M947" s="20"/>
    </row>
    <row r="948">
      <c r="B948" s="20"/>
      <c r="D948" s="41"/>
      <c r="E948" s="41"/>
      <c r="F948" s="20"/>
      <c r="G948" s="20"/>
      <c r="I948" s="41"/>
      <c r="M948" s="20"/>
    </row>
    <row r="949">
      <c r="B949" s="20"/>
      <c r="D949" s="41"/>
      <c r="E949" s="41"/>
      <c r="F949" s="20"/>
      <c r="G949" s="20"/>
      <c r="I949" s="41"/>
      <c r="M949" s="20"/>
    </row>
    <row r="950">
      <c r="B950" s="20"/>
      <c r="D950" s="41"/>
      <c r="E950" s="41"/>
      <c r="F950" s="20"/>
      <c r="G950" s="20"/>
      <c r="I950" s="41"/>
      <c r="M950" s="20"/>
    </row>
    <row r="951">
      <c r="B951" s="20"/>
      <c r="D951" s="41"/>
      <c r="E951" s="41"/>
      <c r="F951" s="20"/>
      <c r="G951" s="20"/>
      <c r="I951" s="41"/>
      <c r="M951" s="20"/>
    </row>
    <row r="952">
      <c r="B952" s="20"/>
      <c r="D952" s="41"/>
      <c r="E952" s="41"/>
      <c r="F952" s="20"/>
      <c r="G952" s="20"/>
      <c r="I952" s="41"/>
      <c r="M952" s="20"/>
    </row>
    <row r="953">
      <c r="B953" s="20"/>
      <c r="D953" s="41"/>
      <c r="E953" s="41"/>
      <c r="F953" s="20"/>
      <c r="G953" s="20"/>
      <c r="I953" s="41"/>
      <c r="M953" s="20"/>
    </row>
    <row r="954">
      <c r="B954" s="20"/>
      <c r="D954" s="41"/>
      <c r="E954" s="41"/>
      <c r="F954" s="20"/>
      <c r="G954" s="20"/>
      <c r="I954" s="41"/>
      <c r="M954" s="20"/>
    </row>
    <row r="955">
      <c r="B955" s="20"/>
      <c r="D955" s="41"/>
      <c r="E955" s="41"/>
      <c r="F955" s="20"/>
      <c r="G955" s="20"/>
      <c r="I955" s="41"/>
      <c r="M955" s="20"/>
    </row>
    <row r="956">
      <c r="B956" s="20"/>
      <c r="D956" s="41"/>
      <c r="E956" s="41"/>
      <c r="F956" s="20"/>
      <c r="G956" s="20"/>
      <c r="I956" s="41"/>
      <c r="M956" s="20"/>
    </row>
    <row r="957">
      <c r="B957" s="20"/>
      <c r="D957" s="41"/>
      <c r="E957" s="41"/>
      <c r="F957" s="20"/>
      <c r="G957" s="20"/>
      <c r="I957" s="41"/>
      <c r="M957" s="20"/>
    </row>
    <row r="958">
      <c r="B958" s="20"/>
      <c r="D958" s="41"/>
      <c r="E958" s="41"/>
      <c r="F958" s="20"/>
      <c r="G958" s="20"/>
      <c r="I958" s="41"/>
      <c r="M958" s="20"/>
    </row>
    <row r="959">
      <c r="B959" s="20"/>
      <c r="D959" s="41"/>
      <c r="E959" s="41"/>
      <c r="F959" s="20"/>
      <c r="G959" s="20"/>
      <c r="I959" s="41"/>
      <c r="M959" s="20"/>
    </row>
    <row r="960">
      <c r="B960" s="20"/>
      <c r="D960" s="41"/>
      <c r="E960" s="41"/>
      <c r="F960" s="20"/>
      <c r="G960" s="20"/>
      <c r="I960" s="41"/>
      <c r="M960" s="20"/>
    </row>
    <row r="961">
      <c r="B961" s="20"/>
      <c r="D961" s="41"/>
      <c r="E961" s="41"/>
      <c r="F961" s="20"/>
      <c r="G961" s="20"/>
      <c r="I961" s="41"/>
      <c r="M961" s="20"/>
    </row>
    <row r="962">
      <c r="B962" s="20"/>
      <c r="D962" s="41"/>
      <c r="E962" s="41"/>
      <c r="F962" s="20"/>
      <c r="G962" s="20"/>
      <c r="I962" s="41"/>
      <c r="M962" s="20"/>
    </row>
    <row r="963">
      <c r="B963" s="20"/>
      <c r="D963" s="41"/>
      <c r="E963" s="41"/>
      <c r="F963" s="20"/>
      <c r="G963" s="20"/>
      <c r="I963" s="41"/>
      <c r="M963" s="20"/>
    </row>
    <row r="964">
      <c r="B964" s="20"/>
      <c r="D964" s="41"/>
      <c r="E964" s="41"/>
      <c r="F964" s="20"/>
      <c r="G964" s="20"/>
      <c r="I964" s="41"/>
      <c r="M964" s="20"/>
    </row>
    <row r="965">
      <c r="B965" s="20"/>
      <c r="D965" s="41"/>
      <c r="E965" s="41"/>
      <c r="F965" s="20"/>
      <c r="G965" s="20"/>
      <c r="I965" s="41"/>
      <c r="M965" s="20"/>
    </row>
    <row r="966">
      <c r="B966" s="20"/>
      <c r="D966" s="41"/>
      <c r="E966" s="41"/>
      <c r="F966" s="20"/>
      <c r="G966" s="20"/>
      <c r="I966" s="41"/>
      <c r="M966" s="20"/>
    </row>
    <row r="967">
      <c r="B967" s="20"/>
      <c r="D967" s="41"/>
      <c r="E967" s="41"/>
      <c r="F967" s="20"/>
      <c r="G967" s="20"/>
      <c r="I967" s="41"/>
      <c r="M967" s="20"/>
    </row>
    <row r="968">
      <c r="B968" s="20"/>
      <c r="D968" s="41"/>
      <c r="E968" s="41"/>
      <c r="F968" s="20"/>
      <c r="G968" s="20"/>
      <c r="I968" s="41"/>
      <c r="M968" s="20"/>
    </row>
    <row r="969">
      <c r="B969" s="20"/>
      <c r="D969" s="41"/>
      <c r="E969" s="41"/>
      <c r="F969" s="20"/>
      <c r="G969" s="20"/>
      <c r="I969" s="41"/>
      <c r="M969" s="20"/>
    </row>
    <row r="970">
      <c r="B970" s="20"/>
      <c r="D970" s="41"/>
      <c r="E970" s="41"/>
      <c r="F970" s="20"/>
      <c r="G970" s="20"/>
      <c r="I970" s="41"/>
      <c r="M970" s="20"/>
    </row>
    <row r="971">
      <c r="B971" s="20"/>
      <c r="D971" s="41"/>
      <c r="E971" s="41"/>
      <c r="F971" s="20"/>
      <c r="G971" s="20"/>
      <c r="I971" s="41"/>
      <c r="M971" s="20"/>
    </row>
    <row r="972">
      <c r="B972" s="20"/>
      <c r="D972" s="41"/>
      <c r="E972" s="41"/>
      <c r="F972" s="20"/>
      <c r="G972" s="20"/>
      <c r="I972" s="41"/>
      <c r="M972" s="20"/>
    </row>
    <row r="973">
      <c r="B973" s="20"/>
      <c r="D973" s="41"/>
      <c r="E973" s="41"/>
      <c r="F973" s="20"/>
      <c r="G973" s="20"/>
      <c r="I973" s="41"/>
      <c r="M973" s="20"/>
    </row>
    <row r="974">
      <c r="B974" s="20"/>
      <c r="D974" s="41"/>
      <c r="E974" s="41"/>
      <c r="F974" s="20"/>
      <c r="G974" s="20"/>
      <c r="I974" s="41"/>
      <c r="M974" s="20"/>
    </row>
    <row r="975">
      <c r="B975" s="20"/>
      <c r="D975" s="41"/>
      <c r="E975" s="41"/>
      <c r="F975" s="20"/>
      <c r="G975" s="20"/>
      <c r="I975" s="41"/>
      <c r="M975" s="20"/>
    </row>
    <row r="976">
      <c r="B976" s="20"/>
      <c r="D976" s="41"/>
      <c r="E976" s="41"/>
      <c r="F976" s="20"/>
      <c r="G976" s="20"/>
      <c r="I976" s="41"/>
      <c r="M976" s="20"/>
    </row>
    <row r="977">
      <c r="B977" s="20"/>
      <c r="D977" s="41"/>
      <c r="E977" s="41"/>
      <c r="F977" s="20"/>
      <c r="G977" s="20"/>
      <c r="I977" s="41"/>
      <c r="M977" s="20"/>
    </row>
    <row r="978">
      <c r="B978" s="20"/>
      <c r="D978" s="41"/>
      <c r="E978" s="41"/>
      <c r="F978" s="20"/>
      <c r="G978" s="20"/>
      <c r="I978" s="41"/>
      <c r="M978" s="20"/>
    </row>
    <row r="979">
      <c r="B979" s="20"/>
      <c r="D979" s="41"/>
      <c r="E979" s="41"/>
      <c r="F979" s="20"/>
      <c r="G979" s="20"/>
      <c r="I979" s="41"/>
      <c r="M979" s="20"/>
    </row>
    <row r="980">
      <c r="B980" s="20"/>
      <c r="D980" s="41"/>
      <c r="E980" s="41"/>
      <c r="F980" s="20"/>
      <c r="G980" s="20"/>
      <c r="I980" s="41"/>
      <c r="M980" s="20"/>
    </row>
    <row r="981">
      <c r="B981" s="20"/>
      <c r="D981" s="41"/>
      <c r="E981" s="41"/>
      <c r="F981" s="20"/>
      <c r="G981" s="20"/>
      <c r="I981" s="41"/>
      <c r="M981" s="20"/>
    </row>
    <row r="982">
      <c r="B982" s="20"/>
      <c r="D982" s="41"/>
      <c r="E982" s="41"/>
      <c r="F982" s="20"/>
      <c r="G982" s="20"/>
      <c r="I982" s="41"/>
      <c r="M982" s="20"/>
    </row>
    <row r="983">
      <c r="B983" s="20"/>
      <c r="D983" s="41"/>
      <c r="E983" s="41"/>
      <c r="F983" s="20"/>
      <c r="G983" s="20"/>
      <c r="I983" s="41"/>
      <c r="M983" s="20"/>
    </row>
    <row r="984">
      <c r="B984" s="20"/>
      <c r="D984" s="41"/>
      <c r="E984" s="41"/>
      <c r="F984" s="20"/>
      <c r="G984" s="20"/>
      <c r="I984" s="41"/>
      <c r="M984" s="20"/>
    </row>
    <row r="985">
      <c r="B985" s="20"/>
      <c r="D985" s="41"/>
      <c r="E985" s="41"/>
      <c r="F985" s="20"/>
      <c r="G985" s="20"/>
      <c r="I985" s="41"/>
      <c r="M985" s="20"/>
    </row>
    <row r="986">
      <c r="B986" s="20"/>
      <c r="D986" s="41"/>
      <c r="E986" s="41"/>
      <c r="F986" s="20"/>
      <c r="G986" s="20"/>
      <c r="I986" s="41"/>
      <c r="M986" s="20"/>
    </row>
    <row r="987">
      <c r="B987" s="20"/>
      <c r="D987" s="41"/>
      <c r="E987" s="41"/>
      <c r="F987" s="20"/>
      <c r="G987" s="20"/>
      <c r="I987" s="41"/>
      <c r="M987" s="20"/>
    </row>
    <row r="988">
      <c r="B988" s="20"/>
      <c r="D988" s="41"/>
      <c r="E988" s="41"/>
      <c r="F988" s="20"/>
      <c r="G988" s="20"/>
      <c r="I988" s="41"/>
      <c r="M988" s="20"/>
    </row>
    <row r="989">
      <c r="B989" s="20"/>
      <c r="D989" s="41"/>
      <c r="E989" s="41"/>
      <c r="F989" s="20"/>
      <c r="G989" s="20"/>
      <c r="I989" s="41"/>
      <c r="M989" s="20"/>
    </row>
    <row r="990">
      <c r="B990" s="20"/>
      <c r="D990" s="41"/>
      <c r="E990" s="41"/>
      <c r="F990" s="20"/>
      <c r="G990" s="20"/>
      <c r="I990" s="41"/>
      <c r="M990" s="20"/>
    </row>
    <row r="991">
      <c r="B991" s="20"/>
      <c r="D991" s="41"/>
      <c r="E991" s="41"/>
      <c r="F991" s="20"/>
      <c r="G991" s="20"/>
      <c r="I991" s="41"/>
      <c r="M991" s="20"/>
    </row>
    <row r="992">
      <c r="B992" s="20"/>
      <c r="D992" s="41"/>
      <c r="E992" s="41"/>
      <c r="F992" s="20"/>
      <c r="G992" s="20"/>
      <c r="I992" s="41"/>
      <c r="M992" s="20"/>
    </row>
    <row r="993">
      <c r="B993" s="20"/>
      <c r="D993" s="41"/>
      <c r="E993" s="41"/>
      <c r="F993" s="20"/>
      <c r="G993" s="20"/>
      <c r="I993" s="41"/>
      <c r="M993" s="20"/>
    </row>
    <row r="994">
      <c r="B994" s="20"/>
      <c r="D994" s="41"/>
      <c r="E994" s="41"/>
      <c r="F994" s="20"/>
      <c r="G994" s="20"/>
      <c r="I994" s="41"/>
      <c r="M994" s="20"/>
    </row>
    <row r="995">
      <c r="B995" s="20"/>
      <c r="D995" s="41"/>
      <c r="E995" s="41"/>
      <c r="F995" s="20"/>
      <c r="G995" s="20"/>
      <c r="I995" s="41"/>
      <c r="M995" s="20"/>
    </row>
    <row r="996">
      <c r="B996" s="20"/>
      <c r="D996" s="41"/>
      <c r="E996" s="41"/>
      <c r="F996" s="20"/>
      <c r="G996" s="20"/>
      <c r="I996" s="41"/>
      <c r="M996" s="20"/>
    </row>
    <row r="997">
      <c r="B997" s="20"/>
      <c r="D997" s="41"/>
      <c r="E997" s="41"/>
      <c r="F997" s="20"/>
      <c r="G997" s="20"/>
      <c r="I997" s="41"/>
      <c r="M997" s="20"/>
    </row>
    <row r="998">
      <c r="B998" s="20"/>
      <c r="D998" s="41"/>
      <c r="E998" s="41"/>
      <c r="F998" s="20"/>
      <c r="G998" s="20"/>
      <c r="I998" s="41"/>
      <c r="M998" s="20"/>
    </row>
    <row r="999">
      <c r="B999" s="20"/>
      <c r="D999" s="41"/>
      <c r="E999" s="41"/>
      <c r="F999" s="20"/>
      <c r="G999" s="20"/>
      <c r="I999" s="41"/>
      <c r="M999" s="20"/>
    </row>
    <row r="1000">
      <c r="B1000" s="20"/>
      <c r="D1000" s="41"/>
      <c r="E1000" s="41"/>
      <c r="F1000" s="20"/>
      <c r="G1000" s="20"/>
      <c r="I1000" s="41"/>
      <c r="M1000" s="20"/>
    </row>
  </sheetData>
  <dataValidations>
    <dataValidation type="list" allowBlank="1" showDropDown="1" showErrorMessage="1" sqref="F2:F1000">
      <formula1>"AC,DT,OS,NR,OA,SA"</formula1>
    </dataValidation>
    <dataValidation type="list" allowBlank="1" showDropDown="1" showErrorMessage="1" sqref="I2:I1000 M2:M1000">
      <formula1>"Dead,Alive"</formula1>
    </dataValidation>
    <dataValidation type="list" allowBlank="1" showDropDown="1" showErrorMessage="1" sqref="B51:B141">
      <formula1>"A,B,C,D,E,F,HH, TL, AD, DN"</formula1>
    </dataValidation>
    <dataValidation type="list" allowBlank="1" showDropDown="1" showErrorMessage="1" sqref="D2:D1000">
      <formula1>"001,002,003,004,005,006,007,008"</formula1>
    </dataValidation>
    <dataValidation type="list" allowBlank="1" showDropDown="1" showErrorMessage="1" sqref="B2:B50 B142:B1000">
      <formula1>"A,B,C,D,E,F"</formula1>
    </dataValidation>
    <dataValidation type="list" allowBlank="1" showDropDown="1" showErrorMessage="1" sqref="G2:G50 G67:G76 G80:G85 G89:G103 G106 G110:G116 G119:G124 G126:G1000">
      <formula1>"A,B,C,D,E,A1,A2,A3"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5</v>
      </c>
      <c r="C1" s="2" t="s">
        <v>5</v>
      </c>
      <c r="D1" s="2" t="s">
        <v>0</v>
      </c>
      <c r="E1" s="1" t="s">
        <v>7</v>
      </c>
      <c r="F1" s="1" t="s">
        <v>9</v>
      </c>
      <c r="G1" s="1" t="s">
        <v>10</v>
      </c>
      <c r="H1" s="1" t="s">
        <v>4</v>
      </c>
      <c r="I1" s="1" t="s">
        <v>13</v>
      </c>
      <c r="J1" s="1" t="s">
        <v>12</v>
      </c>
      <c r="K1" s="1" t="s">
        <v>14</v>
      </c>
      <c r="L1" s="1" t="s">
        <v>16</v>
      </c>
      <c r="M1" s="1" t="s">
        <v>20</v>
      </c>
      <c r="N1" s="12"/>
      <c r="O1" s="12"/>
      <c r="P1" s="12"/>
    </row>
    <row r="2">
      <c r="A2" s="12" t="s">
        <v>1</v>
      </c>
      <c r="B2" s="12" t="s">
        <v>28</v>
      </c>
      <c r="C2" s="12" t="s">
        <v>30</v>
      </c>
      <c r="D2" s="12" t="s">
        <v>31</v>
      </c>
      <c r="H2" s="20"/>
      <c r="J2" s="20"/>
      <c r="K2" s="20"/>
      <c r="L2" s="20"/>
      <c r="M2" s="12"/>
      <c r="N2" s="12"/>
      <c r="O2" s="12"/>
      <c r="P2" s="12"/>
    </row>
    <row r="3">
      <c r="A3" s="12" t="s">
        <v>90</v>
      </c>
      <c r="B3" s="12"/>
      <c r="C3" s="12"/>
      <c r="D3" s="12" t="s">
        <v>91</v>
      </c>
      <c r="H3" s="20"/>
      <c r="J3" s="20"/>
      <c r="K3" s="20"/>
      <c r="L3" s="20"/>
      <c r="M3" s="12"/>
      <c r="N3" s="12"/>
      <c r="O3" s="12"/>
      <c r="P3" s="12"/>
    </row>
    <row r="4">
      <c r="A4" s="12" t="s">
        <v>95</v>
      </c>
      <c r="B4" s="12" t="s">
        <v>78</v>
      </c>
      <c r="C4" s="12" t="s">
        <v>80</v>
      </c>
      <c r="D4" s="12" t="s">
        <v>96</v>
      </c>
      <c r="E4" s="24"/>
      <c r="F4" s="24"/>
      <c r="G4" s="24">
        <v>0.3958333333333333</v>
      </c>
      <c r="H4" s="1" t="s">
        <v>64</v>
      </c>
      <c r="I4" s="1" t="s">
        <v>97</v>
      </c>
      <c r="J4" s="1" t="s">
        <v>98</v>
      </c>
      <c r="K4" s="1" t="s">
        <v>99</v>
      </c>
      <c r="L4" s="1" t="s">
        <v>100</v>
      </c>
      <c r="M4" s="12"/>
      <c r="N4" s="12"/>
      <c r="O4" s="12"/>
      <c r="P4" s="12"/>
    </row>
    <row r="5">
      <c r="A5" s="12" t="s">
        <v>95</v>
      </c>
      <c r="B5" s="12" t="s">
        <v>78</v>
      </c>
      <c r="C5" s="12" t="s">
        <v>80</v>
      </c>
      <c r="D5" s="12" t="s">
        <v>101</v>
      </c>
      <c r="E5" s="24"/>
      <c r="F5" s="24"/>
      <c r="G5" s="24">
        <v>0.39791666666666664</v>
      </c>
      <c r="H5" s="1" t="s">
        <v>64</v>
      </c>
      <c r="I5" s="1" t="s">
        <v>97</v>
      </c>
      <c r="J5" s="1" t="s">
        <v>98</v>
      </c>
      <c r="K5" s="1" t="s">
        <v>104</v>
      </c>
      <c r="L5" s="1" t="s">
        <v>100</v>
      </c>
      <c r="M5" s="12"/>
      <c r="N5" s="12"/>
      <c r="O5" s="12"/>
      <c r="P5" s="12"/>
    </row>
    <row r="6">
      <c r="A6" s="12" t="s">
        <v>95</v>
      </c>
      <c r="B6" s="12" t="s">
        <v>78</v>
      </c>
      <c r="C6" s="12" t="s">
        <v>80</v>
      </c>
      <c r="D6" s="12" t="s">
        <v>105</v>
      </c>
      <c r="E6" s="24"/>
      <c r="F6" s="24"/>
      <c r="G6" s="24">
        <v>0.40069444444444446</v>
      </c>
      <c r="H6" s="1" t="s">
        <v>64</v>
      </c>
      <c r="I6" s="1" t="s">
        <v>97</v>
      </c>
      <c r="J6" s="1" t="s">
        <v>98</v>
      </c>
      <c r="K6" s="1" t="s">
        <v>99</v>
      </c>
      <c r="L6" s="1" t="s">
        <v>100</v>
      </c>
      <c r="M6" s="12"/>
      <c r="N6" s="12"/>
      <c r="O6" s="12"/>
      <c r="P6" s="12"/>
    </row>
    <row r="7">
      <c r="A7" s="12" t="s">
        <v>95</v>
      </c>
      <c r="B7" s="12" t="s">
        <v>78</v>
      </c>
      <c r="C7" s="12" t="s">
        <v>114</v>
      </c>
      <c r="D7" s="12" t="s">
        <v>115</v>
      </c>
      <c r="E7" s="24"/>
      <c r="F7" s="24"/>
      <c r="G7" s="24">
        <v>0.40625</v>
      </c>
      <c r="H7" s="1" t="s">
        <v>64</v>
      </c>
      <c r="I7" s="1" t="s">
        <v>97</v>
      </c>
      <c r="J7" s="1" t="s">
        <v>121</v>
      </c>
      <c r="K7" s="20"/>
      <c r="L7" s="1" t="s">
        <v>100</v>
      </c>
      <c r="M7" s="12"/>
      <c r="N7" s="12"/>
      <c r="O7" s="12"/>
      <c r="P7" s="12"/>
    </row>
    <row r="8">
      <c r="A8" s="12" t="s">
        <v>95</v>
      </c>
      <c r="B8" s="12" t="s">
        <v>78</v>
      </c>
      <c r="C8" s="12" t="s">
        <v>114</v>
      </c>
      <c r="D8" s="12" t="s">
        <v>130</v>
      </c>
      <c r="E8" s="24"/>
      <c r="F8" s="24"/>
      <c r="G8" s="24">
        <v>0.4076388888888889</v>
      </c>
      <c r="H8" s="1" t="s">
        <v>64</v>
      </c>
      <c r="I8" s="1" t="s">
        <v>97</v>
      </c>
      <c r="J8" s="1" t="s">
        <v>121</v>
      </c>
      <c r="K8" s="20"/>
      <c r="L8" s="1" t="s">
        <v>100</v>
      </c>
      <c r="M8" s="12"/>
      <c r="N8" s="12"/>
      <c r="O8" s="12"/>
      <c r="P8" s="12"/>
    </row>
    <row r="9">
      <c r="A9" s="12" t="s">
        <v>95</v>
      </c>
      <c r="B9" s="12" t="s">
        <v>78</v>
      </c>
      <c r="C9" s="12" t="s">
        <v>114</v>
      </c>
      <c r="D9" s="12" t="s">
        <v>138</v>
      </c>
      <c r="E9" s="24"/>
      <c r="F9" s="24"/>
      <c r="G9" s="24">
        <v>0.4076388888888889</v>
      </c>
      <c r="H9" s="1" t="s">
        <v>64</v>
      </c>
      <c r="I9" s="1" t="s">
        <v>97</v>
      </c>
      <c r="J9" s="1" t="s">
        <v>121</v>
      </c>
      <c r="K9" s="20"/>
      <c r="L9" s="1" t="s">
        <v>100</v>
      </c>
      <c r="M9" s="12"/>
      <c r="N9" s="12"/>
      <c r="O9" s="12"/>
      <c r="P9" s="12"/>
    </row>
    <row r="10">
      <c r="A10" s="12" t="s">
        <v>95</v>
      </c>
      <c r="B10" s="12" t="s">
        <v>78</v>
      </c>
      <c r="C10" s="1">
        <v>298.0</v>
      </c>
      <c r="D10" s="12"/>
      <c r="E10" s="1">
        <v>1.0</v>
      </c>
      <c r="F10" s="1">
        <v>298.0</v>
      </c>
      <c r="G10" s="24"/>
      <c r="H10" s="1"/>
      <c r="I10" s="1"/>
      <c r="J10" s="1"/>
      <c r="K10" s="20"/>
      <c r="L10" s="1" t="s">
        <v>150</v>
      </c>
      <c r="M10" s="12"/>
      <c r="N10" s="12"/>
      <c r="O10" s="12"/>
      <c r="P10" s="12"/>
    </row>
    <row r="11">
      <c r="A11" s="12" t="s">
        <v>95</v>
      </c>
      <c r="B11" s="12" t="s">
        <v>78</v>
      </c>
      <c r="C11" s="12" t="s">
        <v>152</v>
      </c>
      <c r="D11" s="12" t="s">
        <v>153</v>
      </c>
      <c r="E11" s="24"/>
      <c r="F11" s="24"/>
      <c r="G11" s="24">
        <v>0.4125</v>
      </c>
      <c r="H11" s="1" t="s">
        <v>64</v>
      </c>
      <c r="I11" s="1" t="s">
        <v>97</v>
      </c>
      <c r="J11" s="1" t="s">
        <v>121</v>
      </c>
      <c r="K11" s="20"/>
      <c r="L11" s="1" t="s">
        <v>100</v>
      </c>
      <c r="M11" s="12"/>
      <c r="N11" s="12"/>
      <c r="O11" s="12"/>
      <c r="P11" s="12"/>
    </row>
    <row r="12">
      <c r="A12" s="12" t="s">
        <v>95</v>
      </c>
      <c r="B12" s="12" t="s">
        <v>78</v>
      </c>
      <c r="C12" s="12" t="s">
        <v>152</v>
      </c>
      <c r="D12" s="12" t="s">
        <v>162</v>
      </c>
      <c r="E12" s="24"/>
      <c r="F12" s="24"/>
      <c r="G12" s="24">
        <v>0.4131944444444444</v>
      </c>
      <c r="H12" s="1" t="s">
        <v>64</v>
      </c>
      <c r="I12" s="1" t="s">
        <v>97</v>
      </c>
      <c r="J12" s="1" t="s">
        <v>121</v>
      </c>
      <c r="K12" s="20"/>
      <c r="L12" s="1" t="s">
        <v>100</v>
      </c>
      <c r="M12" s="12"/>
      <c r="N12" s="12"/>
      <c r="O12" s="12"/>
      <c r="P12" s="12"/>
    </row>
    <row r="13">
      <c r="A13" s="12" t="s">
        <v>95</v>
      </c>
      <c r="B13" s="12" t="s">
        <v>78</v>
      </c>
      <c r="C13" s="12" t="s">
        <v>152</v>
      </c>
      <c r="D13" s="12" t="s">
        <v>173</v>
      </c>
      <c r="E13" s="24"/>
      <c r="F13" s="24"/>
      <c r="G13" s="24">
        <v>0.41388888888888886</v>
      </c>
      <c r="H13" s="1" t="s">
        <v>64</v>
      </c>
      <c r="I13" s="1" t="s">
        <v>97</v>
      </c>
      <c r="J13" s="1" t="s">
        <v>121</v>
      </c>
      <c r="K13" s="20"/>
      <c r="L13" s="1" t="s">
        <v>100</v>
      </c>
      <c r="M13" s="12"/>
      <c r="N13" s="12"/>
      <c r="O13" s="12"/>
      <c r="P13" s="12"/>
    </row>
    <row r="14">
      <c r="A14" s="12" t="s">
        <v>95</v>
      </c>
      <c r="B14" s="12" t="s">
        <v>78</v>
      </c>
      <c r="C14" s="35">
        <v>296.0</v>
      </c>
      <c r="D14" s="12"/>
      <c r="E14" s="24"/>
      <c r="F14" s="1">
        <v>296.0</v>
      </c>
      <c r="G14" s="24"/>
      <c r="H14" s="1"/>
      <c r="I14" s="1"/>
      <c r="J14" s="1"/>
      <c r="K14" s="20"/>
      <c r="L14" s="1" t="s">
        <v>150</v>
      </c>
      <c r="M14" s="12"/>
      <c r="N14" s="12"/>
      <c r="O14" s="12"/>
      <c r="P14" s="12"/>
    </row>
    <row r="15">
      <c r="A15" s="12" t="s">
        <v>95</v>
      </c>
      <c r="B15" s="12" t="s">
        <v>78</v>
      </c>
      <c r="C15" s="12" t="s">
        <v>188</v>
      </c>
      <c r="D15" s="12" t="s">
        <v>190</v>
      </c>
      <c r="E15" s="24"/>
      <c r="F15" s="24"/>
      <c r="G15" s="24">
        <v>0.41875</v>
      </c>
      <c r="H15" s="1" t="s">
        <v>192</v>
      </c>
      <c r="I15" s="1" t="s">
        <v>97</v>
      </c>
      <c r="J15" s="1" t="s">
        <v>194</v>
      </c>
      <c r="K15" s="20"/>
      <c r="L15" s="1" t="s">
        <v>100</v>
      </c>
      <c r="M15" s="12"/>
      <c r="N15" s="12"/>
      <c r="O15" s="12"/>
      <c r="P15" s="12"/>
    </row>
    <row r="16">
      <c r="A16" s="12" t="s">
        <v>95</v>
      </c>
      <c r="B16" s="12" t="s">
        <v>78</v>
      </c>
      <c r="C16" s="12" t="s">
        <v>188</v>
      </c>
      <c r="D16" s="12" t="s">
        <v>197</v>
      </c>
      <c r="E16" s="24"/>
      <c r="F16" s="24"/>
      <c r="G16" s="24">
        <v>0.42083333333333334</v>
      </c>
      <c r="H16" s="1" t="s">
        <v>192</v>
      </c>
      <c r="I16" s="1" t="s">
        <v>97</v>
      </c>
      <c r="J16" s="1" t="s">
        <v>194</v>
      </c>
      <c r="K16" s="20"/>
      <c r="L16" s="1" t="s">
        <v>100</v>
      </c>
      <c r="M16" s="12"/>
      <c r="N16" s="12"/>
      <c r="O16" s="12"/>
      <c r="P16" s="12"/>
    </row>
    <row r="17">
      <c r="A17" s="12" t="s">
        <v>95</v>
      </c>
      <c r="B17" s="12" t="s">
        <v>78</v>
      </c>
      <c r="C17" s="12" t="s">
        <v>188</v>
      </c>
      <c r="D17" s="12" t="s">
        <v>199</v>
      </c>
      <c r="E17" s="24"/>
      <c r="F17" s="24"/>
      <c r="G17" s="24">
        <v>0.4215277777777778</v>
      </c>
      <c r="H17" s="1" t="s">
        <v>192</v>
      </c>
      <c r="I17" s="1" t="s">
        <v>97</v>
      </c>
      <c r="J17" s="1" t="s">
        <v>194</v>
      </c>
      <c r="K17" s="20"/>
      <c r="L17" s="1" t="s">
        <v>100</v>
      </c>
      <c r="M17" s="12"/>
      <c r="N17" s="12"/>
      <c r="O17" s="12"/>
      <c r="P17" s="12"/>
    </row>
    <row r="18">
      <c r="A18" s="12" t="s">
        <v>95</v>
      </c>
      <c r="B18" s="12" t="s">
        <v>202</v>
      </c>
      <c r="C18" s="12" t="s">
        <v>203</v>
      </c>
      <c r="D18" s="12" t="s">
        <v>204</v>
      </c>
      <c r="H18" s="20"/>
      <c r="J18" s="20"/>
      <c r="K18" s="20"/>
      <c r="L18" s="20"/>
      <c r="M18" s="35" t="s">
        <v>206</v>
      </c>
      <c r="N18" s="12"/>
      <c r="O18" s="12"/>
      <c r="P18" s="12"/>
    </row>
    <row r="19">
      <c r="A19" s="12" t="s">
        <v>95</v>
      </c>
      <c r="B19" s="12" t="s">
        <v>202</v>
      </c>
      <c r="C19" s="12" t="s">
        <v>203</v>
      </c>
      <c r="D19" s="12" t="s">
        <v>208</v>
      </c>
      <c r="E19" s="24"/>
      <c r="F19" s="24"/>
      <c r="G19" s="24">
        <v>0.4305555555555556</v>
      </c>
      <c r="H19" s="1" t="s">
        <v>209</v>
      </c>
      <c r="I19" s="1" t="s">
        <v>97</v>
      </c>
      <c r="J19" s="1" t="s">
        <v>121</v>
      </c>
      <c r="K19" s="20"/>
      <c r="L19" s="1" t="s">
        <v>100</v>
      </c>
      <c r="M19" s="12"/>
      <c r="N19" s="12"/>
      <c r="O19" s="12"/>
      <c r="P19" s="12"/>
    </row>
    <row r="20">
      <c r="A20" s="12" t="s">
        <v>95</v>
      </c>
      <c r="B20" s="12" t="s">
        <v>202</v>
      </c>
      <c r="C20" s="12" t="s">
        <v>203</v>
      </c>
      <c r="D20" s="12" t="s">
        <v>212</v>
      </c>
      <c r="E20" s="24"/>
      <c r="F20" s="24"/>
      <c r="G20" s="24">
        <v>0.43194444444444446</v>
      </c>
      <c r="H20" s="1" t="s">
        <v>209</v>
      </c>
      <c r="I20" s="1" t="s">
        <v>97</v>
      </c>
      <c r="J20" s="1" t="s">
        <v>121</v>
      </c>
      <c r="K20" s="20"/>
      <c r="L20" s="1" t="s">
        <v>100</v>
      </c>
      <c r="M20" s="12"/>
      <c r="N20" s="12"/>
      <c r="O20" s="12"/>
      <c r="P20" s="12"/>
    </row>
    <row r="21">
      <c r="A21" s="12" t="s">
        <v>95</v>
      </c>
      <c r="B21" s="12" t="s">
        <v>202</v>
      </c>
      <c r="C21" s="12" t="s">
        <v>203</v>
      </c>
      <c r="D21" s="12" t="s">
        <v>216</v>
      </c>
      <c r="E21" s="24"/>
      <c r="F21" s="24"/>
      <c r="G21" s="24">
        <v>0.4326388888888889</v>
      </c>
      <c r="H21" s="1" t="s">
        <v>209</v>
      </c>
      <c r="I21" s="1" t="s">
        <v>97</v>
      </c>
      <c r="J21" s="1" t="s">
        <v>121</v>
      </c>
      <c r="K21" s="20"/>
      <c r="L21" s="1" t="s">
        <v>100</v>
      </c>
      <c r="M21" s="12"/>
      <c r="N21" s="12"/>
      <c r="O21" s="12"/>
      <c r="P21" s="12"/>
    </row>
    <row r="22">
      <c r="A22" s="12" t="s">
        <v>95</v>
      </c>
      <c r="B22" s="12" t="s">
        <v>202</v>
      </c>
      <c r="C22" s="12" t="s">
        <v>225</v>
      </c>
      <c r="D22" s="12" t="s">
        <v>226</v>
      </c>
      <c r="E22" s="24"/>
      <c r="F22" s="24"/>
      <c r="G22" s="24">
        <v>0.43680555555555556</v>
      </c>
      <c r="H22" s="1" t="s">
        <v>209</v>
      </c>
      <c r="I22" s="1" t="s">
        <v>97</v>
      </c>
      <c r="J22" s="1" t="s">
        <v>98</v>
      </c>
      <c r="K22" s="20"/>
      <c r="L22" s="1" t="s">
        <v>100</v>
      </c>
      <c r="M22" s="12"/>
      <c r="N22" s="12"/>
      <c r="O22" s="12"/>
      <c r="P22" s="12"/>
    </row>
    <row r="23">
      <c r="A23" s="12" t="s">
        <v>95</v>
      </c>
      <c r="B23" s="12" t="s">
        <v>202</v>
      </c>
      <c r="C23" s="12" t="s">
        <v>225</v>
      </c>
      <c r="D23" s="12" t="s">
        <v>229</v>
      </c>
      <c r="E23" s="24"/>
      <c r="F23" s="24"/>
      <c r="G23" s="24">
        <v>0.4375</v>
      </c>
      <c r="H23" s="1" t="s">
        <v>209</v>
      </c>
      <c r="I23" s="1" t="s">
        <v>97</v>
      </c>
      <c r="J23" s="1" t="s">
        <v>98</v>
      </c>
      <c r="K23" s="20"/>
      <c r="L23" s="1" t="s">
        <v>100</v>
      </c>
      <c r="M23" s="12"/>
      <c r="N23" s="12"/>
      <c r="O23" s="12"/>
      <c r="P23" s="12"/>
    </row>
    <row r="24">
      <c r="A24" s="12" t="s">
        <v>95</v>
      </c>
      <c r="B24" s="12" t="s">
        <v>202</v>
      </c>
      <c r="C24" s="12" t="s">
        <v>225</v>
      </c>
      <c r="D24" s="12" t="s">
        <v>230</v>
      </c>
      <c r="E24" s="24"/>
      <c r="F24" s="24"/>
      <c r="G24" s="24">
        <v>0.4375</v>
      </c>
      <c r="H24" s="1" t="s">
        <v>209</v>
      </c>
      <c r="I24" s="1" t="s">
        <v>97</v>
      </c>
      <c r="J24" s="1" t="s">
        <v>98</v>
      </c>
      <c r="K24" s="20"/>
      <c r="L24" s="1" t="s">
        <v>100</v>
      </c>
      <c r="M24" s="12"/>
      <c r="N24" s="12"/>
      <c r="O24" s="12"/>
      <c r="P24" s="12"/>
    </row>
    <row r="25">
      <c r="A25" s="12" t="s">
        <v>95</v>
      </c>
      <c r="B25" s="12" t="s">
        <v>202</v>
      </c>
      <c r="C25" s="12" t="s">
        <v>231</v>
      </c>
      <c r="D25" s="12" t="s">
        <v>232</v>
      </c>
      <c r="E25" s="24"/>
      <c r="F25" s="24"/>
      <c r="G25" s="24">
        <v>0.4395833333333333</v>
      </c>
      <c r="H25" s="1" t="s">
        <v>234</v>
      </c>
      <c r="I25" s="1" t="s">
        <v>97</v>
      </c>
      <c r="J25" s="1" t="s">
        <v>235</v>
      </c>
      <c r="K25" s="20"/>
      <c r="L25" s="1" t="s">
        <v>100</v>
      </c>
      <c r="M25" s="12"/>
      <c r="N25" s="12"/>
      <c r="O25" s="12"/>
      <c r="P25" s="12"/>
    </row>
    <row r="26">
      <c r="A26" s="12" t="s">
        <v>95</v>
      </c>
      <c r="B26" s="12" t="s">
        <v>202</v>
      </c>
      <c r="C26" s="12" t="s">
        <v>231</v>
      </c>
      <c r="D26" s="12" t="s">
        <v>236</v>
      </c>
      <c r="E26" s="24"/>
      <c r="F26" s="24"/>
      <c r="G26" s="24">
        <v>0.4409722222222222</v>
      </c>
      <c r="H26" s="1" t="s">
        <v>234</v>
      </c>
      <c r="I26" s="1" t="s">
        <v>97</v>
      </c>
      <c r="J26" s="1" t="s">
        <v>235</v>
      </c>
      <c r="K26" s="20"/>
      <c r="L26" s="1" t="s">
        <v>100</v>
      </c>
      <c r="M26" s="12"/>
      <c r="N26" s="12"/>
      <c r="O26" s="12"/>
      <c r="P26" s="12"/>
    </row>
    <row r="27">
      <c r="A27" s="12" t="s">
        <v>95</v>
      </c>
      <c r="B27" s="12" t="s">
        <v>202</v>
      </c>
      <c r="C27" s="12" t="s">
        <v>231</v>
      </c>
      <c r="D27" s="12" t="s">
        <v>238</v>
      </c>
      <c r="E27" s="24"/>
      <c r="F27" s="24"/>
      <c r="G27" s="24">
        <v>0.44166666666666665</v>
      </c>
      <c r="H27" s="1" t="s">
        <v>234</v>
      </c>
      <c r="I27" s="1" t="s">
        <v>97</v>
      </c>
      <c r="J27" s="1" t="s">
        <v>235</v>
      </c>
      <c r="K27" s="20"/>
      <c r="L27" s="1" t="s">
        <v>100</v>
      </c>
      <c r="M27" s="12"/>
      <c r="N27" s="12"/>
      <c r="O27" s="12"/>
      <c r="P27" s="12"/>
    </row>
    <row r="28">
      <c r="A28" s="12" t="s">
        <v>95</v>
      </c>
      <c r="B28" s="12" t="s">
        <v>202</v>
      </c>
      <c r="C28" s="12" t="s">
        <v>231</v>
      </c>
      <c r="D28" s="12" t="s">
        <v>240</v>
      </c>
      <c r="H28" s="20"/>
      <c r="J28" s="20"/>
      <c r="K28" s="20"/>
      <c r="L28" s="20"/>
      <c r="M28" s="35" t="s">
        <v>206</v>
      </c>
      <c r="N28" s="12"/>
      <c r="O28" s="12"/>
      <c r="P28" s="12"/>
    </row>
    <row r="29">
      <c r="A29" s="12" t="s">
        <v>95</v>
      </c>
      <c r="B29" s="12" t="s">
        <v>202</v>
      </c>
      <c r="C29" s="12" t="s">
        <v>242</v>
      </c>
      <c r="D29" s="12" t="s">
        <v>243</v>
      </c>
      <c r="E29" s="24"/>
      <c r="F29" s="24"/>
      <c r="G29" s="24">
        <v>0.4423611111111111</v>
      </c>
      <c r="H29" s="1" t="s">
        <v>234</v>
      </c>
      <c r="I29" s="1" t="s">
        <v>97</v>
      </c>
      <c r="J29" s="1" t="s">
        <v>235</v>
      </c>
      <c r="K29" s="20"/>
      <c r="L29" s="1" t="s">
        <v>100</v>
      </c>
      <c r="M29" s="12"/>
      <c r="N29" s="12"/>
      <c r="O29" s="12"/>
      <c r="P29" s="12"/>
    </row>
    <row r="30">
      <c r="A30" s="12" t="s">
        <v>95</v>
      </c>
      <c r="B30" s="12" t="s">
        <v>202</v>
      </c>
      <c r="C30" s="12" t="s">
        <v>242</v>
      </c>
      <c r="D30" s="12" t="s">
        <v>244</v>
      </c>
      <c r="E30" s="24"/>
      <c r="F30" s="24"/>
      <c r="G30" s="24">
        <v>0.44305555555555554</v>
      </c>
      <c r="H30" s="1" t="s">
        <v>234</v>
      </c>
      <c r="I30" s="1" t="s">
        <v>97</v>
      </c>
      <c r="J30" s="1" t="s">
        <v>235</v>
      </c>
      <c r="K30" s="20"/>
      <c r="L30" s="1" t="s">
        <v>100</v>
      </c>
      <c r="M30" s="12"/>
      <c r="N30" s="12"/>
      <c r="O30" s="12"/>
      <c r="P30" s="12"/>
    </row>
    <row r="31">
      <c r="A31" s="12" t="s">
        <v>95</v>
      </c>
      <c r="B31" s="12" t="s">
        <v>202</v>
      </c>
      <c r="C31" s="12" t="s">
        <v>242</v>
      </c>
      <c r="D31" s="12" t="s">
        <v>246</v>
      </c>
      <c r="E31" s="24"/>
      <c r="F31" s="24"/>
      <c r="G31" s="24">
        <v>0.44305555555555554</v>
      </c>
      <c r="H31" s="1" t="s">
        <v>234</v>
      </c>
      <c r="I31" s="1" t="s">
        <v>97</v>
      </c>
      <c r="J31" s="1" t="s">
        <v>235</v>
      </c>
      <c r="K31" s="20"/>
      <c r="L31" s="1" t="s">
        <v>100</v>
      </c>
      <c r="M31" s="12"/>
      <c r="N31" s="12"/>
      <c r="O31" s="12"/>
      <c r="P31" s="12"/>
    </row>
    <row r="32">
      <c r="A32" s="12" t="s">
        <v>95</v>
      </c>
      <c r="B32" s="12" t="s">
        <v>202</v>
      </c>
      <c r="C32" s="12" t="s">
        <v>248</v>
      </c>
      <c r="D32" s="12" t="s">
        <v>249</v>
      </c>
      <c r="E32" s="24"/>
      <c r="F32" s="24"/>
      <c r="G32" s="24">
        <v>0.44375</v>
      </c>
      <c r="H32" s="1" t="s">
        <v>234</v>
      </c>
      <c r="I32" s="1" t="s">
        <v>97</v>
      </c>
      <c r="J32" s="1" t="s">
        <v>235</v>
      </c>
      <c r="K32" s="20"/>
      <c r="L32" s="1" t="s">
        <v>100</v>
      </c>
      <c r="M32" s="12"/>
      <c r="N32" s="12"/>
      <c r="O32" s="12"/>
      <c r="P32" s="12"/>
    </row>
    <row r="33">
      <c r="A33" s="12" t="s">
        <v>95</v>
      </c>
      <c r="B33" s="12" t="s">
        <v>202</v>
      </c>
      <c r="C33" s="12" t="s">
        <v>248</v>
      </c>
      <c r="D33" s="12" t="s">
        <v>250</v>
      </c>
      <c r="E33" s="24"/>
      <c r="F33" s="24"/>
      <c r="G33" s="24">
        <v>0.44375</v>
      </c>
      <c r="H33" s="1" t="s">
        <v>234</v>
      </c>
      <c r="I33" s="1" t="s">
        <v>97</v>
      </c>
      <c r="J33" s="1" t="s">
        <v>235</v>
      </c>
      <c r="K33" s="20"/>
      <c r="L33" s="1" t="s">
        <v>100</v>
      </c>
      <c r="M33" s="35"/>
      <c r="N33" s="12"/>
      <c r="O33" s="12"/>
      <c r="P33" s="12"/>
    </row>
    <row r="34">
      <c r="A34" s="12" t="s">
        <v>95</v>
      </c>
      <c r="B34" s="12" t="s">
        <v>202</v>
      </c>
      <c r="C34" s="12" t="s">
        <v>248</v>
      </c>
      <c r="D34" s="12" t="s">
        <v>251</v>
      </c>
      <c r="E34" s="37"/>
      <c r="F34" s="37"/>
      <c r="G34" s="37">
        <v>0.4444444444444444</v>
      </c>
      <c r="H34" s="4" t="s">
        <v>234</v>
      </c>
      <c r="I34" s="4" t="s">
        <v>97</v>
      </c>
      <c r="J34" s="4" t="s">
        <v>235</v>
      </c>
      <c r="K34" s="4"/>
      <c r="L34" s="4" t="s">
        <v>100</v>
      </c>
      <c r="M34" s="12"/>
      <c r="N34" s="12"/>
      <c r="O34" s="12"/>
      <c r="P34" s="12"/>
    </row>
    <row r="35">
      <c r="A35" s="12" t="s">
        <v>95</v>
      </c>
      <c r="B35" s="12" t="s">
        <v>202</v>
      </c>
      <c r="C35" s="12" t="s">
        <v>253</v>
      </c>
      <c r="D35" s="12" t="s">
        <v>254</v>
      </c>
      <c r="E35" s="24"/>
      <c r="F35" s="24"/>
      <c r="G35" s="24">
        <v>0.44583333333333336</v>
      </c>
      <c r="H35" s="1" t="s">
        <v>234</v>
      </c>
      <c r="I35" s="1" t="s">
        <v>97</v>
      </c>
      <c r="J35" s="1" t="s">
        <v>235</v>
      </c>
      <c r="K35" s="20"/>
      <c r="L35" s="1" t="s">
        <v>100</v>
      </c>
      <c r="M35" s="12"/>
      <c r="N35" s="12"/>
      <c r="O35" s="12"/>
      <c r="P35" s="12"/>
    </row>
    <row r="36">
      <c r="A36" s="12" t="s">
        <v>95</v>
      </c>
      <c r="B36" s="12" t="s">
        <v>202</v>
      </c>
      <c r="C36" s="12" t="s">
        <v>253</v>
      </c>
      <c r="D36" s="12" t="s">
        <v>259</v>
      </c>
      <c r="E36" s="24"/>
      <c r="F36" s="24"/>
      <c r="G36" s="24">
        <v>0.44583333333333336</v>
      </c>
      <c r="H36" s="1" t="s">
        <v>234</v>
      </c>
      <c r="I36" s="1" t="s">
        <v>97</v>
      </c>
      <c r="J36" s="1" t="s">
        <v>235</v>
      </c>
      <c r="K36" s="20"/>
      <c r="L36" s="1" t="s">
        <v>100</v>
      </c>
      <c r="M36" s="12"/>
      <c r="N36" s="12"/>
      <c r="O36" s="12"/>
      <c r="P36" s="12"/>
    </row>
    <row r="37">
      <c r="A37" s="12" t="s">
        <v>95</v>
      </c>
      <c r="B37" s="12" t="s">
        <v>202</v>
      </c>
      <c r="C37" s="12" t="s">
        <v>253</v>
      </c>
      <c r="D37" s="12" t="s">
        <v>263</v>
      </c>
      <c r="E37" s="24"/>
      <c r="F37" s="24"/>
      <c r="G37" s="24">
        <v>0.44583333333333336</v>
      </c>
      <c r="H37" s="1" t="s">
        <v>234</v>
      </c>
      <c r="I37" s="1" t="s">
        <v>97</v>
      </c>
      <c r="J37" s="1" t="s">
        <v>235</v>
      </c>
      <c r="K37" s="20"/>
      <c r="L37" s="1" t="s">
        <v>100</v>
      </c>
      <c r="M37" s="12"/>
      <c r="N37" s="12"/>
      <c r="O37" s="12"/>
      <c r="P37" s="12"/>
    </row>
    <row r="38">
      <c r="A38" s="12" t="s">
        <v>95</v>
      </c>
      <c r="B38" s="12" t="s">
        <v>202</v>
      </c>
      <c r="C38" s="12" t="s">
        <v>262</v>
      </c>
      <c r="D38" s="12" t="s">
        <v>264</v>
      </c>
      <c r="E38" s="24"/>
      <c r="F38" s="24"/>
      <c r="G38" s="24">
        <v>0.4465277777777778</v>
      </c>
      <c r="H38" s="1" t="s">
        <v>234</v>
      </c>
      <c r="I38" s="1" t="s">
        <v>97</v>
      </c>
      <c r="J38" s="1" t="s">
        <v>194</v>
      </c>
      <c r="K38" s="20"/>
      <c r="L38" s="1" t="s">
        <v>100</v>
      </c>
      <c r="M38" s="12"/>
      <c r="N38" s="12"/>
      <c r="O38" s="12"/>
      <c r="P38" s="12"/>
    </row>
    <row r="39">
      <c r="A39" s="12" t="s">
        <v>95</v>
      </c>
      <c r="B39" s="12" t="s">
        <v>202</v>
      </c>
      <c r="C39" s="12" t="s">
        <v>262</v>
      </c>
      <c r="D39" s="12" t="s">
        <v>265</v>
      </c>
      <c r="E39" s="24"/>
      <c r="F39" s="24"/>
      <c r="G39" s="24">
        <v>0.4465277777777778</v>
      </c>
      <c r="H39" s="1" t="s">
        <v>234</v>
      </c>
      <c r="I39" s="1" t="s">
        <v>97</v>
      </c>
      <c r="J39" s="1" t="s">
        <v>194</v>
      </c>
      <c r="K39" s="20"/>
      <c r="L39" s="1" t="s">
        <v>100</v>
      </c>
      <c r="M39" s="12"/>
      <c r="N39" s="12"/>
      <c r="O39" s="12"/>
      <c r="P39" s="12"/>
    </row>
    <row r="40">
      <c r="A40" s="12" t="s">
        <v>95</v>
      </c>
      <c r="B40" s="12" t="s">
        <v>202</v>
      </c>
      <c r="C40" s="12" t="s">
        <v>262</v>
      </c>
      <c r="D40" s="12" t="s">
        <v>267</v>
      </c>
      <c r="E40" s="24"/>
      <c r="F40" s="24"/>
      <c r="G40" s="24">
        <v>0.4465277777777778</v>
      </c>
      <c r="H40" s="1" t="s">
        <v>234</v>
      </c>
      <c r="I40" s="1" t="s">
        <v>97</v>
      </c>
      <c r="J40" s="1" t="s">
        <v>194</v>
      </c>
      <c r="K40" s="20"/>
      <c r="L40" s="1" t="s">
        <v>100</v>
      </c>
      <c r="M40" s="12"/>
      <c r="N40" s="12"/>
      <c r="O40" s="12"/>
      <c r="P40" s="12"/>
    </row>
    <row r="41">
      <c r="A41" s="12" t="s">
        <v>95</v>
      </c>
      <c r="B41" s="12" t="s">
        <v>202</v>
      </c>
      <c r="C41" s="12" t="s">
        <v>252</v>
      </c>
      <c r="D41" s="12" t="s">
        <v>269</v>
      </c>
      <c r="E41" s="24"/>
      <c r="F41" s="24"/>
      <c r="G41" s="24">
        <v>0.44722222222222224</v>
      </c>
      <c r="H41" s="1" t="s">
        <v>234</v>
      </c>
      <c r="I41" s="1" t="s">
        <v>97</v>
      </c>
      <c r="J41" s="1" t="s">
        <v>194</v>
      </c>
      <c r="K41" s="20"/>
      <c r="L41" s="1" t="s">
        <v>100</v>
      </c>
      <c r="M41" s="12"/>
      <c r="N41" s="12"/>
      <c r="O41" s="12"/>
      <c r="P41" s="12"/>
    </row>
    <row r="42">
      <c r="A42" s="12" t="s">
        <v>95</v>
      </c>
      <c r="B42" s="12" t="s">
        <v>202</v>
      </c>
      <c r="C42" s="12" t="s">
        <v>252</v>
      </c>
      <c r="D42" s="12" t="s">
        <v>271</v>
      </c>
      <c r="E42" s="24"/>
      <c r="F42" s="24"/>
      <c r="G42" s="24">
        <v>0.44722222222222224</v>
      </c>
      <c r="H42" s="1" t="s">
        <v>234</v>
      </c>
      <c r="I42" s="1" t="s">
        <v>97</v>
      </c>
      <c r="J42" s="1" t="s">
        <v>194</v>
      </c>
      <c r="K42" s="20"/>
      <c r="L42" s="1" t="s">
        <v>100</v>
      </c>
      <c r="M42" s="12"/>
      <c r="N42" s="12"/>
      <c r="O42" s="12"/>
      <c r="P42" s="12"/>
    </row>
    <row r="43">
      <c r="A43" s="12" t="s">
        <v>95</v>
      </c>
      <c r="B43" s="12" t="s">
        <v>202</v>
      </c>
      <c r="C43" s="12" t="s">
        <v>252</v>
      </c>
      <c r="D43" s="12" t="s">
        <v>273</v>
      </c>
      <c r="E43" s="24"/>
      <c r="F43" s="24"/>
      <c r="G43" s="24">
        <v>0.44722222222222224</v>
      </c>
      <c r="H43" s="1" t="s">
        <v>234</v>
      </c>
      <c r="I43" s="1" t="s">
        <v>97</v>
      </c>
      <c r="J43" s="1" t="s">
        <v>194</v>
      </c>
      <c r="K43" s="20"/>
      <c r="L43" s="1" t="s">
        <v>100</v>
      </c>
      <c r="M43" s="12"/>
      <c r="N43" s="12"/>
      <c r="O43" s="12"/>
      <c r="P43" s="12"/>
    </row>
    <row r="44">
      <c r="A44" s="12" t="s">
        <v>95</v>
      </c>
      <c r="B44" s="12" t="s">
        <v>202</v>
      </c>
      <c r="C44" s="12" t="s">
        <v>274</v>
      </c>
      <c r="D44" s="12" t="s">
        <v>275</v>
      </c>
      <c r="E44" s="24"/>
      <c r="F44" s="24"/>
      <c r="G44" s="24">
        <v>0.4479166666666667</v>
      </c>
      <c r="H44" s="1" t="s">
        <v>234</v>
      </c>
      <c r="I44" s="1" t="s">
        <v>97</v>
      </c>
      <c r="J44" s="1" t="s">
        <v>194</v>
      </c>
      <c r="K44" s="20"/>
      <c r="L44" s="1" t="s">
        <v>100</v>
      </c>
      <c r="M44" s="12"/>
      <c r="N44" s="12"/>
      <c r="O44" s="12"/>
      <c r="P44" s="12"/>
    </row>
    <row r="45">
      <c r="A45" s="12" t="s">
        <v>95</v>
      </c>
      <c r="B45" s="12" t="s">
        <v>202</v>
      </c>
      <c r="C45" s="12" t="s">
        <v>274</v>
      </c>
      <c r="D45" s="12" t="s">
        <v>277</v>
      </c>
      <c r="E45" s="24"/>
      <c r="F45" s="24"/>
      <c r="G45" s="24">
        <v>0.4479166666666667</v>
      </c>
      <c r="H45" s="1" t="s">
        <v>234</v>
      </c>
      <c r="I45" s="1" t="s">
        <v>97</v>
      </c>
      <c r="J45" s="1" t="s">
        <v>194</v>
      </c>
      <c r="K45" s="20"/>
      <c r="L45" s="1" t="s">
        <v>100</v>
      </c>
      <c r="M45" s="12"/>
      <c r="N45" s="12"/>
      <c r="O45" s="12"/>
      <c r="P45" s="12"/>
    </row>
    <row r="46">
      <c r="A46" s="12" t="s">
        <v>95</v>
      </c>
      <c r="B46" s="12" t="s">
        <v>202</v>
      </c>
      <c r="C46" s="12" t="s">
        <v>274</v>
      </c>
      <c r="D46" s="12" t="s">
        <v>280</v>
      </c>
      <c r="E46" s="24"/>
      <c r="F46" s="24"/>
      <c r="G46" s="24">
        <v>0.4486111111111111</v>
      </c>
      <c r="H46" s="1" t="s">
        <v>234</v>
      </c>
      <c r="I46" s="1" t="s">
        <v>97</v>
      </c>
      <c r="J46" s="1" t="s">
        <v>194</v>
      </c>
      <c r="K46" s="20"/>
      <c r="L46" s="1" t="s">
        <v>100</v>
      </c>
      <c r="M46" s="12"/>
      <c r="N46" s="12"/>
      <c r="O46" s="12"/>
      <c r="P46" s="12"/>
    </row>
    <row r="47">
      <c r="A47" s="12" t="s">
        <v>95</v>
      </c>
      <c r="B47" s="12" t="s">
        <v>281</v>
      </c>
      <c r="C47" s="12" t="s">
        <v>282</v>
      </c>
      <c r="D47" s="12" t="s">
        <v>283</v>
      </c>
      <c r="E47" s="24"/>
      <c r="F47" s="24"/>
      <c r="G47" s="24">
        <v>0.4548611111111111</v>
      </c>
      <c r="H47" s="1" t="s">
        <v>104</v>
      </c>
      <c r="I47" s="1" t="s">
        <v>97</v>
      </c>
      <c r="J47" s="1" t="s">
        <v>121</v>
      </c>
      <c r="K47" s="20"/>
      <c r="L47" s="1" t="s">
        <v>100</v>
      </c>
      <c r="M47" s="12"/>
      <c r="N47" s="12"/>
      <c r="O47" s="12"/>
      <c r="P47" s="12"/>
    </row>
    <row r="48">
      <c r="A48" s="12" t="s">
        <v>95</v>
      </c>
      <c r="B48" s="12" t="s">
        <v>281</v>
      </c>
      <c r="C48" s="12" t="s">
        <v>285</v>
      </c>
      <c r="D48" s="12" t="s">
        <v>286</v>
      </c>
      <c r="E48" s="24"/>
      <c r="F48" s="24"/>
      <c r="G48" s="24">
        <v>0.45694444444444443</v>
      </c>
      <c r="H48" s="1" t="s">
        <v>104</v>
      </c>
      <c r="I48" s="1" t="s">
        <v>97</v>
      </c>
      <c r="J48" s="1" t="s">
        <v>98</v>
      </c>
      <c r="K48" s="20"/>
      <c r="L48" s="1" t="s">
        <v>100</v>
      </c>
      <c r="M48" s="12"/>
      <c r="N48" s="12"/>
      <c r="O48" s="12"/>
      <c r="P48" s="12"/>
    </row>
    <row r="49">
      <c r="A49" s="12" t="s">
        <v>95</v>
      </c>
      <c r="B49" s="12" t="s">
        <v>281</v>
      </c>
      <c r="C49" s="12" t="s">
        <v>285</v>
      </c>
      <c r="D49" s="12" t="s">
        <v>287</v>
      </c>
      <c r="H49" s="20"/>
      <c r="J49" s="20"/>
      <c r="K49" s="20"/>
      <c r="L49" s="20"/>
      <c r="M49" s="35" t="s">
        <v>206</v>
      </c>
      <c r="N49" s="12"/>
      <c r="O49" s="12"/>
      <c r="P49" s="12"/>
    </row>
    <row r="50">
      <c r="A50" s="12" t="s">
        <v>95</v>
      </c>
      <c r="B50" s="12" t="s">
        <v>281</v>
      </c>
      <c r="C50" s="12" t="s">
        <v>285</v>
      </c>
      <c r="D50" s="12" t="s">
        <v>288</v>
      </c>
      <c r="H50" s="20"/>
      <c r="J50" s="20"/>
      <c r="K50" s="20"/>
      <c r="L50" s="20"/>
      <c r="M50" s="35" t="s">
        <v>206</v>
      </c>
      <c r="N50" s="12"/>
      <c r="O50" s="12"/>
      <c r="P50" s="12"/>
    </row>
    <row r="51">
      <c r="A51" s="12" t="s">
        <v>95</v>
      </c>
      <c r="B51" s="12" t="s">
        <v>281</v>
      </c>
      <c r="C51" s="12" t="s">
        <v>290</v>
      </c>
      <c r="D51" s="12" t="s">
        <v>291</v>
      </c>
      <c r="E51" s="24"/>
      <c r="F51" s="24"/>
      <c r="G51" s="24">
        <v>0.4597222222222222</v>
      </c>
      <c r="H51" s="1" t="s">
        <v>104</v>
      </c>
      <c r="I51" s="1" t="s">
        <v>97</v>
      </c>
      <c r="J51" s="1" t="s">
        <v>98</v>
      </c>
      <c r="K51" s="20"/>
      <c r="L51" s="1" t="s">
        <v>100</v>
      </c>
      <c r="M51" s="12"/>
      <c r="N51" s="12"/>
      <c r="O51" s="12"/>
      <c r="P51" s="12"/>
    </row>
    <row r="52">
      <c r="A52" s="12" t="s">
        <v>95</v>
      </c>
      <c r="B52" s="12" t="s">
        <v>281</v>
      </c>
      <c r="C52" s="12" t="s">
        <v>290</v>
      </c>
      <c r="D52" s="12" t="s">
        <v>293</v>
      </c>
      <c r="H52" s="20"/>
      <c r="J52" s="20"/>
      <c r="K52" s="20"/>
      <c r="L52" s="20"/>
      <c r="M52" s="35" t="s">
        <v>206</v>
      </c>
      <c r="N52" s="12"/>
      <c r="O52" s="12"/>
      <c r="P52" s="12"/>
    </row>
    <row r="53">
      <c r="A53" s="12" t="s">
        <v>95</v>
      </c>
      <c r="B53" s="12" t="s">
        <v>281</v>
      </c>
      <c r="C53" s="12" t="s">
        <v>290</v>
      </c>
      <c r="D53" s="12" t="s">
        <v>295</v>
      </c>
      <c r="H53" s="20"/>
      <c r="J53" s="20"/>
      <c r="K53" s="20"/>
      <c r="L53" s="20"/>
      <c r="M53" s="35" t="s">
        <v>206</v>
      </c>
      <c r="N53" s="12"/>
      <c r="O53" s="12"/>
      <c r="P53" s="12"/>
    </row>
    <row r="54">
      <c r="A54" s="12" t="s">
        <v>95</v>
      </c>
      <c r="B54" s="12" t="s">
        <v>281</v>
      </c>
      <c r="C54" s="12" t="s">
        <v>296</v>
      </c>
      <c r="D54" s="12" t="s">
        <v>297</v>
      </c>
      <c r="E54" s="24"/>
      <c r="F54" s="24"/>
      <c r="G54" s="24">
        <v>0.4618055555555556</v>
      </c>
      <c r="H54" s="1" t="s">
        <v>104</v>
      </c>
      <c r="I54" s="1" t="s">
        <v>97</v>
      </c>
      <c r="J54" s="1" t="s">
        <v>98</v>
      </c>
      <c r="K54" s="20"/>
      <c r="L54" s="1" t="s">
        <v>100</v>
      </c>
      <c r="M54" s="12"/>
      <c r="N54" s="12"/>
      <c r="O54" s="12"/>
      <c r="P54" s="12"/>
    </row>
    <row r="55">
      <c r="A55" s="12" t="s">
        <v>95</v>
      </c>
      <c r="B55" s="12" t="s">
        <v>281</v>
      </c>
      <c r="C55" s="12" t="s">
        <v>296</v>
      </c>
      <c r="D55" s="12" t="s">
        <v>299</v>
      </c>
      <c r="H55" s="20"/>
      <c r="J55" s="20"/>
      <c r="K55" s="20"/>
      <c r="L55" s="20"/>
      <c r="M55" s="35" t="s">
        <v>206</v>
      </c>
      <c r="N55" s="12"/>
      <c r="O55" s="12"/>
      <c r="P55" s="12"/>
    </row>
    <row r="56">
      <c r="A56" s="12" t="s">
        <v>95</v>
      </c>
      <c r="B56" s="12" t="s">
        <v>281</v>
      </c>
      <c r="C56" s="12" t="s">
        <v>296</v>
      </c>
      <c r="D56" s="12" t="s">
        <v>300</v>
      </c>
      <c r="H56" s="20"/>
      <c r="J56" s="20"/>
      <c r="K56" s="20"/>
      <c r="L56" s="20"/>
      <c r="M56" s="35" t="s">
        <v>206</v>
      </c>
      <c r="N56" s="12"/>
      <c r="O56" s="12"/>
      <c r="P56" s="12"/>
    </row>
    <row r="57">
      <c r="A57" s="12" t="s">
        <v>95</v>
      </c>
      <c r="B57" s="12" t="s">
        <v>281</v>
      </c>
      <c r="C57" s="12" t="s">
        <v>296</v>
      </c>
      <c r="D57" s="12" t="s">
        <v>301</v>
      </c>
      <c r="H57" s="20"/>
      <c r="J57" s="20"/>
      <c r="K57" s="20"/>
      <c r="L57" s="20"/>
      <c r="M57" s="35" t="s">
        <v>206</v>
      </c>
      <c r="N57" s="12"/>
      <c r="O57" s="12"/>
      <c r="P57" s="12"/>
    </row>
    <row r="58">
      <c r="A58" s="12" t="s">
        <v>95</v>
      </c>
      <c r="B58" s="12" t="s">
        <v>281</v>
      </c>
      <c r="C58" s="12" t="s">
        <v>303</v>
      </c>
      <c r="D58" s="12" t="s">
        <v>304</v>
      </c>
      <c r="E58" s="24"/>
      <c r="F58" s="24"/>
      <c r="G58" s="24">
        <v>0.46597222222222223</v>
      </c>
      <c r="H58" s="1" t="s">
        <v>99</v>
      </c>
      <c r="I58" s="1" t="s">
        <v>97</v>
      </c>
      <c r="J58" s="1" t="s">
        <v>194</v>
      </c>
      <c r="K58" s="20"/>
      <c r="L58" s="1" t="s">
        <v>100</v>
      </c>
      <c r="M58" s="12"/>
      <c r="N58" s="12"/>
      <c r="O58" s="12"/>
      <c r="P58" s="12"/>
    </row>
    <row r="59">
      <c r="A59" s="12" t="s">
        <v>95</v>
      </c>
      <c r="B59" s="12" t="s">
        <v>281</v>
      </c>
      <c r="C59" s="12" t="s">
        <v>303</v>
      </c>
      <c r="D59" s="12" t="s">
        <v>305</v>
      </c>
      <c r="E59" s="24"/>
      <c r="F59" s="24"/>
      <c r="G59" s="24"/>
      <c r="H59" s="20"/>
      <c r="J59" s="20"/>
      <c r="K59" s="20"/>
      <c r="L59" s="20"/>
      <c r="M59" s="35" t="s">
        <v>206</v>
      </c>
      <c r="N59" s="12"/>
      <c r="O59" s="12"/>
      <c r="P59" s="12"/>
    </row>
    <row r="60">
      <c r="A60" s="12" t="s">
        <v>95</v>
      </c>
      <c r="B60" s="12" t="s">
        <v>281</v>
      </c>
      <c r="C60" s="12" t="s">
        <v>303</v>
      </c>
      <c r="D60" s="12" t="s">
        <v>306</v>
      </c>
      <c r="H60" s="20"/>
      <c r="J60" s="20"/>
      <c r="K60" s="20"/>
      <c r="L60" s="20"/>
      <c r="M60" s="35" t="s">
        <v>206</v>
      </c>
      <c r="N60" s="12"/>
      <c r="O60" s="12"/>
      <c r="P60" s="12"/>
    </row>
    <row r="61">
      <c r="A61" s="12" t="s">
        <v>95</v>
      </c>
      <c r="B61" s="12" t="s">
        <v>281</v>
      </c>
      <c r="C61" s="12" t="s">
        <v>307</v>
      </c>
      <c r="D61" s="12" t="s">
        <v>308</v>
      </c>
      <c r="E61" s="37"/>
      <c r="F61" s="37"/>
      <c r="G61" s="37">
        <v>0.46944444444444444</v>
      </c>
      <c r="H61" s="4" t="s">
        <v>99</v>
      </c>
      <c r="I61" s="4" t="s">
        <v>97</v>
      </c>
      <c r="J61" s="4" t="s">
        <v>194</v>
      </c>
      <c r="K61" s="4"/>
      <c r="L61" s="4" t="s">
        <v>100</v>
      </c>
      <c r="M61" s="12"/>
      <c r="N61" s="12"/>
      <c r="O61" s="12"/>
      <c r="P61" s="12"/>
    </row>
    <row r="62">
      <c r="A62" s="12" t="s">
        <v>95</v>
      </c>
      <c r="B62" s="12" t="s">
        <v>281</v>
      </c>
      <c r="C62" s="12" t="s">
        <v>307</v>
      </c>
      <c r="D62" s="12" t="s">
        <v>310</v>
      </c>
      <c r="E62" s="24"/>
      <c r="F62" s="24"/>
      <c r="G62" s="24">
        <v>0.4701388888888889</v>
      </c>
      <c r="H62" s="1" t="s">
        <v>99</v>
      </c>
      <c r="I62" s="1" t="s">
        <v>97</v>
      </c>
      <c r="J62" s="1" t="s">
        <v>194</v>
      </c>
      <c r="K62" s="20"/>
      <c r="L62" s="1" t="s">
        <v>100</v>
      </c>
      <c r="M62" s="12"/>
      <c r="N62" s="12"/>
      <c r="O62" s="12"/>
      <c r="P62" s="12"/>
    </row>
    <row r="63">
      <c r="A63" s="12" t="s">
        <v>95</v>
      </c>
      <c r="B63" s="12" t="s">
        <v>281</v>
      </c>
      <c r="C63" s="12" t="s">
        <v>307</v>
      </c>
      <c r="D63" s="12" t="s">
        <v>311</v>
      </c>
      <c r="H63" s="20"/>
      <c r="J63" s="20"/>
      <c r="K63" s="20"/>
      <c r="L63" s="20"/>
      <c r="M63" s="35" t="s">
        <v>206</v>
      </c>
      <c r="N63" s="12"/>
      <c r="O63" s="12"/>
      <c r="P63" s="12"/>
    </row>
    <row r="64">
      <c r="A64" s="12" t="s">
        <v>95</v>
      </c>
      <c r="B64" s="12" t="s">
        <v>281</v>
      </c>
      <c r="C64" s="12" t="s">
        <v>307</v>
      </c>
      <c r="D64" s="12" t="s">
        <v>312</v>
      </c>
      <c r="H64" s="20"/>
      <c r="J64" s="20"/>
      <c r="K64" s="20"/>
      <c r="L64" s="20"/>
      <c r="M64" s="35" t="s">
        <v>206</v>
      </c>
      <c r="N64" s="12"/>
      <c r="O64" s="12"/>
      <c r="P64" s="12"/>
    </row>
    <row r="65">
      <c r="A65" s="12" t="s">
        <v>95</v>
      </c>
      <c r="B65" s="12" t="s">
        <v>281</v>
      </c>
      <c r="C65" s="12" t="s">
        <v>307</v>
      </c>
      <c r="D65" s="12" t="s">
        <v>313</v>
      </c>
      <c r="H65" s="20"/>
      <c r="J65" s="20"/>
      <c r="K65" s="20"/>
      <c r="L65" s="20"/>
      <c r="M65" s="35" t="s">
        <v>206</v>
      </c>
      <c r="N65" s="12"/>
      <c r="O65" s="12"/>
      <c r="P65" s="12"/>
    </row>
    <row r="66">
      <c r="A66" s="12" t="s">
        <v>95</v>
      </c>
      <c r="B66" s="12" t="s">
        <v>281</v>
      </c>
      <c r="C66" s="12" t="s">
        <v>307</v>
      </c>
      <c r="D66" s="12" t="s">
        <v>314</v>
      </c>
      <c r="E66" s="24"/>
      <c r="F66" s="24"/>
      <c r="G66" s="24">
        <v>0.4708333333333333</v>
      </c>
      <c r="H66" s="1" t="s">
        <v>99</v>
      </c>
      <c r="I66" s="1" t="s">
        <v>97</v>
      </c>
      <c r="J66" s="1" t="s">
        <v>194</v>
      </c>
      <c r="K66" s="20"/>
      <c r="L66" s="1" t="s">
        <v>100</v>
      </c>
      <c r="M66" s="12"/>
      <c r="N66" s="12"/>
      <c r="O66" s="12"/>
      <c r="P66" s="12"/>
    </row>
    <row r="67">
      <c r="A67" s="12" t="s">
        <v>95</v>
      </c>
      <c r="B67" s="12" t="s">
        <v>281</v>
      </c>
      <c r="C67" s="12" t="s">
        <v>307</v>
      </c>
      <c r="D67" s="12" t="s">
        <v>316</v>
      </c>
      <c r="H67" s="20"/>
      <c r="J67" s="20"/>
      <c r="K67" s="20"/>
      <c r="L67" s="20"/>
      <c r="M67" s="35" t="s">
        <v>206</v>
      </c>
      <c r="N67" s="12"/>
      <c r="O67" s="12"/>
      <c r="P67" s="12"/>
    </row>
    <row r="68">
      <c r="A68" s="12" t="s">
        <v>95</v>
      </c>
      <c r="B68" s="12" t="s">
        <v>281</v>
      </c>
      <c r="C68" s="12" t="s">
        <v>307</v>
      </c>
      <c r="D68" s="12" t="s">
        <v>317</v>
      </c>
      <c r="H68" s="20"/>
      <c r="J68" s="20"/>
      <c r="K68" s="20"/>
      <c r="L68" s="20"/>
      <c r="M68" s="35" t="s">
        <v>206</v>
      </c>
      <c r="N68" s="12"/>
      <c r="O68" s="12"/>
      <c r="P68" s="12"/>
    </row>
    <row r="69">
      <c r="A69" s="12" t="s">
        <v>95</v>
      </c>
      <c r="B69" s="12" t="s">
        <v>281</v>
      </c>
      <c r="C69" s="12" t="s">
        <v>307</v>
      </c>
      <c r="D69" s="12" t="s">
        <v>318</v>
      </c>
      <c r="H69" s="20"/>
      <c r="J69" s="20"/>
      <c r="K69" s="20"/>
      <c r="L69" s="20"/>
      <c r="M69" s="35" t="s">
        <v>206</v>
      </c>
      <c r="N69" s="12"/>
      <c r="O69" s="12"/>
      <c r="P69" s="12"/>
    </row>
    <row r="70">
      <c r="A70" s="12" t="s">
        <v>95</v>
      </c>
      <c r="B70" s="12" t="s">
        <v>227</v>
      </c>
      <c r="C70" s="12" t="s">
        <v>320</v>
      </c>
      <c r="D70" s="12" t="s">
        <v>321</v>
      </c>
      <c r="E70" s="24"/>
      <c r="F70" s="24"/>
      <c r="G70" s="24">
        <v>0.4777777777777778</v>
      </c>
      <c r="H70" s="1" t="s">
        <v>192</v>
      </c>
      <c r="I70" s="1" t="s">
        <v>97</v>
      </c>
      <c r="J70" s="1" t="s">
        <v>98</v>
      </c>
      <c r="K70" s="20"/>
      <c r="L70" s="1" t="s">
        <v>100</v>
      </c>
      <c r="M70" s="12"/>
      <c r="N70" s="12"/>
      <c r="O70" s="12"/>
      <c r="P70" s="12"/>
    </row>
    <row r="71">
      <c r="A71" s="12" t="s">
        <v>95</v>
      </c>
      <c r="B71" s="12" t="s">
        <v>227</v>
      </c>
      <c r="C71" s="12" t="s">
        <v>320</v>
      </c>
      <c r="D71" s="12" t="s">
        <v>322</v>
      </c>
      <c r="E71" s="24"/>
      <c r="F71" s="24"/>
      <c r="G71" s="24">
        <v>0.47847222222222224</v>
      </c>
      <c r="H71" s="1" t="s">
        <v>192</v>
      </c>
      <c r="I71" s="1" t="s">
        <v>97</v>
      </c>
      <c r="J71" s="1" t="s">
        <v>98</v>
      </c>
      <c r="K71" s="20"/>
      <c r="L71" s="1" t="s">
        <v>100</v>
      </c>
      <c r="M71" s="12"/>
      <c r="N71" s="12"/>
      <c r="O71" s="12"/>
      <c r="P71" s="12"/>
    </row>
    <row r="72">
      <c r="A72" s="12" t="s">
        <v>95</v>
      </c>
      <c r="B72" s="12" t="s">
        <v>227</v>
      </c>
      <c r="C72" s="12" t="s">
        <v>320</v>
      </c>
      <c r="D72" s="12" t="s">
        <v>323</v>
      </c>
      <c r="E72" s="24"/>
      <c r="F72" s="24"/>
      <c r="G72" s="24">
        <v>0.4791666666666667</v>
      </c>
      <c r="H72" s="1" t="s">
        <v>192</v>
      </c>
      <c r="I72" s="1" t="s">
        <v>97</v>
      </c>
      <c r="J72" s="1" t="s">
        <v>98</v>
      </c>
      <c r="K72" s="20"/>
      <c r="L72" s="1" t="s">
        <v>100</v>
      </c>
      <c r="M72" s="12"/>
      <c r="N72" s="12"/>
      <c r="O72" s="12"/>
      <c r="P72" s="12"/>
    </row>
    <row r="73">
      <c r="A73" s="12" t="s">
        <v>95</v>
      </c>
      <c r="B73" s="12" t="s">
        <v>227</v>
      </c>
      <c r="C73" s="12" t="s">
        <v>324</v>
      </c>
      <c r="D73" s="12" t="s">
        <v>325</v>
      </c>
      <c r="E73" s="24"/>
      <c r="F73" s="24"/>
      <c r="G73" s="24">
        <v>0.48055555555555557</v>
      </c>
      <c r="H73" s="1" t="s">
        <v>192</v>
      </c>
      <c r="I73" s="1" t="s">
        <v>97</v>
      </c>
      <c r="J73" s="1" t="s">
        <v>98</v>
      </c>
      <c r="K73" s="20"/>
      <c r="L73" s="1" t="s">
        <v>100</v>
      </c>
      <c r="M73" s="12"/>
      <c r="N73" s="12"/>
      <c r="O73" s="12"/>
      <c r="P73" s="12"/>
    </row>
    <row r="74">
      <c r="A74" s="12" t="s">
        <v>95</v>
      </c>
      <c r="B74" s="12" t="s">
        <v>227</v>
      </c>
      <c r="C74" s="12" t="s">
        <v>324</v>
      </c>
      <c r="D74" s="12" t="s">
        <v>328</v>
      </c>
      <c r="E74" s="24"/>
      <c r="F74" s="24"/>
      <c r="G74" s="24">
        <v>0.48055555555555557</v>
      </c>
      <c r="H74" s="1" t="s">
        <v>192</v>
      </c>
      <c r="I74" s="1" t="s">
        <v>97</v>
      </c>
      <c r="J74" s="1" t="s">
        <v>98</v>
      </c>
      <c r="K74" s="20"/>
      <c r="L74" s="1" t="s">
        <v>100</v>
      </c>
      <c r="M74" s="12"/>
      <c r="N74" s="12"/>
      <c r="O74" s="12"/>
      <c r="P74" s="12"/>
    </row>
    <row r="75">
      <c r="A75" s="12" t="s">
        <v>95</v>
      </c>
      <c r="B75" s="12" t="s">
        <v>227</v>
      </c>
      <c r="C75" s="12" t="s">
        <v>324</v>
      </c>
      <c r="D75" s="12" t="s">
        <v>334</v>
      </c>
      <c r="E75" s="24"/>
      <c r="F75" s="24"/>
      <c r="G75" s="24">
        <v>0.48125</v>
      </c>
      <c r="H75" s="1" t="s">
        <v>192</v>
      </c>
      <c r="I75" s="1" t="s">
        <v>97</v>
      </c>
      <c r="J75" s="1" t="s">
        <v>98</v>
      </c>
      <c r="K75" s="20"/>
      <c r="L75" s="1" t="s">
        <v>100</v>
      </c>
      <c r="M75" s="12"/>
      <c r="N75" s="12"/>
      <c r="O75" s="12"/>
      <c r="P75" s="12"/>
    </row>
    <row r="76">
      <c r="A76" s="12" t="s">
        <v>95</v>
      </c>
      <c r="B76" s="12" t="s">
        <v>227</v>
      </c>
      <c r="C76" s="12" t="s">
        <v>228</v>
      </c>
      <c r="D76" s="12" t="s">
        <v>341</v>
      </c>
      <c r="E76" s="24"/>
      <c r="F76" s="24"/>
      <c r="G76" s="24">
        <v>0.4840277777777778</v>
      </c>
      <c r="H76" s="1" t="s">
        <v>64</v>
      </c>
      <c r="I76" s="1" t="s">
        <v>97</v>
      </c>
      <c r="J76" s="1" t="s">
        <v>194</v>
      </c>
      <c r="K76" s="1" t="s">
        <v>99</v>
      </c>
      <c r="L76" s="1" t="s">
        <v>100</v>
      </c>
      <c r="M76" s="12"/>
      <c r="N76" s="12"/>
      <c r="O76" s="12"/>
      <c r="P76" s="12"/>
    </row>
    <row r="77">
      <c r="A77" s="12" t="s">
        <v>95</v>
      </c>
      <c r="B77" s="12" t="s">
        <v>227</v>
      </c>
      <c r="C77" s="12" t="s">
        <v>228</v>
      </c>
      <c r="D77" s="12" t="s">
        <v>346</v>
      </c>
      <c r="E77" s="24"/>
      <c r="F77" s="24"/>
      <c r="G77" s="24">
        <v>0.48541666666666666</v>
      </c>
      <c r="H77" s="1" t="s">
        <v>64</v>
      </c>
      <c r="I77" s="1" t="s">
        <v>97</v>
      </c>
      <c r="J77" s="1" t="s">
        <v>194</v>
      </c>
      <c r="K77" s="1" t="s">
        <v>99</v>
      </c>
      <c r="L77" s="1" t="s">
        <v>100</v>
      </c>
      <c r="M77" s="12"/>
      <c r="N77" s="12"/>
      <c r="O77" s="12"/>
      <c r="P77" s="12"/>
    </row>
    <row r="78">
      <c r="A78" s="12" t="s">
        <v>95</v>
      </c>
      <c r="B78" s="12" t="s">
        <v>227</v>
      </c>
      <c r="C78" s="12" t="s">
        <v>228</v>
      </c>
      <c r="D78" s="12" t="s">
        <v>347</v>
      </c>
      <c r="E78" s="24"/>
      <c r="F78" s="24"/>
      <c r="G78" s="24">
        <v>0.48541666666666666</v>
      </c>
      <c r="H78" s="1" t="s">
        <v>64</v>
      </c>
      <c r="I78" s="1" t="s">
        <v>97</v>
      </c>
      <c r="J78" s="1" t="s">
        <v>194</v>
      </c>
      <c r="K78" s="1" t="s">
        <v>99</v>
      </c>
      <c r="L78" s="1" t="s">
        <v>100</v>
      </c>
      <c r="M78" s="12"/>
      <c r="N78" s="12"/>
      <c r="O78" s="12"/>
      <c r="P78" s="12"/>
    </row>
    <row r="79">
      <c r="A79" s="12" t="s">
        <v>95</v>
      </c>
      <c r="B79" s="12" t="s">
        <v>227</v>
      </c>
      <c r="C79" s="12" t="s">
        <v>228</v>
      </c>
      <c r="D79" s="12" t="s">
        <v>349</v>
      </c>
      <c r="E79" s="24"/>
      <c r="F79" s="24"/>
      <c r="G79" s="24">
        <v>0.48541666666666666</v>
      </c>
      <c r="H79" s="1" t="s">
        <v>64</v>
      </c>
      <c r="I79" s="1" t="s">
        <v>97</v>
      </c>
      <c r="J79" s="1" t="s">
        <v>194</v>
      </c>
      <c r="K79" s="1" t="s">
        <v>104</v>
      </c>
      <c r="L79" s="1" t="s">
        <v>100</v>
      </c>
      <c r="M79" s="12"/>
      <c r="N79" s="12"/>
      <c r="O79" s="12"/>
      <c r="P79" s="12"/>
    </row>
    <row r="80">
      <c r="A80" s="12" t="s">
        <v>95</v>
      </c>
      <c r="B80" s="12" t="s">
        <v>227</v>
      </c>
      <c r="C80" s="12" t="s">
        <v>228</v>
      </c>
      <c r="D80" s="12" t="s">
        <v>352</v>
      </c>
      <c r="E80" s="24"/>
      <c r="F80" s="24"/>
      <c r="G80" s="24">
        <v>0.4861111111111111</v>
      </c>
      <c r="H80" s="1" t="s">
        <v>64</v>
      </c>
      <c r="I80" s="1" t="s">
        <v>97</v>
      </c>
      <c r="J80" s="1" t="s">
        <v>194</v>
      </c>
      <c r="K80" s="1" t="s">
        <v>104</v>
      </c>
      <c r="L80" s="1" t="s">
        <v>100</v>
      </c>
      <c r="M80" s="12"/>
      <c r="N80" s="12"/>
      <c r="O80" s="12"/>
      <c r="P80" s="12"/>
    </row>
    <row r="81">
      <c r="A81" s="12" t="s">
        <v>95</v>
      </c>
      <c r="B81" s="12" t="s">
        <v>227</v>
      </c>
      <c r="C81" s="12" t="s">
        <v>239</v>
      </c>
      <c r="D81" s="12" t="s">
        <v>355</v>
      </c>
      <c r="E81" s="24"/>
      <c r="F81" s="24"/>
      <c r="G81" s="24">
        <v>0.4888888888888889</v>
      </c>
      <c r="H81" s="1" t="s">
        <v>64</v>
      </c>
      <c r="I81" s="1" t="s">
        <v>97</v>
      </c>
      <c r="J81" s="1" t="s">
        <v>194</v>
      </c>
      <c r="K81" s="1" t="s">
        <v>99</v>
      </c>
      <c r="L81" s="1" t="s">
        <v>100</v>
      </c>
      <c r="M81" s="12"/>
      <c r="N81" s="12"/>
      <c r="O81" s="12"/>
      <c r="P81" s="12"/>
    </row>
    <row r="82">
      <c r="A82" s="12" t="s">
        <v>95</v>
      </c>
      <c r="B82" s="12" t="s">
        <v>227</v>
      </c>
      <c r="C82" s="12" t="s">
        <v>239</v>
      </c>
      <c r="D82" s="12" t="s">
        <v>357</v>
      </c>
      <c r="E82" s="24"/>
      <c r="F82" s="24"/>
      <c r="G82" s="24">
        <v>0.4888888888888889</v>
      </c>
      <c r="H82" s="1" t="s">
        <v>64</v>
      </c>
      <c r="I82" s="1" t="s">
        <v>97</v>
      </c>
      <c r="J82" s="1" t="s">
        <v>194</v>
      </c>
      <c r="K82" s="1" t="s">
        <v>99</v>
      </c>
      <c r="L82" s="1" t="s">
        <v>100</v>
      </c>
      <c r="M82" s="12"/>
      <c r="N82" s="12"/>
      <c r="O82" s="12"/>
      <c r="P82" s="12"/>
    </row>
    <row r="83">
      <c r="A83" s="12" t="s">
        <v>95</v>
      </c>
      <c r="B83" s="12" t="s">
        <v>227</v>
      </c>
      <c r="C83" s="12" t="s">
        <v>239</v>
      </c>
      <c r="D83" s="12" t="s">
        <v>358</v>
      </c>
      <c r="E83" s="24"/>
      <c r="F83" s="24"/>
      <c r="G83" s="24">
        <v>0.4895833333333333</v>
      </c>
      <c r="H83" s="1" t="s">
        <v>64</v>
      </c>
      <c r="I83" s="1" t="s">
        <v>97</v>
      </c>
      <c r="J83" s="1" t="s">
        <v>194</v>
      </c>
      <c r="K83" s="1" t="s">
        <v>99</v>
      </c>
      <c r="L83" s="1" t="s">
        <v>100</v>
      </c>
      <c r="M83" s="12"/>
      <c r="N83" s="12"/>
      <c r="O83" s="12"/>
      <c r="P83" s="12"/>
    </row>
    <row r="84">
      <c r="A84" s="12" t="s">
        <v>95</v>
      </c>
      <c r="B84" s="12" t="s">
        <v>227</v>
      </c>
      <c r="C84" s="12" t="s">
        <v>239</v>
      </c>
      <c r="D84" s="12" t="s">
        <v>360</v>
      </c>
      <c r="E84" s="24"/>
      <c r="F84" s="24"/>
      <c r="G84" s="24">
        <v>0.4895833333333333</v>
      </c>
      <c r="H84" s="1" t="s">
        <v>64</v>
      </c>
      <c r="I84" s="1" t="s">
        <v>97</v>
      </c>
      <c r="J84" s="1" t="s">
        <v>194</v>
      </c>
      <c r="K84" s="1" t="s">
        <v>104</v>
      </c>
      <c r="L84" s="1" t="s">
        <v>100</v>
      </c>
      <c r="M84" s="12"/>
      <c r="N84" s="12"/>
      <c r="O84" s="12"/>
      <c r="P84" s="12"/>
    </row>
    <row r="85">
      <c r="A85" s="12" t="s">
        <v>95</v>
      </c>
      <c r="B85" s="12" t="s">
        <v>227</v>
      </c>
      <c r="C85" s="12" t="s">
        <v>239</v>
      </c>
      <c r="D85" s="12" t="s">
        <v>361</v>
      </c>
      <c r="E85" s="24"/>
      <c r="F85" s="24"/>
      <c r="G85" s="24">
        <v>0.49027777777777776</v>
      </c>
      <c r="H85" s="1" t="s">
        <v>64</v>
      </c>
      <c r="I85" s="1" t="s">
        <v>97</v>
      </c>
      <c r="J85" s="1" t="s">
        <v>194</v>
      </c>
      <c r="K85" s="1" t="s">
        <v>104</v>
      </c>
      <c r="L85" s="1" t="s">
        <v>100</v>
      </c>
      <c r="M85" s="12"/>
      <c r="N85" s="12"/>
      <c r="O85" s="12"/>
      <c r="P85" s="12"/>
    </row>
    <row r="86">
      <c r="A86" s="12" t="s">
        <v>95</v>
      </c>
      <c r="B86" s="12" t="s">
        <v>227</v>
      </c>
      <c r="C86" s="12" t="s">
        <v>239</v>
      </c>
      <c r="D86" s="12" t="s">
        <v>362</v>
      </c>
      <c r="E86" s="24"/>
      <c r="F86" s="24"/>
      <c r="G86" s="24">
        <v>0.49027777777777776</v>
      </c>
      <c r="H86" s="1" t="s">
        <v>64</v>
      </c>
      <c r="I86" s="1" t="s">
        <v>97</v>
      </c>
      <c r="J86" s="1" t="s">
        <v>194</v>
      </c>
      <c r="K86" s="1" t="s">
        <v>104</v>
      </c>
      <c r="L86" s="1" t="s">
        <v>100</v>
      </c>
      <c r="M86" s="35" t="s">
        <v>363</v>
      </c>
      <c r="O86" s="12"/>
      <c r="P86" s="12"/>
    </row>
    <row r="87">
      <c r="A87" s="12" t="s">
        <v>95</v>
      </c>
      <c r="B87" s="35">
        <v>4.0</v>
      </c>
      <c r="C87" s="35">
        <v>79.0</v>
      </c>
      <c r="D87" s="12"/>
      <c r="E87" s="40">
        <v>4.0</v>
      </c>
      <c r="F87" s="40">
        <v>79.0</v>
      </c>
      <c r="G87" s="37"/>
      <c r="H87" s="4"/>
      <c r="I87" s="4"/>
      <c r="J87" s="1"/>
      <c r="K87" s="4"/>
      <c r="L87" s="30" t="s">
        <v>150</v>
      </c>
      <c r="M87" s="20"/>
      <c r="N87" s="12"/>
      <c r="O87" s="12"/>
      <c r="P87" s="12"/>
    </row>
    <row r="88">
      <c r="A88" s="12" t="s">
        <v>366</v>
      </c>
      <c r="B88" s="12" t="s">
        <v>338</v>
      </c>
      <c r="C88" s="12" t="s">
        <v>367</v>
      </c>
      <c r="D88" s="12" t="s">
        <v>368</v>
      </c>
      <c r="E88" s="40">
        <v>6.0</v>
      </c>
      <c r="F88" s="40">
        <v>129.0</v>
      </c>
      <c r="G88" s="37">
        <v>0.39791666666666664</v>
      </c>
      <c r="H88" s="4"/>
      <c r="I88" s="4" t="s">
        <v>369</v>
      </c>
      <c r="J88" s="1" t="s">
        <v>121</v>
      </c>
      <c r="K88" s="4"/>
      <c r="L88" s="4" t="s">
        <v>100</v>
      </c>
      <c r="M88" s="20"/>
      <c r="N88" s="12"/>
      <c r="O88" s="12"/>
      <c r="P88" s="12"/>
    </row>
    <row r="89">
      <c r="A89" s="12" t="s">
        <v>366</v>
      </c>
      <c r="B89" s="12" t="s">
        <v>338</v>
      </c>
      <c r="C89" s="12" t="s">
        <v>367</v>
      </c>
      <c r="D89" s="12" t="s">
        <v>371</v>
      </c>
      <c r="E89" s="40">
        <v>6.0</v>
      </c>
      <c r="F89" s="40">
        <v>129.0</v>
      </c>
      <c r="G89" s="37">
        <v>0.39791666666666664</v>
      </c>
      <c r="H89" s="4"/>
      <c r="I89" s="4" t="s">
        <v>369</v>
      </c>
      <c r="J89" s="1" t="s">
        <v>121</v>
      </c>
      <c r="K89" s="4"/>
      <c r="L89" s="4" t="s">
        <v>100</v>
      </c>
      <c r="M89" s="20"/>
      <c r="N89" s="12"/>
      <c r="O89" s="12"/>
      <c r="P89" s="12"/>
    </row>
    <row r="90">
      <c r="A90" s="12" t="s">
        <v>366</v>
      </c>
      <c r="B90" s="12" t="s">
        <v>338</v>
      </c>
      <c r="C90" s="12" t="s">
        <v>367</v>
      </c>
      <c r="D90" s="12" t="s">
        <v>373</v>
      </c>
      <c r="E90" s="40">
        <v>6.0</v>
      </c>
      <c r="F90" s="40">
        <v>129.0</v>
      </c>
      <c r="G90" s="37">
        <v>0.39791666666666664</v>
      </c>
      <c r="H90" s="4"/>
      <c r="I90" s="4" t="s">
        <v>369</v>
      </c>
      <c r="J90" s="1" t="s">
        <v>121</v>
      </c>
      <c r="K90" s="4"/>
      <c r="L90" s="4" t="s">
        <v>100</v>
      </c>
      <c r="O90" s="12"/>
      <c r="P90" s="12"/>
    </row>
    <row r="91">
      <c r="A91" s="12" t="s">
        <v>366</v>
      </c>
      <c r="B91" s="12" t="s">
        <v>338</v>
      </c>
      <c r="C91" s="12" t="s">
        <v>374</v>
      </c>
      <c r="D91" s="12" t="s">
        <v>375</v>
      </c>
      <c r="E91" s="40">
        <v>6.0</v>
      </c>
      <c r="F91" s="1">
        <v>247.0</v>
      </c>
      <c r="G91" s="37">
        <v>0.40694444444444444</v>
      </c>
      <c r="H91" s="4"/>
      <c r="I91" s="4" t="s">
        <v>369</v>
      </c>
      <c r="J91" s="1" t="s">
        <v>121</v>
      </c>
      <c r="K91" s="4"/>
      <c r="L91" s="4" t="s">
        <v>100</v>
      </c>
      <c r="M91" s="20"/>
      <c r="N91" s="12"/>
      <c r="O91" s="12"/>
      <c r="P91" s="12"/>
    </row>
    <row r="92">
      <c r="A92" s="12" t="s">
        <v>366</v>
      </c>
      <c r="B92" s="12" t="s">
        <v>338</v>
      </c>
      <c r="C92" s="12" t="s">
        <v>374</v>
      </c>
      <c r="D92" s="12" t="s">
        <v>377</v>
      </c>
      <c r="E92" s="40">
        <v>6.0</v>
      </c>
      <c r="F92" s="1">
        <v>247.0</v>
      </c>
      <c r="G92" s="37">
        <v>0.40694444444444444</v>
      </c>
      <c r="H92" s="4"/>
      <c r="I92" s="4" t="s">
        <v>369</v>
      </c>
      <c r="J92" s="1" t="s">
        <v>121</v>
      </c>
      <c r="K92" s="4"/>
      <c r="L92" s="4" t="s">
        <v>100</v>
      </c>
      <c r="M92" s="12"/>
      <c r="N92" s="12"/>
      <c r="O92" s="12"/>
      <c r="P92" s="12"/>
    </row>
    <row r="93">
      <c r="A93" s="12" t="s">
        <v>366</v>
      </c>
      <c r="B93" s="12" t="s">
        <v>338</v>
      </c>
      <c r="C93" s="12" t="s">
        <v>374</v>
      </c>
      <c r="D93" s="12" t="s">
        <v>379</v>
      </c>
      <c r="E93" s="40">
        <v>6.0</v>
      </c>
      <c r="F93" s="1">
        <v>247.0</v>
      </c>
      <c r="G93" s="37">
        <v>0.40694444444444444</v>
      </c>
      <c r="H93" s="4"/>
      <c r="I93" s="4" t="s">
        <v>369</v>
      </c>
      <c r="J93" s="1" t="s">
        <v>121</v>
      </c>
      <c r="K93" s="4"/>
      <c r="L93" s="4" t="s">
        <v>100</v>
      </c>
      <c r="M93" s="12"/>
      <c r="N93" s="12"/>
      <c r="O93" s="12"/>
      <c r="P93" s="12"/>
    </row>
    <row r="94">
      <c r="A94" s="12" t="s">
        <v>366</v>
      </c>
      <c r="B94" s="12" t="s">
        <v>338</v>
      </c>
      <c r="C94" s="12" t="s">
        <v>374</v>
      </c>
      <c r="D94" s="12" t="s">
        <v>381</v>
      </c>
      <c r="E94" s="40">
        <v>6.0</v>
      </c>
      <c r="F94" s="1">
        <v>247.0</v>
      </c>
      <c r="G94" s="37">
        <v>0.40694444444444444</v>
      </c>
      <c r="H94" s="4"/>
      <c r="I94" s="4" t="s">
        <v>369</v>
      </c>
      <c r="J94" s="1" t="s">
        <v>121</v>
      </c>
      <c r="K94" s="4"/>
      <c r="L94" s="4" t="s">
        <v>100</v>
      </c>
      <c r="M94" s="12"/>
      <c r="N94" s="12"/>
      <c r="O94" s="12"/>
      <c r="P94" s="12"/>
    </row>
    <row r="95">
      <c r="A95" s="12" t="s">
        <v>366</v>
      </c>
      <c r="B95" s="12" t="s">
        <v>338</v>
      </c>
      <c r="C95" s="12" t="s">
        <v>384</v>
      </c>
      <c r="D95" s="12" t="s">
        <v>385</v>
      </c>
      <c r="E95" s="40">
        <v>6.0</v>
      </c>
      <c r="F95" s="1">
        <v>127.0</v>
      </c>
      <c r="G95" s="37">
        <v>0.41388888888888886</v>
      </c>
      <c r="H95" s="4"/>
      <c r="I95" s="4" t="s">
        <v>369</v>
      </c>
      <c r="J95" s="1" t="s">
        <v>121</v>
      </c>
      <c r="K95" s="30" t="s">
        <v>99</v>
      </c>
      <c r="L95" s="4" t="s">
        <v>100</v>
      </c>
      <c r="M95" s="35" t="s">
        <v>387</v>
      </c>
      <c r="O95" s="12"/>
      <c r="P95" s="12"/>
    </row>
    <row r="96">
      <c r="A96" s="12" t="s">
        <v>366</v>
      </c>
      <c r="B96" s="12" t="s">
        <v>338</v>
      </c>
      <c r="C96" s="12" t="s">
        <v>384</v>
      </c>
      <c r="D96" s="12" t="s">
        <v>388</v>
      </c>
      <c r="E96" s="40">
        <v>6.0</v>
      </c>
      <c r="F96" s="1">
        <v>127.0</v>
      </c>
      <c r="G96" s="37">
        <v>0.41388888888888886</v>
      </c>
      <c r="H96" s="4"/>
      <c r="I96" s="4" t="s">
        <v>369</v>
      </c>
      <c r="J96" s="1" t="s">
        <v>121</v>
      </c>
      <c r="K96" s="30" t="s">
        <v>99</v>
      </c>
      <c r="L96" s="4" t="s">
        <v>100</v>
      </c>
      <c r="M96" s="12"/>
      <c r="N96" s="12"/>
      <c r="O96" s="12"/>
      <c r="P96" s="12"/>
    </row>
    <row r="97">
      <c r="A97" s="12" t="s">
        <v>366</v>
      </c>
      <c r="B97" s="12" t="s">
        <v>338</v>
      </c>
      <c r="C97" s="12" t="s">
        <v>384</v>
      </c>
      <c r="D97" s="12" t="s">
        <v>389</v>
      </c>
      <c r="E97" s="40">
        <v>6.0</v>
      </c>
      <c r="F97" s="1">
        <v>127.0</v>
      </c>
      <c r="G97" s="37">
        <v>0.41388888888888886</v>
      </c>
      <c r="H97" s="4"/>
      <c r="I97" s="4" t="s">
        <v>369</v>
      </c>
      <c r="J97" s="1" t="s">
        <v>121</v>
      </c>
      <c r="K97" s="30" t="s">
        <v>99</v>
      </c>
      <c r="L97" s="4" t="s">
        <v>100</v>
      </c>
      <c r="O97" s="12"/>
      <c r="P97" s="12"/>
    </row>
    <row r="98">
      <c r="A98" s="12" t="s">
        <v>366</v>
      </c>
      <c r="B98" s="12" t="s">
        <v>338</v>
      </c>
      <c r="C98" s="12" t="s">
        <v>384</v>
      </c>
      <c r="D98" s="12" t="s">
        <v>391</v>
      </c>
      <c r="E98" s="40">
        <v>6.0</v>
      </c>
      <c r="F98" s="1">
        <v>127.0</v>
      </c>
      <c r="G98" s="37">
        <v>0.41388888888888886</v>
      </c>
      <c r="H98" s="4"/>
      <c r="I98" s="4" t="s">
        <v>369</v>
      </c>
      <c r="J98" s="1" t="s">
        <v>121</v>
      </c>
      <c r="K98" s="30" t="s">
        <v>99</v>
      </c>
      <c r="L98" s="4" t="s">
        <v>100</v>
      </c>
      <c r="M98" s="12"/>
      <c r="N98" s="12"/>
      <c r="O98" s="12"/>
      <c r="P98" s="12"/>
    </row>
    <row r="99">
      <c r="A99" s="12" t="s">
        <v>366</v>
      </c>
      <c r="B99" s="12" t="s">
        <v>338</v>
      </c>
      <c r="C99" s="12" t="s">
        <v>384</v>
      </c>
      <c r="D99" s="12" t="s">
        <v>392</v>
      </c>
      <c r="E99" s="40">
        <v>6.0</v>
      </c>
      <c r="F99" s="1">
        <v>127.0</v>
      </c>
      <c r="G99" s="37">
        <v>0.4152777777777778</v>
      </c>
      <c r="H99" s="4"/>
      <c r="I99" s="4" t="s">
        <v>369</v>
      </c>
      <c r="J99" s="1" t="s">
        <v>121</v>
      </c>
      <c r="K99" s="30" t="s">
        <v>104</v>
      </c>
      <c r="L99" s="4" t="s">
        <v>100</v>
      </c>
      <c r="M99" s="12"/>
      <c r="N99" s="12"/>
      <c r="O99" s="12"/>
      <c r="P99" s="12"/>
    </row>
    <row r="100">
      <c r="A100" s="12" t="s">
        <v>366</v>
      </c>
      <c r="B100" s="12" t="s">
        <v>338</v>
      </c>
      <c r="C100" s="12" t="s">
        <v>384</v>
      </c>
      <c r="D100" s="12" t="s">
        <v>394</v>
      </c>
      <c r="E100" s="40">
        <v>6.0</v>
      </c>
      <c r="F100" s="1">
        <v>127.0</v>
      </c>
      <c r="G100" s="37">
        <v>0.4152777777777778</v>
      </c>
      <c r="H100" s="4"/>
      <c r="I100" s="4" t="s">
        <v>369</v>
      </c>
      <c r="J100" s="1" t="s">
        <v>121</v>
      </c>
      <c r="K100" s="30" t="s">
        <v>104</v>
      </c>
      <c r="L100" s="4" t="s">
        <v>100</v>
      </c>
      <c r="M100" s="12"/>
      <c r="N100" s="12"/>
      <c r="O100" s="12"/>
      <c r="P100" s="12"/>
    </row>
    <row r="101">
      <c r="A101" s="12" t="s">
        <v>366</v>
      </c>
      <c r="B101" s="12" t="s">
        <v>338</v>
      </c>
      <c r="C101" s="12" t="s">
        <v>384</v>
      </c>
      <c r="D101" s="12" t="s">
        <v>395</v>
      </c>
      <c r="E101" s="40">
        <v>6.0</v>
      </c>
      <c r="F101" s="1">
        <v>127.0</v>
      </c>
      <c r="G101" s="37">
        <v>0.4152777777777778</v>
      </c>
      <c r="H101" s="4"/>
      <c r="I101" s="4" t="s">
        <v>369</v>
      </c>
      <c r="J101" s="1" t="s">
        <v>121</v>
      </c>
      <c r="K101" s="30" t="s">
        <v>104</v>
      </c>
      <c r="L101" s="4" t="s">
        <v>100</v>
      </c>
      <c r="M101" s="12"/>
      <c r="N101" s="12"/>
      <c r="O101" s="12"/>
      <c r="P101" s="12"/>
    </row>
    <row r="102">
      <c r="A102" s="12" t="s">
        <v>366</v>
      </c>
      <c r="B102" s="12" t="s">
        <v>338</v>
      </c>
      <c r="C102" s="12" t="s">
        <v>384</v>
      </c>
      <c r="D102" s="12" t="s">
        <v>396</v>
      </c>
      <c r="E102" s="40">
        <v>6.0</v>
      </c>
      <c r="F102" s="1">
        <v>127.0</v>
      </c>
      <c r="G102" s="37">
        <v>0.4152777777777778</v>
      </c>
      <c r="H102" s="4"/>
      <c r="I102" s="4" t="s">
        <v>369</v>
      </c>
      <c r="J102" s="1" t="s">
        <v>121</v>
      </c>
      <c r="K102" s="30" t="s">
        <v>104</v>
      </c>
      <c r="L102" s="4" t="s">
        <v>100</v>
      </c>
      <c r="M102" s="12"/>
      <c r="N102" s="12"/>
      <c r="O102" s="12"/>
      <c r="P102" s="12"/>
    </row>
    <row r="103">
      <c r="A103" s="12" t="s">
        <v>366</v>
      </c>
      <c r="B103" s="12" t="s">
        <v>338</v>
      </c>
      <c r="C103" s="12" t="s">
        <v>397</v>
      </c>
      <c r="D103" s="12" t="s">
        <v>398</v>
      </c>
      <c r="E103" s="40">
        <v>6.0</v>
      </c>
      <c r="F103" s="40">
        <v>250.0</v>
      </c>
      <c r="G103" s="37">
        <v>0.4222222222222222</v>
      </c>
      <c r="H103" s="4"/>
      <c r="I103" s="4" t="s">
        <v>369</v>
      </c>
      <c r="J103" s="1" t="s">
        <v>194</v>
      </c>
      <c r="K103" s="30" t="s">
        <v>399</v>
      </c>
      <c r="L103" s="4" t="s">
        <v>100</v>
      </c>
      <c r="M103" s="12"/>
      <c r="N103" s="12"/>
      <c r="O103" s="12"/>
      <c r="P103" s="12"/>
    </row>
    <row r="104">
      <c r="A104" s="12" t="s">
        <v>366</v>
      </c>
      <c r="B104" s="12" t="s">
        <v>338</v>
      </c>
      <c r="C104" s="12" t="s">
        <v>397</v>
      </c>
      <c r="D104" s="12" t="s">
        <v>400</v>
      </c>
      <c r="E104" s="40">
        <v>6.0</v>
      </c>
      <c r="F104" s="40">
        <v>250.0</v>
      </c>
      <c r="G104" s="37">
        <v>0.4222222222222222</v>
      </c>
      <c r="H104" s="4"/>
      <c r="I104" s="4" t="s">
        <v>369</v>
      </c>
      <c r="J104" s="1" t="s">
        <v>194</v>
      </c>
      <c r="K104" s="30" t="s">
        <v>399</v>
      </c>
      <c r="L104" s="4" t="s">
        <v>100</v>
      </c>
      <c r="M104" s="12"/>
      <c r="N104" s="12"/>
      <c r="O104" s="12"/>
      <c r="P104" s="12"/>
    </row>
    <row r="105">
      <c r="A105" s="12" t="s">
        <v>366</v>
      </c>
      <c r="B105" s="12" t="s">
        <v>338</v>
      </c>
      <c r="C105" s="12" t="s">
        <v>397</v>
      </c>
      <c r="D105" s="12" t="s">
        <v>401</v>
      </c>
      <c r="E105" s="40">
        <v>6.0</v>
      </c>
      <c r="F105" s="40">
        <v>250.0</v>
      </c>
      <c r="G105" s="37">
        <v>0.4222222222222222</v>
      </c>
      <c r="H105" s="4"/>
      <c r="I105" s="4" t="s">
        <v>369</v>
      </c>
      <c r="J105" s="1" t="s">
        <v>194</v>
      </c>
      <c r="K105" s="30" t="s">
        <v>399</v>
      </c>
      <c r="L105" s="4" t="s">
        <v>100</v>
      </c>
      <c r="M105" s="12"/>
      <c r="N105" s="12"/>
      <c r="O105" s="12"/>
      <c r="P105" s="12"/>
    </row>
    <row r="106">
      <c r="A106" s="12" t="s">
        <v>366</v>
      </c>
      <c r="B106" s="12" t="s">
        <v>338</v>
      </c>
      <c r="C106" s="12" t="s">
        <v>404</v>
      </c>
      <c r="D106" s="12" t="s">
        <v>405</v>
      </c>
      <c r="E106" s="40">
        <v>6.0</v>
      </c>
      <c r="F106" s="40">
        <v>248.0</v>
      </c>
      <c r="G106" s="37">
        <v>0.4236111111111111</v>
      </c>
      <c r="H106" s="4"/>
      <c r="I106" s="4" t="s">
        <v>369</v>
      </c>
      <c r="J106" s="1" t="s">
        <v>194</v>
      </c>
      <c r="K106" s="30" t="s">
        <v>399</v>
      </c>
      <c r="L106" s="4" t="s">
        <v>100</v>
      </c>
      <c r="N106" s="12"/>
      <c r="O106" s="12"/>
      <c r="P106" s="12"/>
    </row>
    <row r="107">
      <c r="A107" s="12" t="s">
        <v>366</v>
      </c>
      <c r="B107" s="12" t="s">
        <v>338</v>
      </c>
      <c r="C107" s="12" t="s">
        <v>404</v>
      </c>
      <c r="D107" s="12" t="s">
        <v>406</v>
      </c>
      <c r="E107" s="40">
        <v>6.0</v>
      </c>
      <c r="F107" s="40">
        <v>248.0</v>
      </c>
      <c r="G107" s="37">
        <v>0.4236111111111111</v>
      </c>
      <c r="H107" s="4"/>
      <c r="I107" s="4" t="s">
        <v>369</v>
      </c>
      <c r="J107" s="1" t="s">
        <v>194</v>
      </c>
      <c r="K107" s="30" t="s">
        <v>399</v>
      </c>
      <c r="L107" s="4" t="s">
        <v>100</v>
      </c>
      <c r="N107" s="12"/>
      <c r="O107" s="12"/>
      <c r="P107" s="12"/>
    </row>
    <row r="108">
      <c r="A108" s="12" t="s">
        <v>366</v>
      </c>
      <c r="B108" s="12" t="s">
        <v>338</v>
      </c>
      <c r="C108" s="12" t="s">
        <v>404</v>
      </c>
      <c r="D108" s="12" t="s">
        <v>408</v>
      </c>
      <c r="E108" s="40">
        <v>6.0</v>
      </c>
      <c r="F108" s="40">
        <v>248.0</v>
      </c>
      <c r="G108" s="37">
        <v>0.4236111111111111</v>
      </c>
      <c r="H108" s="4"/>
      <c r="I108" s="4" t="s">
        <v>369</v>
      </c>
      <c r="J108" s="1" t="s">
        <v>194</v>
      </c>
      <c r="K108" s="30" t="s">
        <v>399</v>
      </c>
      <c r="L108" s="4" t="s">
        <v>100</v>
      </c>
      <c r="N108" s="12"/>
      <c r="O108" s="12"/>
      <c r="P108" s="12"/>
    </row>
    <row r="109">
      <c r="A109" s="12" t="s">
        <v>366</v>
      </c>
      <c r="B109" s="12" t="s">
        <v>338</v>
      </c>
      <c r="C109" s="12" t="s">
        <v>404</v>
      </c>
      <c r="D109" s="12" t="s">
        <v>412</v>
      </c>
      <c r="E109" s="40">
        <v>6.0</v>
      </c>
      <c r="F109" s="40">
        <v>248.0</v>
      </c>
      <c r="G109" s="37">
        <v>0.4263888888888889</v>
      </c>
      <c r="H109" s="4"/>
      <c r="I109" s="4" t="s">
        <v>369</v>
      </c>
      <c r="J109" s="1" t="s">
        <v>194</v>
      </c>
      <c r="K109" s="30" t="s">
        <v>413</v>
      </c>
      <c r="L109" s="4" t="s">
        <v>100</v>
      </c>
      <c r="N109" s="12"/>
      <c r="O109" s="12"/>
      <c r="P109" s="12"/>
    </row>
    <row r="110">
      <c r="A110" s="12" t="s">
        <v>366</v>
      </c>
      <c r="B110" s="12" t="s">
        <v>338</v>
      </c>
      <c r="C110" s="12" t="s">
        <v>404</v>
      </c>
      <c r="D110" s="12" t="s">
        <v>414</v>
      </c>
      <c r="E110" s="40">
        <v>6.0</v>
      </c>
      <c r="F110" s="40">
        <v>248.0</v>
      </c>
      <c r="G110" s="37">
        <v>0.4263888888888889</v>
      </c>
      <c r="H110" s="4"/>
      <c r="I110" s="4" t="s">
        <v>369</v>
      </c>
      <c r="J110" s="1" t="s">
        <v>194</v>
      </c>
      <c r="K110" s="30" t="s">
        <v>413</v>
      </c>
      <c r="L110" s="4" t="s">
        <v>100</v>
      </c>
      <c r="N110" s="12"/>
      <c r="O110" s="12"/>
      <c r="P110" s="12"/>
    </row>
    <row r="111">
      <c r="A111" s="12" t="s">
        <v>366</v>
      </c>
      <c r="B111" s="12" t="s">
        <v>338</v>
      </c>
      <c r="C111" s="12" t="s">
        <v>404</v>
      </c>
      <c r="D111" s="12" t="s">
        <v>415</v>
      </c>
      <c r="E111" s="40">
        <v>6.0</v>
      </c>
      <c r="F111" s="40">
        <v>248.0</v>
      </c>
      <c r="G111" s="37">
        <v>0.4263888888888889</v>
      </c>
      <c r="H111" s="4"/>
      <c r="I111" s="4" t="s">
        <v>369</v>
      </c>
      <c r="J111" s="1" t="s">
        <v>194</v>
      </c>
      <c r="K111" s="30" t="s">
        <v>413</v>
      </c>
      <c r="L111" s="4" t="s">
        <v>100</v>
      </c>
      <c r="N111" s="12"/>
      <c r="O111" s="12"/>
      <c r="P111" s="12"/>
    </row>
    <row r="112">
      <c r="A112" s="12" t="s">
        <v>366</v>
      </c>
      <c r="B112" s="12" t="s">
        <v>338</v>
      </c>
      <c r="C112" s="12" t="s">
        <v>416</v>
      </c>
      <c r="D112" s="12" t="s">
        <v>417</v>
      </c>
      <c r="E112" s="40">
        <v>6.0</v>
      </c>
      <c r="F112" s="40">
        <v>225.0</v>
      </c>
      <c r="G112" s="37">
        <v>0.42916666666666664</v>
      </c>
      <c r="H112" s="4"/>
      <c r="I112" s="4" t="s">
        <v>369</v>
      </c>
      <c r="J112" s="1" t="s">
        <v>235</v>
      </c>
      <c r="K112" s="4"/>
      <c r="L112" s="4" t="s">
        <v>100</v>
      </c>
      <c r="N112" s="12"/>
      <c r="O112" s="12"/>
      <c r="P112" s="12"/>
    </row>
    <row r="113">
      <c r="A113" s="12" t="s">
        <v>366</v>
      </c>
      <c r="B113" s="12" t="s">
        <v>338</v>
      </c>
      <c r="C113" s="12" t="s">
        <v>416</v>
      </c>
      <c r="D113" s="12" t="s">
        <v>419</v>
      </c>
      <c r="E113" s="40">
        <v>6.0</v>
      </c>
      <c r="F113" s="40">
        <v>225.0</v>
      </c>
      <c r="G113" s="37">
        <v>0.42916666666666664</v>
      </c>
      <c r="H113" s="4"/>
      <c r="I113" s="4" t="s">
        <v>369</v>
      </c>
      <c r="J113" s="1" t="s">
        <v>235</v>
      </c>
      <c r="K113" s="4"/>
      <c r="L113" s="4" t="s">
        <v>100</v>
      </c>
      <c r="N113" s="12"/>
      <c r="O113" s="12"/>
      <c r="P113" s="12"/>
    </row>
    <row r="114">
      <c r="A114" s="12" t="s">
        <v>366</v>
      </c>
      <c r="B114" s="12" t="s">
        <v>338</v>
      </c>
      <c r="C114" s="12" t="s">
        <v>416</v>
      </c>
      <c r="D114" s="12" t="s">
        <v>420</v>
      </c>
      <c r="E114" s="40">
        <v>6.0</v>
      </c>
      <c r="F114" s="40">
        <v>225.0</v>
      </c>
      <c r="G114" s="37">
        <v>0.42916666666666664</v>
      </c>
      <c r="H114" s="4"/>
      <c r="I114" s="4" t="s">
        <v>369</v>
      </c>
      <c r="J114" s="1" t="s">
        <v>235</v>
      </c>
      <c r="K114" s="4"/>
      <c r="L114" s="4" t="s">
        <v>100</v>
      </c>
      <c r="N114" s="12"/>
      <c r="O114" s="12"/>
      <c r="P114" s="12"/>
    </row>
    <row r="115">
      <c r="A115" s="12" t="s">
        <v>366</v>
      </c>
      <c r="B115" s="12" t="s">
        <v>338</v>
      </c>
      <c r="C115" s="12" t="s">
        <v>422</v>
      </c>
      <c r="D115" s="12" t="s">
        <v>424</v>
      </c>
      <c r="E115" s="40">
        <v>6.0</v>
      </c>
      <c r="F115" s="40">
        <v>251.0</v>
      </c>
      <c r="G115" s="37">
        <v>0.4395833333333333</v>
      </c>
      <c r="H115" s="4"/>
      <c r="I115" s="4" t="s">
        <v>369</v>
      </c>
      <c r="J115" s="1" t="s">
        <v>98</v>
      </c>
      <c r="K115" s="4"/>
      <c r="L115" s="4" t="s">
        <v>100</v>
      </c>
      <c r="N115" s="12"/>
      <c r="O115" s="12"/>
      <c r="P115" s="12"/>
    </row>
    <row r="116">
      <c r="A116" s="12" t="s">
        <v>366</v>
      </c>
      <c r="B116" s="12" t="s">
        <v>338</v>
      </c>
      <c r="C116" s="12" t="s">
        <v>422</v>
      </c>
      <c r="D116" s="12" t="s">
        <v>426</v>
      </c>
      <c r="E116" s="40">
        <v>6.0</v>
      </c>
      <c r="F116" s="40">
        <v>251.0</v>
      </c>
      <c r="G116" s="37">
        <v>0.4395833333333333</v>
      </c>
      <c r="H116" s="4"/>
      <c r="I116" s="4" t="s">
        <v>369</v>
      </c>
      <c r="J116" s="1" t="s">
        <v>98</v>
      </c>
      <c r="K116" s="4"/>
      <c r="L116" s="4" t="s">
        <v>100</v>
      </c>
      <c r="N116" s="12"/>
      <c r="O116" s="12"/>
      <c r="P116" s="12"/>
    </row>
    <row r="117">
      <c r="A117" s="12" t="s">
        <v>366</v>
      </c>
      <c r="B117" s="12" t="s">
        <v>338</v>
      </c>
      <c r="C117" s="12" t="s">
        <v>418</v>
      </c>
      <c r="D117" s="12" t="s">
        <v>428</v>
      </c>
      <c r="E117" s="40">
        <v>6.0</v>
      </c>
      <c r="F117" s="40">
        <v>253.0</v>
      </c>
      <c r="G117" s="37">
        <v>0.44027777777777777</v>
      </c>
      <c r="H117" s="4"/>
      <c r="I117" s="4" t="s">
        <v>369</v>
      </c>
      <c r="J117" s="1" t="s">
        <v>98</v>
      </c>
      <c r="K117" s="30" t="s">
        <v>399</v>
      </c>
      <c r="L117" s="4" t="s">
        <v>100</v>
      </c>
      <c r="N117" s="12"/>
      <c r="O117" s="12"/>
      <c r="P117" s="12"/>
    </row>
    <row r="118">
      <c r="A118" s="12" t="s">
        <v>366</v>
      </c>
      <c r="B118" s="12" t="s">
        <v>338</v>
      </c>
      <c r="C118" s="12" t="s">
        <v>418</v>
      </c>
      <c r="D118" s="12" t="s">
        <v>429</v>
      </c>
      <c r="E118" s="40">
        <v>6.0</v>
      </c>
      <c r="F118" s="40">
        <v>253.0</v>
      </c>
      <c r="G118" s="37">
        <v>0.44027777777777777</v>
      </c>
      <c r="H118" s="4"/>
      <c r="I118" s="4" t="s">
        <v>369</v>
      </c>
      <c r="J118" s="1" t="s">
        <v>98</v>
      </c>
      <c r="K118" s="30" t="s">
        <v>399</v>
      </c>
      <c r="L118" s="4" t="s">
        <v>100</v>
      </c>
      <c r="N118" s="12"/>
      <c r="O118" s="12"/>
      <c r="P118" s="12"/>
    </row>
    <row r="119">
      <c r="A119" s="12" t="s">
        <v>366</v>
      </c>
      <c r="B119" s="12" t="s">
        <v>338</v>
      </c>
      <c r="C119" s="12" t="s">
        <v>418</v>
      </c>
      <c r="D119" s="12" t="s">
        <v>430</v>
      </c>
      <c r="E119" s="40">
        <v>6.0</v>
      </c>
      <c r="F119" s="40">
        <v>253.0</v>
      </c>
      <c r="G119" s="37">
        <v>0.44027777777777777</v>
      </c>
      <c r="H119" s="4"/>
      <c r="I119" s="4" t="s">
        <v>369</v>
      </c>
      <c r="J119" s="1" t="s">
        <v>98</v>
      </c>
      <c r="K119" s="30" t="s">
        <v>399</v>
      </c>
      <c r="L119" s="4" t="s">
        <v>100</v>
      </c>
      <c r="N119" s="12"/>
      <c r="O119" s="12"/>
      <c r="P119" s="12"/>
    </row>
    <row r="120">
      <c r="A120" s="12" t="s">
        <v>366</v>
      </c>
      <c r="B120" s="12" t="s">
        <v>338</v>
      </c>
      <c r="C120" s="12" t="s">
        <v>418</v>
      </c>
      <c r="D120" s="12" t="s">
        <v>431</v>
      </c>
      <c r="E120" s="40">
        <v>6.0</v>
      </c>
      <c r="F120" s="40">
        <v>253.0</v>
      </c>
      <c r="G120" s="37">
        <v>0.44166666666666665</v>
      </c>
      <c r="H120" s="4"/>
      <c r="I120" s="4" t="s">
        <v>369</v>
      </c>
      <c r="J120" s="1" t="s">
        <v>98</v>
      </c>
      <c r="K120" s="30" t="s">
        <v>413</v>
      </c>
      <c r="L120" s="4" t="s">
        <v>100</v>
      </c>
      <c r="N120" s="12"/>
      <c r="O120" s="12"/>
      <c r="P120" s="12"/>
    </row>
    <row r="121">
      <c r="A121" s="12" t="s">
        <v>366</v>
      </c>
      <c r="B121" s="12" t="s">
        <v>338</v>
      </c>
      <c r="C121" s="12" t="s">
        <v>418</v>
      </c>
      <c r="D121" s="12" t="s">
        <v>433</v>
      </c>
      <c r="E121" s="40">
        <v>6.0</v>
      </c>
      <c r="F121" s="40">
        <v>253.0</v>
      </c>
      <c r="G121" s="37">
        <v>0.44166666666666665</v>
      </c>
      <c r="H121" s="4"/>
      <c r="I121" s="4" t="s">
        <v>369</v>
      </c>
      <c r="J121" s="1" t="s">
        <v>98</v>
      </c>
      <c r="K121" s="30" t="s">
        <v>413</v>
      </c>
      <c r="L121" s="4" t="s">
        <v>100</v>
      </c>
      <c r="N121" s="12"/>
      <c r="O121" s="12"/>
      <c r="P121" s="12"/>
    </row>
    <row r="122">
      <c r="A122" s="12" t="s">
        <v>366</v>
      </c>
      <c r="B122" s="12" t="s">
        <v>338</v>
      </c>
      <c r="C122" s="12" t="s">
        <v>418</v>
      </c>
      <c r="D122" s="12" t="s">
        <v>434</v>
      </c>
      <c r="E122" s="40">
        <v>6.0</v>
      </c>
      <c r="F122" s="40">
        <v>253.0</v>
      </c>
      <c r="G122" s="37">
        <v>0.44166666666666665</v>
      </c>
      <c r="H122" s="4"/>
      <c r="I122" s="4" t="s">
        <v>369</v>
      </c>
      <c r="J122" s="1" t="s">
        <v>98</v>
      </c>
      <c r="K122" s="30" t="s">
        <v>413</v>
      </c>
      <c r="L122" s="4" t="s">
        <v>100</v>
      </c>
      <c r="N122" s="12"/>
      <c r="O122" s="12"/>
      <c r="P122" s="12"/>
    </row>
    <row r="123">
      <c r="A123" s="12" t="s">
        <v>366</v>
      </c>
      <c r="B123" s="12" t="s">
        <v>338</v>
      </c>
      <c r="C123" s="12" t="s">
        <v>435</v>
      </c>
      <c r="D123" s="12" t="s">
        <v>437</v>
      </c>
      <c r="E123" s="40">
        <v>6.0</v>
      </c>
      <c r="F123" s="40">
        <v>253.0</v>
      </c>
      <c r="G123" s="37">
        <v>0.44166666666666665</v>
      </c>
      <c r="H123" s="4"/>
      <c r="I123" s="4" t="s">
        <v>369</v>
      </c>
      <c r="J123" s="1" t="s">
        <v>98</v>
      </c>
      <c r="K123" s="30" t="s">
        <v>413</v>
      </c>
      <c r="L123" s="4" t="s">
        <v>100</v>
      </c>
      <c r="N123" s="12"/>
      <c r="O123" s="12"/>
      <c r="P123" s="12"/>
    </row>
    <row r="124">
      <c r="A124" s="12" t="s">
        <v>366</v>
      </c>
      <c r="B124" s="12" t="s">
        <v>338</v>
      </c>
      <c r="C124" s="12" t="s">
        <v>435</v>
      </c>
      <c r="D124" s="12" t="s">
        <v>438</v>
      </c>
      <c r="E124" s="1">
        <v>6.0</v>
      </c>
      <c r="F124" s="1">
        <v>252.0</v>
      </c>
      <c r="I124" s="1" t="s">
        <v>439</v>
      </c>
      <c r="J124" s="1" t="s">
        <v>440</v>
      </c>
      <c r="L124" s="1" t="s">
        <v>440</v>
      </c>
      <c r="N124" s="12"/>
      <c r="O124" s="12"/>
      <c r="P124" s="12"/>
    </row>
    <row r="125">
      <c r="A125" s="12" t="s">
        <v>366</v>
      </c>
      <c r="B125" s="12" t="s">
        <v>338</v>
      </c>
      <c r="C125" s="12" t="s">
        <v>435</v>
      </c>
      <c r="D125" s="12" t="s">
        <v>441</v>
      </c>
      <c r="E125" s="1">
        <v>6.0</v>
      </c>
      <c r="F125" s="1">
        <v>252.0</v>
      </c>
      <c r="I125" s="1" t="s">
        <v>439</v>
      </c>
      <c r="J125" s="1" t="s">
        <v>440</v>
      </c>
      <c r="L125" s="1" t="s">
        <v>440</v>
      </c>
      <c r="N125" s="12"/>
      <c r="O125" s="12"/>
      <c r="P125" s="12"/>
    </row>
    <row r="126">
      <c r="A126" s="12" t="s">
        <v>366</v>
      </c>
      <c r="B126" s="12" t="s">
        <v>338</v>
      </c>
      <c r="C126" s="12" t="s">
        <v>435</v>
      </c>
      <c r="D126" s="12" t="s">
        <v>443</v>
      </c>
      <c r="E126" s="1">
        <v>6.0</v>
      </c>
      <c r="F126" s="1">
        <v>252.0</v>
      </c>
      <c r="I126" s="1" t="s">
        <v>439</v>
      </c>
      <c r="J126" s="1" t="s">
        <v>440</v>
      </c>
      <c r="L126" s="1" t="s">
        <v>440</v>
      </c>
      <c r="M126" s="12"/>
      <c r="N126" s="12"/>
      <c r="O126" s="12"/>
      <c r="P126" s="12"/>
    </row>
    <row r="127">
      <c r="A127" s="12" t="s">
        <v>366</v>
      </c>
      <c r="B127" s="12" t="s">
        <v>350</v>
      </c>
      <c r="C127" s="12" t="s">
        <v>309</v>
      </c>
      <c r="D127" s="12" t="s">
        <v>444</v>
      </c>
      <c r="E127" s="40">
        <v>5.0</v>
      </c>
      <c r="F127" s="40">
        <v>256.0</v>
      </c>
      <c r="G127" s="37">
        <v>0.45902777777777776</v>
      </c>
      <c r="H127" s="4"/>
      <c r="I127" s="4" t="s">
        <v>369</v>
      </c>
      <c r="J127" s="1" t="s">
        <v>121</v>
      </c>
      <c r="K127" s="30" t="s">
        <v>399</v>
      </c>
      <c r="L127" s="4" t="s">
        <v>100</v>
      </c>
      <c r="M127" s="12"/>
      <c r="N127" s="12"/>
      <c r="O127" s="12"/>
      <c r="P127" s="12"/>
    </row>
    <row r="128">
      <c r="A128" s="12" t="s">
        <v>366</v>
      </c>
      <c r="B128" s="12" t="s">
        <v>350</v>
      </c>
      <c r="C128" s="12" t="s">
        <v>309</v>
      </c>
      <c r="D128" s="12" t="s">
        <v>447</v>
      </c>
      <c r="E128" s="40">
        <v>5.0</v>
      </c>
      <c r="F128" s="40">
        <v>256.0</v>
      </c>
      <c r="G128" s="37">
        <v>0.45902777777777776</v>
      </c>
      <c r="H128" s="4"/>
      <c r="I128" s="4" t="s">
        <v>369</v>
      </c>
      <c r="J128" s="1" t="s">
        <v>121</v>
      </c>
      <c r="K128" s="30" t="s">
        <v>399</v>
      </c>
      <c r="L128" s="4" t="s">
        <v>100</v>
      </c>
      <c r="M128" s="12"/>
      <c r="N128" s="12"/>
      <c r="O128" s="12"/>
      <c r="P128" s="12"/>
    </row>
    <row r="129">
      <c r="A129" s="12" t="s">
        <v>366</v>
      </c>
      <c r="B129" s="12" t="s">
        <v>350</v>
      </c>
      <c r="C129" s="12" t="s">
        <v>309</v>
      </c>
      <c r="D129" s="12" t="s">
        <v>448</v>
      </c>
      <c r="E129" s="40">
        <v>5.0</v>
      </c>
      <c r="F129" s="40">
        <v>256.0</v>
      </c>
      <c r="G129" s="37">
        <v>0.45902777777777776</v>
      </c>
      <c r="H129" s="4"/>
      <c r="I129" s="4" t="s">
        <v>369</v>
      </c>
      <c r="J129" s="1" t="s">
        <v>121</v>
      </c>
      <c r="K129" s="30" t="s">
        <v>399</v>
      </c>
      <c r="L129" s="4" t="s">
        <v>100</v>
      </c>
      <c r="M129" s="12"/>
      <c r="N129" s="12"/>
      <c r="O129" s="12"/>
      <c r="P129" s="12"/>
    </row>
    <row r="130">
      <c r="A130" s="12" t="s">
        <v>366</v>
      </c>
      <c r="B130" s="12" t="s">
        <v>350</v>
      </c>
      <c r="C130" s="12" t="s">
        <v>446</v>
      </c>
      <c r="D130" s="12" t="s">
        <v>449</v>
      </c>
      <c r="E130" s="40">
        <v>5.0</v>
      </c>
      <c r="F130" s="40">
        <v>254.0</v>
      </c>
      <c r="G130" s="37">
        <v>0.4625</v>
      </c>
      <c r="H130" s="4"/>
      <c r="I130" s="4" t="s">
        <v>369</v>
      </c>
      <c r="J130" s="1" t="s">
        <v>121</v>
      </c>
      <c r="K130" s="30" t="s">
        <v>399</v>
      </c>
      <c r="L130" s="4" t="s">
        <v>100</v>
      </c>
      <c r="M130" s="12"/>
      <c r="N130" s="12"/>
      <c r="O130" s="12"/>
      <c r="P130" s="12"/>
    </row>
    <row r="131">
      <c r="A131" s="12" t="s">
        <v>366</v>
      </c>
      <c r="B131" s="12" t="s">
        <v>350</v>
      </c>
      <c r="C131" s="12" t="s">
        <v>446</v>
      </c>
      <c r="D131" s="12" t="s">
        <v>451</v>
      </c>
      <c r="E131" s="40">
        <v>5.0</v>
      </c>
      <c r="F131" s="40">
        <v>254.0</v>
      </c>
      <c r="G131" s="37">
        <v>0.4625</v>
      </c>
      <c r="H131" s="4"/>
      <c r="I131" s="4" t="s">
        <v>369</v>
      </c>
      <c r="J131" s="1" t="s">
        <v>121</v>
      </c>
      <c r="K131" s="30" t="s">
        <v>399</v>
      </c>
      <c r="L131" s="4" t="s">
        <v>100</v>
      </c>
      <c r="N131" s="12"/>
      <c r="O131" s="12"/>
      <c r="P131" s="12"/>
    </row>
    <row r="132">
      <c r="A132" s="12" t="s">
        <v>366</v>
      </c>
      <c r="B132" s="12" t="s">
        <v>350</v>
      </c>
      <c r="C132" s="12" t="s">
        <v>446</v>
      </c>
      <c r="D132" s="12" t="s">
        <v>452</v>
      </c>
      <c r="E132" s="40">
        <v>5.0</v>
      </c>
      <c r="F132" s="40">
        <v>254.0</v>
      </c>
      <c r="G132" s="37">
        <v>0.4625</v>
      </c>
      <c r="H132" s="4"/>
      <c r="I132" s="4" t="s">
        <v>369</v>
      </c>
      <c r="J132" s="1" t="s">
        <v>121</v>
      </c>
      <c r="K132" s="30" t="s">
        <v>399</v>
      </c>
      <c r="L132" s="4" t="s">
        <v>100</v>
      </c>
      <c r="N132" s="12"/>
      <c r="O132" s="12"/>
      <c r="P132" s="12"/>
    </row>
    <row r="133">
      <c r="A133" s="12" t="s">
        <v>366</v>
      </c>
      <c r="B133" s="12" t="s">
        <v>350</v>
      </c>
      <c r="C133" s="12" t="s">
        <v>446</v>
      </c>
      <c r="D133" s="12" t="s">
        <v>454</v>
      </c>
      <c r="E133" s="40">
        <v>5.0</v>
      </c>
      <c r="F133" s="40">
        <v>254.0</v>
      </c>
      <c r="G133" s="37">
        <v>0.4638888888888889</v>
      </c>
      <c r="H133" s="4"/>
      <c r="I133" s="4" t="s">
        <v>369</v>
      </c>
      <c r="J133" s="1" t="s">
        <v>121</v>
      </c>
      <c r="K133" s="30" t="s">
        <v>413</v>
      </c>
      <c r="L133" s="4" t="s">
        <v>100</v>
      </c>
      <c r="M133" s="12"/>
      <c r="N133" s="12"/>
      <c r="O133" s="12"/>
      <c r="P133" s="12"/>
    </row>
    <row r="134">
      <c r="A134" s="12" t="s">
        <v>366</v>
      </c>
      <c r="B134" s="12" t="s">
        <v>350</v>
      </c>
      <c r="C134" s="12" t="s">
        <v>446</v>
      </c>
      <c r="D134" s="12" t="s">
        <v>456</v>
      </c>
      <c r="E134" s="40">
        <v>5.0</v>
      </c>
      <c r="F134" s="40">
        <v>254.0</v>
      </c>
      <c r="G134" s="37">
        <v>0.4638888888888889</v>
      </c>
      <c r="H134" s="4"/>
      <c r="I134" s="4" t="s">
        <v>369</v>
      </c>
      <c r="J134" s="1" t="s">
        <v>121</v>
      </c>
      <c r="K134" s="30" t="s">
        <v>413</v>
      </c>
      <c r="L134" s="4" t="s">
        <v>100</v>
      </c>
      <c r="M134" s="12"/>
      <c r="N134" s="12"/>
      <c r="O134" s="12"/>
      <c r="P134" s="12"/>
    </row>
    <row r="135">
      <c r="A135" s="12" t="s">
        <v>366</v>
      </c>
      <c r="B135" s="12" t="s">
        <v>350</v>
      </c>
      <c r="C135" s="12" t="s">
        <v>446</v>
      </c>
      <c r="D135" s="12" t="s">
        <v>457</v>
      </c>
      <c r="E135" s="40">
        <v>5.0</v>
      </c>
      <c r="F135" s="40">
        <v>254.0</v>
      </c>
      <c r="G135" s="37">
        <v>0.4638888888888889</v>
      </c>
      <c r="H135" s="4"/>
      <c r="I135" s="4" t="s">
        <v>369</v>
      </c>
      <c r="J135" s="1" t="s">
        <v>121</v>
      </c>
      <c r="K135" s="30" t="s">
        <v>413</v>
      </c>
      <c r="L135" s="4" t="s">
        <v>100</v>
      </c>
      <c r="O135" s="12"/>
      <c r="P135" s="12"/>
    </row>
    <row r="136">
      <c r="A136" s="12" t="s">
        <v>366</v>
      </c>
      <c r="B136" s="12" t="s">
        <v>350</v>
      </c>
      <c r="C136" s="12" t="s">
        <v>446</v>
      </c>
      <c r="D136" s="12" t="s">
        <v>458</v>
      </c>
      <c r="E136" s="40">
        <v>5.0</v>
      </c>
      <c r="F136" s="40">
        <v>254.0</v>
      </c>
      <c r="G136" s="37">
        <v>0.4652777777777778</v>
      </c>
      <c r="H136" s="4"/>
      <c r="I136" s="4" t="s">
        <v>369</v>
      </c>
      <c r="J136" s="1" t="s">
        <v>121</v>
      </c>
      <c r="K136" s="30" t="s">
        <v>453</v>
      </c>
      <c r="L136" s="4" t="s">
        <v>100</v>
      </c>
      <c r="N136" s="12"/>
      <c r="O136" s="12"/>
      <c r="P136" s="12"/>
    </row>
    <row r="137">
      <c r="A137" s="12" t="s">
        <v>366</v>
      </c>
      <c r="B137" s="12" t="s">
        <v>350</v>
      </c>
      <c r="C137" s="12" t="s">
        <v>446</v>
      </c>
      <c r="D137" s="12" t="s">
        <v>459</v>
      </c>
      <c r="E137" s="40">
        <v>5.0</v>
      </c>
      <c r="F137" s="40">
        <v>254.0</v>
      </c>
      <c r="G137" s="37">
        <v>0.4652777777777778</v>
      </c>
      <c r="H137" s="4"/>
      <c r="I137" s="4" t="s">
        <v>369</v>
      </c>
      <c r="J137" s="1" t="s">
        <v>121</v>
      </c>
      <c r="K137" s="30" t="s">
        <v>453</v>
      </c>
      <c r="L137" s="4" t="s">
        <v>100</v>
      </c>
      <c r="M137" s="12"/>
      <c r="N137" s="12"/>
      <c r="O137" s="12"/>
      <c r="P137" s="12"/>
    </row>
    <row r="138">
      <c r="A138" s="12" t="s">
        <v>366</v>
      </c>
      <c r="B138" s="12" t="s">
        <v>350</v>
      </c>
      <c r="C138" s="12" t="s">
        <v>446</v>
      </c>
      <c r="D138" s="12" t="s">
        <v>461</v>
      </c>
      <c r="E138" s="40">
        <v>5.0</v>
      </c>
      <c r="F138" s="40">
        <v>254.0</v>
      </c>
      <c r="G138" s="37">
        <v>0.4652777777777778</v>
      </c>
      <c r="H138" s="4"/>
      <c r="I138" s="4" t="s">
        <v>369</v>
      </c>
      <c r="J138" s="1" t="s">
        <v>121</v>
      </c>
      <c r="K138" s="30" t="s">
        <v>453</v>
      </c>
      <c r="L138" s="4" t="s">
        <v>100</v>
      </c>
      <c r="M138" s="12"/>
      <c r="N138" s="12"/>
      <c r="O138" s="12"/>
      <c r="P138" s="12"/>
    </row>
    <row r="139">
      <c r="A139" s="12" t="s">
        <v>366</v>
      </c>
      <c r="B139" s="12" t="s">
        <v>350</v>
      </c>
      <c r="C139" s="12" t="s">
        <v>427</v>
      </c>
      <c r="D139" s="12" t="s">
        <v>462</v>
      </c>
      <c r="E139" s="40">
        <v>5.0</v>
      </c>
      <c r="F139" s="40">
        <v>258.0</v>
      </c>
      <c r="G139" s="37">
        <v>0.47152777777777777</v>
      </c>
      <c r="H139" s="4"/>
      <c r="I139" s="4" t="s">
        <v>369</v>
      </c>
      <c r="J139" s="1" t="s">
        <v>194</v>
      </c>
      <c r="K139" s="30" t="s">
        <v>399</v>
      </c>
      <c r="L139" s="4" t="s">
        <v>100</v>
      </c>
      <c r="M139" s="12"/>
      <c r="N139" s="12"/>
      <c r="O139" s="12"/>
      <c r="P139" s="12"/>
    </row>
    <row r="140">
      <c r="A140" s="12" t="s">
        <v>366</v>
      </c>
      <c r="B140" s="12" t="s">
        <v>350</v>
      </c>
      <c r="C140" s="12" t="s">
        <v>427</v>
      </c>
      <c r="D140" s="12" t="s">
        <v>464</v>
      </c>
      <c r="E140" s="40">
        <v>5.0</v>
      </c>
      <c r="F140" s="40">
        <v>258.0</v>
      </c>
      <c r="G140" s="37">
        <v>0.47152777777777777</v>
      </c>
      <c r="H140" s="4"/>
      <c r="I140" s="4" t="s">
        <v>369</v>
      </c>
      <c r="J140" s="1" t="s">
        <v>194</v>
      </c>
      <c r="K140" s="30" t="s">
        <v>399</v>
      </c>
      <c r="L140" s="4" t="s">
        <v>100</v>
      </c>
      <c r="M140" s="12"/>
      <c r="N140" s="12"/>
      <c r="O140" s="12"/>
      <c r="P140" s="12"/>
    </row>
    <row r="141">
      <c r="A141" s="12" t="s">
        <v>366</v>
      </c>
      <c r="B141" s="12" t="s">
        <v>350</v>
      </c>
      <c r="C141" s="12" t="s">
        <v>427</v>
      </c>
      <c r="D141" s="12" t="s">
        <v>465</v>
      </c>
      <c r="E141" s="40">
        <v>5.0</v>
      </c>
      <c r="F141" s="40">
        <v>258.0</v>
      </c>
      <c r="G141" s="37">
        <v>0.47152777777777777</v>
      </c>
      <c r="H141" s="4"/>
      <c r="I141" s="4" t="s">
        <v>369</v>
      </c>
      <c r="J141" s="1" t="s">
        <v>194</v>
      </c>
      <c r="K141" s="30" t="s">
        <v>399</v>
      </c>
      <c r="L141" s="4" t="s">
        <v>100</v>
      </c>
      <c r="M141" s="12"/>
      <c r="N141" s="12"/>
      <c r="O141" s="12"/>
      <c r="P141" s="12"/>
    </row>
    <row r="142">
      <c r="A142" s="12" t="s">
        <v>366</v>
      </c>
      <c r="B142" s="12" t="s">
        <v>350</v>
      </c>
      <c r="C142" s="12" t="s">
        <v>427</v>
      </c>
      <c r="D142" s="12" t="s">
        <v>467</v>
      </c>
      <c r="E142" s="40">
        <v>5.0</v>
      </c>
      <c r="F142" s="40">
        <v>258.0</v>
      </c>
      <c r="G142" s="37">
        <v>0.47291666666666665</v>
      </c>
      <c r="H142" s="4"/>
      <c r="I142" s="4" t="s">
        <v>369</v>
      </c>
      <c r="J142" s="1" t="s">
        <v>194</v>
      </c>
      <c r="K142" s="30" t="s">
        <v>413</v>
      </c>
      <c r="L142" s="4" t="s">
        <v>100</v>
      </c>
      <c r="M142" s="12"/>
      <c r="N142" s="12"/>
      <c r="O142" s="12"/>
      <c r="P142" s="12"/>
    </row>
    <row r="143">
      <c r="A143" s="12" t="s">
        <v>366</v>
      </c>
      <c r="B143" s="12" t="s">
        <v>350</v>
      </c>
      <c r="C143" s="12" t="s">
        <v>427</v>
      </c>
      <c r="D143" s="12" t="s">
        <v>468</v>
      </c>
      <c r="E143" s="40">
        <v>5.0</v>
      </c>
      <c r="F143" s="40">
        <v>258.0</v>
      </c>
      <c r="G143" s="37">
        <v>0.47291666666666665</v>
      </c>
      <c r="H143" s="4"/>
      <c r="I143" s="4" t="s">
        <v>369</v>
      </c>
      <c r="J143" s="1" t="s">
        <v>194</v>
      </c>
      <c r="K143" s="30" t="s">
        <v>413</v>
      </c>
      <c r="L143" s="4" t="s">
        <v>100</v>
      </c>
      <c r="M143" s="12"/>
      <c r="N143" s="12"/>
      <c r="O143" s="12"/>
      <c r="P143" s="12"/>
    </row>
    <row r="144">
      <c r="A144" s="12" t="s">
        <v>366</v>
      </c>
      <c r="B144" s="12" t="s">
        <v>350</v>
      </c>
      <c r="C144" s="12" t="s">
        <v>427</v>
      </c>
      <c r="D144" s="12" t="s">
        <v>469</v>
      </c>
      <c r="E144" s="40">
        <v>5.0</v>
      </c>
      <c r="F144" s="40">
        <v>258.0</v>
      </c>
      <c r="G144" s="37">
        <v>0.47291666666666665</v>
      </c>
      <c r="H144" s="4"/>
      <c r="I144" s="4" t="s">
        <v>369</v>
      </c>
      <c r="J144" s="1" t="s">
        <v>194</v>
      </c>
      <c r="K144" s="30" t="s">
        <v>413</v>
      </c>
      <c r="L144" s="4" t="s">
        <v>100</v>
      </c>
      <c r="M144" s="12"/>
      <c r="N144" s="12"/>
      <c r="O144" s="12"/>
      <c r="P144" s="12"/>
    </row>
    <row r="145">
      <c r="A145" s="12" t="s">
        <v>366</v>
      </c>
      <c r="B145" s="12" t="s">
        <v>350</v>
      </c>
      <c r="C145" s="12" t="s">
        <v>432</v>
      </c>
      <c r="D145" s="12" t="s">
        <v>471</v>
      </c>
      <c r="E145" s="40">
        <v>5.0</v>
      </c>
      <c r="F145" s="40">
        <v>106.0</v>
      </c>
      <c r="G145" s="37">
        <v>0.47430555555555554</v>
      </c>
      <c r="H145" s="4"/>
      <c r="I145" s="4" t="s">
        <v>369</v>
      </c>
      <c r="J145" s="1" t="s">
        <v>194</v>
      </c>
      <c r="K145" s="4"/>
      <c r="L145" s="4" t="s">
        <v>100</v>
      </c>
      <c r="M145" s="12"/>
      <c r="N145" s="12"/>
      <c r="O145" s="12"/>
      <c r="P145" s="12"/>
    </row>
    <row r="146">
      <c r="A146" s="12" t="s">
        <v>366</v>
      </c>
      <c r="B146" s="12" t="s">
        <v>350</v>
      </c>
      <c r="C146" s="12" t="s">
        <v>432</v>
      </c>
      <c r="D146" s="12" t="s">
        <v>473</v>
      </c>
      <c r="E146" s="40">
        <v>5.0</v>
      </c>
      <c r="F146" s="40">
        <v>106.0</v>
      </c>
      <c r="G146" s="37">
        <v>0.47430555555555554</v>
      </c>
      <c r="H146" s="4"/>
      <c r="I146" s="4" t="s">
        <v>369</v>
      </c>
      <c r="J146" s="1" t="s">
        <v>194</v>
      </c>
      <c r="K146" s="4"/>
      <c r="L146" s="4" t="s">
        <v>100</v>
      </c>
      <c r="M146" s="12"/>
      <c r="N146" s="12"/>
      <c r="O146" s="12"/>
      <c r="P146" s="12"/>
    </row>
    <row r="147">
      <c r="A147" s="12" t="s">
        <v>366</v>
      </c>
      <c r="B147" s="12" t="s">
        <v>350</v>
      </c>
      <c r="C147" s="12" t="s">
        <v>432</v>
      </c>
      <c r="D147" s="12" t="s">
        <v>475</v>
      </c>
      <c r="E147" s="40">
        <v>5.0</v>
      </c>
      <c r="F147" s="40">
        <v>106.0</v>
      </c>
      <c r="G147" s="37">
        <v>0.47430555555555554</v>
      </c>
      <c r="H147" s="4"/>
      <c r="I147" s="4" t="s">
        <v>369</v>
      </c>
      <c r="J147" s="1" t="s">
        <v>194</v>
      </c>
      <c r="K147" s="4"/>
      <c r="L147" s="4" t="s">
        <v>100</v>
      </c>
      <c r="M147" s="12"/>
      <c r="N147" s="12"/>
      <c r="O147" s="12"/>
      <c r="P147" s="12"/>
    </row>
    <row r="148">
      <c r="A148" s="12" t="s">
        <v>366</v>
      </c>
      <c r="B148" s="12" t="s">
        <v>114</v>
      </c>
      <c r="C148" s="12" t="s">
        <v>463</v>
      </c>
      <c r="D148" s="12" t="s">
        <v>477</v>
      </c>
      <c r="E148" s="40">
        <v>7.0</v>
      </c>
      <c r="F148" s="40">
        <v>152.0</v>
      </c>
      <c r="G148" s="37">
        <v>0.4979166666666667</v>
      </c>
      <c r="H148" s="4"/>
      <c r="I148" s="4" t="s">
        <v>369</v>
      </c>
      <c r="J148" s="1" t="s">
        <v>121</v>
      </c>
      <c r="K148" s="4"/>
      <c r="L148" s="4" t="s">
        <v>100</v>
      </c>
      <c r="M148" s="12"/>
      <c r="N148" s="12"/>
      <c r="O148" s="12"/>
      <c r="P148" s="12"/>
    </row>
    <row r="149">
      <c r="A149" s="12" t="s">
        <v>366</v>
      </c>
      <c r="B149" s="12" t="s">
        <v>114</v>
      </c>
      <c r="C149" s="12" t="s">
        <v>463</v>
      </c>
      <c r="D149" s="12" t="s">
        <v>479</v>
      </c>
      <c r="E149" s="40">
        <v>7.0</v>
      </c>
      <c r="F149" s="40">
        <v>152.0</v>
      </c>
      <c r="G149" s="37">
        <v>0.4979166666666667</v>
      </c>
      <c r="H149" s="4"/>
      <c r="I149" s="4" t="s">
        <v>369</v>
      </c>
      <c r="J149" s="1" t="s">
        <v>121</v>
      </c>
      <c r="K149" s="4"/>
      <c r="L149" s="4" t="s">
        <v>100</v>
      </c>
      <c r="N149" s="12"/>
      <c r="O149" s="12"/>
      <c r="P149" s="12"/>
    </row>
    <row r="150">
      <c r="A150" s="12" t="s">
        <v>366</v>
      </c>
      <c r="B150" s="12" t="s">
        <v>114</v>
      </c>
      <c r="C150" s="12" t="s">
        <v>463</v>
      </c>
      <c r="D150" s="12" t="s">
        <v>480</v>
      </c>
      <c r="E150" s="40">
        <v>7.0</v>
      </c>
      <c r="F150" s="40">
        <v>152.0</v>
      </c>
      <c r="G150" s="37">
        <v>0.4979166666666667</v>
      </c>
      <c r="H150" s="4"/>
      <c r="I150" s="4" t="s">
        <v>369</v>
      </c>
      <c r="J150" s="1" t="s">
        <v>121</v>
      </c>
      <c r="K150" s="4"/>
      <c r="L150" s="4" t="s">
        <v>100</v>
      </c>
      <c r="N150" s="12"/>
      <c r="O150" s="12"/>
      <c r="P150" s="12"/>
    </row>
    <row r="151">
      <c r="A151" s="12" t="s">
        <v>366</v>
      </c>
      <c r="B151" s="12" t="s">
        <v>114</v>
      </c>
      <c r="C151" s="12" t="s">
        <v>466</v>
      </c>
      <c r="D151" s="12" t="s">
        <v>481</v>
      </c>
      <c r="E151" s="40">
        <v>7.0</v>
      </c>
      <c r="F151" s="40">
        <v>238.0</v>
      </c>
      <c r="G151" s="37">
        <v>0.5</v>
      </c>
      <c r="H151" s="4"/>
      <c r="I151" s="4" t="s">
        <v>369</v>
      </c>
      <c r="J151" s="1" t="s">
        <v>121</v>
      </c>
      <c r="K151" s="4"/>
      <c r="L151" s="4" t="s">
        <v>100</v>
      </c>
      <c r="M151" s="12"/>
      <c r="N151" s="12"/>
      <c r="O151" s="12"/>
      <c r="P151" s="12"/>
    </row>
    <row r="152">
      <c r="A152" s="12" t="s">
        <v>366</v>
      </c>
      <c r="B152" s="12" t="s">
        <v>114</v>
      </c>
      <c r="C152" s="12" t="s">
        <v>466</v>
      </c>
      <c r="D152" s="12" t="s">
        <v>484</v>
      </c>
      <c r="E152" s="40">
        <v>7.0</v>
      </c>
      <c r="F152" s="40">
        <v>238.0</v>
      </c>
      <c r="G152" s="37">
        <v>0.5</v>
      </c>
      <c r="H152" s="4"/>
      <c r="I152" s="4" t="s">
        <v>369</v>
      </c>
      <c r="J152" s="1" t="s">
        <v>121</v>
      </c>
      <c r="K152" s="4"/>
      <c r="L152" s="4" t="s">
        <v>100</v>
      </c>
      <c r="N152" s="12"/>
      <c r="O152" s="12"/>
      <c r="P152" s="12"/>
    </row>
    <row r="153">
      <c r="A153" s="12" t="s">
        <v>366</v>
      </c>
      <c r="B153" s="12" t="s">
        <v>114</v>
      </c>
      <c r="C153" s="12" t="s">
        <v>466</v>
      </c>
      <c r="D153" s="12" t="s">
        <v>485</v>
      </c>
      <c r="E153" s="40">
        <v>7.0</v>
      </c>
      <c r="F153" s="40">
        <v>238.0</v>
      </c>
      <c r="G153" s="37">
        <v>0.5</v>
      </c>
      <c r="H153" s="4"/>
      <c r="I153" s="4" t="s">
        <v>369</v>
      </c>
      <c r="J153" s="1" t="s">
        <v>121</v>
      </c>
      <c r="K153" s="4"/>
      <c r="L153" s="4" t="s">
        <v>100</v>
      </c>
      <c r="N153" s="12"/>
      <c r="O153" s="12"/>
      <c r="P153" s="12"/>
    </row>
    <row r="154">
      <c r="A154" s="12" t="s">
        <v>366</v>
      </c>
      <c r="B154" s="12" t="s">
        <v>114</v>
      </c>
      <c r="C154" s="12" t="s">
        <v>470</v>
      </c>
      <c r="D154" s="12" t="s">
        <v>487</v>
      </c>
      <c r="E154" s="40">
        <v>7.0</v>
      </c>
      <c r="F154" s="40">
        <v>219.0</v>
      </c>
      <c r="G154" s="37">
        <v>0.5055555555555555</v>
      </c>
      <c r="H154" s="4"/>
      <c r="I154" s="4" t="s">
        <v>369</v>
      </c>
      <c r="J154" s="1" t="s">
        <v>235</v>
      </c>
      <c r="K154" s="4"/>
      <c r="L154" s="4" t="s">
        <v>100</v>
      </c>
      <c r="M154" s="35" t="s">
        <v>490</v>
      </c>
      <c r="N154" s="12"/>
      <c r="O154" s="12"/>
      <c r="P154" s="12"/>
    </row>
    <row r="155">
      <c r="A155" s="12" t="s">
        <v>366</v>
      </c>
      <c r="B155" s="12" t="s">
        <v>114</v>
      </c>
      <c r="C155" s="12" t="s">
        <v>470</v>
      </c>
      <c r="D155" s="12" t="s">
        <v>491</v>
      </c>
      <c r="E155" s="40">
        <v>7.0</v>
      </c>
      <c r="F155" s="40">
        <v>219.0</v>
      </c>
      <c r="G155" s="37">
        <v>0.5055555555555555</v>
      </c>
      <c r="H155" s="4"/>
      <c r="I155" s="4" t="s">
        <v>369</v>
      </c>
      <c r="J155" s="1" t="s">
        <v>235</v>
      </c>
      <c r="K155" s="4"/>
      <c r="L155" s="4" t="s">
        <v>100</v>
      </c>
      <c r="N155" s="12"/>
      <c r="O155" s="12"/>
      <c r="P155" s="12"/>
    </row>
    <row r="156">
      <c r="A156" s="12" t="s">
        <v>366</v>
      </c>
      <c r="B156" s="12" t="s">
        <v>114</v>
      </c>
      <c r="C156" s="12" t="s">
        <v>470</v>
      </c>
      <c r="D156" s="12" t="s">
        <v>492</v>
      </c>
      <c r="E156" s="40">
        <v>7.0</v>
      </c>
      <c r="F156" s="40">
        <v>219.0</v>
      </c>
      <c r="G156" s="37">
        <v>0.5055555555555555</v>
      </c>
      <c r="H156" s="4"/>
      <c r="I156" s="4" t="s">
        <v>369</v>
      </c>
      <c r="J156" s="1" t="s">
        <v>235</v>
      </c>
      <c r="K156" s="4"/>
      <c r="L156" s="4" t="s">
        <v>100</v>
      </c>
      <c r="N156" s="12"/>
      <c r="O156" s="12"/>
      <c r="P156" s="12"/>
    </row>
    <row r="157">
      <c r="A157" s="12" t="s">
        <v>366</v>
      </c>
      <c r="B157" s="12" t="s">
        <v>114</v>
      </c>
      <c r="C157" s="12" t="s">
        <v>494</v>
      </c>
      <c r="D157" s="12" t="s">
        <v>495</v>
      </c>
      <c r="E157" s="40">
        <v>7.0</v>
      </c>
      <c r="F157" s="40">
        <v>218.0</v>
      </c>
      <c r="G157" s="37">
        <v>0.5069444444444444</v>
      </c>
      <c r="H157" s="4"/>
      <c r="I157" s="4" t="s">
        <v>369</v>
      </c>
      <c r="J157" s="1" t="s">
        <v>235</v>
      </c>
      <c r="K157" s="4"/>
      <c r="L157" s="4" t="s">
        <v>100</v>
      </c>
      <c r="M157" s="12"/>
      <c r="N157" s="12"/>
      <c r="O157" s="12"/>
      <c r="P157" s="12"/>
    </row>
    <row r="158">
      <c r="A158" s="12" t="s">
        <v>366</v>
      </c>
      <c r="B158" s="12" t="s">
        <v>114</v>
      </c>
      <c r="C158" s="12" t="s">
        <v>494</v>
      </c>
      <c r="D158" s="12" t="s">
        <v>496</v>
      </c>
      <c r="E158" s="40">
        <v>7.0</v>
      </c>
      <c r="F158" s="40">
        <v>218.0</v>
      </c>
      <c r="G158" s="37">
        <v>0.5069444444444444</v>
      </c>
      <c r="H158" s="4"/>
      <c r="I158" s="4" t="s">
        <v>369</v>
      </c>
      <c r="J158" s="1" t="s">
        <v>235</v>
      </c>
      <c r="K158" s="4"/>
      <c r="L158" s="4" t="s">
        <v>100</v>
      </c>
      <c r="N158" s="12"/>
      <c r="O158" s="12"/>
      <c r="P158" s="12"/>
    </row>
    <row r="159">
      <c r="A159" s="12" t="s">
        <v>366</v>
      </c>
      <c r="B159" s="12" t="s">
        <v>114</v>
      </c>
      <c r="C159" s="12" t="s">
        <v>494</v>
      </c>
      <c r="D159" s="12" t="s">
        <v>498</v>
      </c>
      <c r="E159" s="40">
        <v>7.0</v>
      </c>
      <c r="F159" s="40">
        <v>218.0</v>
      </c>
      <c r="G159" s="37">
        <v>0.5069444444444444</v>
      </c>
      <c r="H159" s="4"/>
      <c r="I159" s="4" t="s">
        <v>369</v>
      </c>
      <c r="J159" s="1" t="s">
        <v>235</v>
      </c>
      <c r="K159" s="4"/>
      <c r="L159" s="4" t="s">
        <v>100</v>
      </c>
      <c r="N159" s="12"/>
      <c r="O159" s="12"/>
      <c r="P159" s="12"/>
    </row>
    <row r="160">
      <c r="A160" s="12" t="s">
        <v>366</v>
      </c>
      <c r="B160" s="12" t="s">
        <v>114</v>
      </c>
      <c r="C160" s="12" t="s">
        <v>499</v>
      </c>
      <c r="D160" s="12" t="s">
        <v>500</v>
      </c>
      <c r="E160" s="40">
        <v>7.0</v>
      </c>
      <c r="F160" s="40">
        <v>204.0</v>
      </c>
      <c r="G160" s="37">
        <v>0.5097222222222222</v>
      </c>
      <c r="H160" s="4"/>
      <c r="I160" s="4" t="s">
        <v>369</v>
      </c>
      <c r="J160" s="1" t="s">
        <v>235</v>
      </c>
      <c r="K160" s="4"/>
      <c r="L160" s="4" t="s">
        <v>100</v>
      </c>
      <c r="M160" s="12"/>
      <c r="N160" s="12"/>
      <c r="O160" s="12"/>
      <c r="P160" s="12"/>
    </row>
    <row r="161">
      <c r="A161" s="12" t="s">
        <v>366</v>
      </c>
      <c r="B161" s="12" t="s">
        <v>114</v>
      </c>
      <c r="C161" s="12" t="s">
        <v>499</v>
      </c>
      <c r="D161" s="12" t="s">
        <v>502</v>
      </c>
      <c r="E161" s="40">
        <v>7.0</v>
      </c>
      <c r="F161" s="40">
        <v>204.0</v>
      </c>
      <c r="G161" s="37">
        <v>0.5097222222222222</v>
      </c>
      <c r="H161" s="4"/>
      <c r="I161" s="4" t="s">
        <v>369</v>
      </c>
      <c r="J161" s="1" t="s">
        <v>235</v>
      </c>
      <c r="K161" s="4"/>
      <c r="L161" s="4" t="s">
        <v>100</v>
      </c>
      <c r="M161" s="12"/>
      <c r="N161" s="12"/>
      <c r="O161" s="12"/>
      <c r="P161" s="12"/>
    </row>
    <row r="162">
      <c r="A162" s="12" t="s">
        <v>366</v>
      </c>
      <c r="B162" s="12" t="s">
        <v>114</v>
      </c>
      <c r="C162" s="12" t="s">
        <v>499</v>
      </c>
      <c r="D162" s="12" t="s">
        <v>503</v>
      </c>
      <c r="E162" s="40">
        <v>7.0</v>
      </c>
      <c r="F162" s="40">
        <v>204.0</v>
      </c>
      <c r="G162" s="37">
        <v>0.5097222222222222</v>
      </c>
      <c r="H162" s="4"/>
      <c r="I162" s="4" t="s">
        <v>369</v>
      </c>
      <c r="J162" s="1" t="s">
        <v>235</v>
      </c>
      <c r="K162" s="4"/>
      <c r="L162" s="4" t="s">
        <v>100</v>
      </c>
      <c r="M162" s="12"/>
      <c r="N162" s="12"/>
      <c r="O162" s="12"/>
      <c r="P162" s="12"/>
    </row>
    <row r="163">
      <c r="A163" s="12" t="s">
        <v>366</v>
      </c>
      <c r="B163" s="12" t="s">
        <v>114</v>
      </c>
      <c r="C163" s="12" t="s">
        <v>505</v>
      </c>
      <c r="D163" s="12" t="s">
        <v>506</v>
      </c>
      <c r="E163" s="40">
        <v>7.0</v>
      </c>
      <c r="F163" s="40">
        <v>242.0</v>
      </c>
      <c r="G163" s="37">
        <v>0.5111111111111111</v>
      </c>
      <c r="H163" s="4"/>
      <c r="I163" s="4" t="s">
        <v>369</v>
      </c>
      <c r="J163" s="1" t="s">
        <v>98</v>
      </c>
      <c r="K163" s="30" t="s">
        <v>413</v>
      </c>
      <c r="L163" s="4" t="s">
        <v>100</v>
      </c>
      <c r="M163" s="12"/>
      <c r="N163" s="12"/>
      <c r="O163" s="12"/>
      <c r="P163" s="12"/>
    </row>
    <row r="164">
      <c r="A164" s="12" t="s">
        <v>366</v>
      </c>
      <c r="B164" s="12" t="s">
        <v>114</v>
      </c>
      <c r="C164" s="12" t="s">
        <v>505</v>
      </c>
      <c r="D164" s="12" t="s">
        <v>508</v>
      </c>
      <c r="E164" s="40">
        <v>7.0</v>
      </c>
      <c r="F164" s="40">
        <v>242.0</v>
      </c>
      <c r="G164" s="37">
        <v>0.5111111111111111</v>
      </c>
      <c r="H164" s="4"/>
      <c r="I164" s="4" t="s">
        <v>369</v>
      </c>
      <c r="J164" s="1" t="s">
        <v>98</v>
      </c>
      <c r="K164" s="30" t="s">
        <v>413</v>
      </c>
      <c r="L164" s="4" t="s">
        <v>100</v>
      </c>
      <c r="M164" s="12"/>
      <c r="N164" s="12"/>
      <c r="O164" s="12"/>
      <c r="P164" s="12"/>
    </row>
    <row r="165">
      <c r="A165" s="12" t="s">
        <v>366</v>
      </c>
      <c r="B165" s="12" t="s">
        <v>114</v>
      </c>
      <c r="C165" s="12" t="s">
        <v>505</v>
      </c>
      <c r="D165" s="12" t="s">
        <v>509</v>
      </c>
      <c r="E165" s="40">
        <v>7.0</v>
      </c>
      <c r="F165" s="40">
        <v>242.0</v>
      </c>
      <c r="G165" s="37">
        <v>0.5111111111111111</v>
      </c>
      <c r="H165" s="4"/>
      <c r="I165" s="4" t="s">
        <v>369</v>
      </c>
      <c r="J165" s="1" t="s">
        <v>98</v>
      </c>
      <c r="K165" s="30" t="s">
        <v>413</v>
      </c>
      <c r="L165" s="4" t="s">
        <v>100</v>
      </c>
      <c r="M165" s="12"/>
      <c r="N165" s="12"/>
      <c r="O165" s="12"/>
      <c r="P165" s="12"/>
    </row>
    <row r="166">
      <c r="A166" s="12" t="s">
        <v>366</v>
      </c>
      <c r="B166" s="12" t="s">
        <v>114</v>
      </c>
      <c r="C166" s="12" t="s">
        <v>505</v>
      </c>
      <c r="D166" s="12" t="s">
        <v>511</v>
      </c>
      <c r="E166" s="40">
        <v>7.0</v>
      </c>
      <c r="F166" s="40">
        <v>242.0</v>
      </c>
      <c r="G166" s="37">
        <v>0.5118055555555555</v>
      </c>
      <c r="H166" s="4"/>
      <c r="I166" s="4" t="s">
        <v>369</v>
      </c>
      <c r="J166" s="1" t="s">
        <v>98</v>
      </c>
      <c r="K166" s="30" t="s">
        <v>453</v>
      </c>
      <c r="L166" s="4" t="s">
        <v>100</v>
      </c>
      <c r="M166" s="12"/>
      <c r="N166" s="12"/>
      <c r="O166" s="12"/>
      <c r="P166" s="12"/>
    </row>
    <row r="167">
      <c r="A167" s="12" t="s">
        <v>366</v>
      </c>
      <c r="B167" s="12" t="s">
        <v>114</v>
      </c>
      <c r="C167" s="12" t="s">
        <v>505</v>
      </c>
      <c r="D167" s="12" t="s">
        <v>512</v>
      </c>
      <c r="E167" s="40">
        <v>7.0</v>
      </c>
      <c r="F167" s="40">
        <v>242.0</v>
      </c>
      <c r="G167" s="37">
        <v>0.5118055555555555</v>
      </c>
      <c r="H167" s="4"/>
      <c r="I167" s="4" t="s">
        <v>369</v>
      </c>
      <c r="J167" s="1" t="s">
        <v>98</v>
      </c>
      <c r="K167" s="30" t="s">
        <v>453</v>
      </c>
      <c r="L167" s="4" t="s">
        <v>100</v>
      </c>
      <c r="M167" s="12"/>
      <c r="N167" s="12"/>
      <c r="O167" s="12"/>
      <c r="P167" s="12"/>
    </row>
    <row r="168">
      <c r="A168" s="12" t="s">
        <v>366</v>
      </c>
      <c r="B168" s="12" t="s">
        <v>114</v>
      </c>
      <c r="C168" s="12" t="s">
        <v>505</v>
      </c>
      <c r="D168" s="12" t="s">
        <v>513</v>
      </c>
      <c r="E168" s="40">
        <v>7.0</v>
      </c>
      <c r="F168" s="40">
        <v>242.0</v>
      </c>
      <c r="G168" s="37">
        <v>0.5118055555555555</v>
      </c>
      <c r="H168" s="4"/>
      <c r="I168" s="4" t="s">
        <v>369</v>
      </c>
      <c r="J168" s="1" t="s">
        <v>98</v>
      </c>
      <c r="K168" s="30" t="s">
        <v>453</v>
      </c>
      <c r="L168" s="4" t="s">
        <v>100</v>
      </c>
      <c r="M168" s="12"/>
      <c r="N168" s="12"/>
      <c r="O168" s="12"/>
      <c r="P168" s="12"/>
    </row>
    <row r="169">
      <c r="A169" s="12" t="s">
        <v>366</v>
      </c>
      <c r="B169" s="12" t="s">
        <v>114</v>
      </c>
      <c r="C169" s="12" t="s">
        <v>515</v>
      </c>
      <c r="D169" s="12" t="s">
        <v>516</v>
      </c>
      <c r="E169" s="40">
        <v>7.0</v>
      </c>
      <c r="F169" s="40">
        <v>159.0</v>
      </c>
      <c r="G169" s="37">
        <v>0.5131944444444444</v>
      </c>
      <c r="H169" s="4"/>
      <c r="I169" s="4" t="s">
        <v>369</v>
      </c>
      <c r="J169" s="1" t="s">
        <v>98</v>
      </c>
      <c r="K169" s="30" t="s">
        <v>399</v>
      </c>
      <c r="L169" s="4" t="s">
        <v>100</v>
      </c>
      <c r="M169" s="12"/>
      <c r="N169" s="12"/>
      <c r="O169" s="12"/>
      <c r="P169" s="12"/>
    </row>
    <row r="170">
      <c r="A170" s="12" t="s">
        <v>366</v>
      </c>
      <c r="B170" s="12" t="s">
        <v>114</v>
      </c>
      <c r="C170" s="12" t="s">
        <v>515</v>
      </c>
      <c r="D170" s="12" t="s">
        <v>517</v>
      </c>
      <c r="E170" s="40">
        <v>7.0</v>
      </c>
      <c r="F170" s="40">
        <v>159.0</v>
      </c>
      <c r="G170" s="37">
        <v>0.5131944444444444</v>
      </c>
      <c r="H170" s="4"/>
      <c r="I170" s="4" t="s">
        <v>369</v>
      </c>
      <c r="J170" s="1" t="s">
        <v>98</v>
      </c>
      <c r="K170" s="30" t="s">
        <v>399</v>
      </c>
      <c r="L170" s="4" t="s">
        <v>100</v>
      </c>
      <c r="N170" s="12"/>
      <c r="O170" s="12"/>
      <c r="P170" s="12"/>
    </row>
    <row r="171">
      <c r="A171" s="12" t="s">
        <v>366</v>
      </c>
      <c r="B171" s="12" t="s">
        <v>114</v>
      </c>
      <c r="C171" s="12" t="s">
        <v>515</v>
      </c>
      <c r="D171" s="12" t="s">
        <v>519</v>
      </c>
      <c r="E171" s="40">
        <v>7.0</v>
      </c>
      <c r="F171" s="40">
        <v>159.0</v>
      </c>
      <c r="G171" s="37">
        <v>0.5131944444444444</v>
      </c>
      <c r="H171" s="4"/>
      <c r="I171" s="4" t="s">
        <v>369</v>
      </c>
      <c r="J171" s="1" t="s">
        <v>98</v>
      </c>
      <c r="K171" s="30" t="s">
        <v>399</v>
      </c>
      <c r="L171" s="4" t="s">
        <v>100</v>
      </c>
      <c r="N171" s="12"/>
      <c r="O171" s="12"/>
      <c r="P171" s="12"/>
    </row>
    <row r="172">
      <c r="A172" s="12" t="s">
        <v>366</v>
      </c>
      <c r="B172" s="12" t="s">
        <v>114</v>
      </c>
      <c r="C172" s="12" t="s">
        <v>515</v>
      </c>
      <c r="D172" s="12" t="s">
        <v>520</v>
      </c>
      <c r="E172" s="40">
        <v>7.0</v>
      </c>
      <c r="F172" s="40">
        <v>159.0</v>
      </c>
      <c r="G172" s="37">
        <v>0.5138888888888888</v>
      </c>
      <c r="H172" s="4"/>
      <c r="I172" s="4" t="s">
        <v>369</v>
      </c>
      <c r="J172" s="1" t="s">
        <v>98</v>
      </c>
      <c r="K172" s="30" t="s">
        <v>413</v>
      </c>
      <c r="L172" s="4" t="s">
        <v>100</v>
      </c>
      <c r="M172" s="35" t="s">
        <v>521</v>
      </c>
      <c r="N172" s="12"/>
      <c r="O172" s="12"/>
      <c r="P172" s="12"/>
    </row>
    <row r="173">
      <c r="A173" s="12" t="s">
        <v>366</v>
      </c>
      <c r="B173" s="12" t="s">
        <v>114</v>
      </c>
      <c r="C173" s="12" t="s">
        <v>515</v>
      </c>
      <c r="D173" s="12" t="s">
        <v>522</v>
      </c>
      <c r="E173" s="40">
        <v>7.0</v>
      </c>
      <c r="F173" s="40">
        <v>159.0</v>
      </c>
      <c r="G173" s="37">
        <v>0.5138888888888888</v>
      </c>
      <c r="H173" s="4"/>
      <c r="I173" s="4" t="s">
        <v>369</v>
      </c>
      <c r="J173" s="1" t="s">
        <v>98</v>
      </c>
      <c r="K173" s="30" t="s">
        <v>413</v>
      </c>
      <c r="L173" s="4" t="s">
        <v>100</v>
      </c>
      <c r="N173" s="12"/>
      <c r="O173" s="12"/>
      <c r="P173" s="12"/>
    </row>
    <row r="174">
      <c r="A174" s="12" t="s">
        <v>366</v>
      </c>
      <c r="B174" s="12" t="s">
        <v>114</v>
      </c>
      <c r="C174" s="12" t="s">
        <v>515</v>
      </c>
      <c r="D174" s="12" t="s">
        <v>523</v>
      </c>
      <c r="E174" s="1">
        <v>7.0</v>
      </c>
      <c r="F174" s="1">
        <v>159.0</v>
      </c>
      <c r="G174" s="24">
        <v>0.5145833333333333</v>
      </c>
      <c r="H174" s="20"/>
      <c r="I174" s="1" t="s">
        <v>369</v>
      </c>
      <c r="J174" s="1" t="s">
        <v>98</v>
      </c>
      <c r="K174" s="30" t="s">
        <v>453</v>
      </c>
      <c r="L174" s="4" t="s">
        <v>100</v>
      </c>
      <c r="M174" s="12"/>
      <c r="N174" s="12"/>
      <c r="O174" s="12"/>
      <c r="P174" s="12"/>
    </row>
    <row r="175">
      <c r="A175" s="12" t="s">
        <v>366</v>
      </c>
      <c r="B175" s="12" t="s">
        <v>114</v>
      </c>
      <c r="C175" s="12" t="s">
        <v>515</v>
      </c>
      <c r="D175" s="12" t="s">
        <v>525</v>
      </c>
      <c r="E175" s="1">
        <v>7.0</v>
      </c>
      <c r="F175" s="1">
        <v>159.0</v>
      </c>
      <c r="G175" s="24">
        <v>0.5145833333333333</v>
      </c>
      <c r="H175" s="20"/>
      <c r="I175" s="1" t="s">
        <v>369</v>
      </c>
      <c r="J175" s="1" t="s">
        <v>98</v>
      </c>
      <c r="K175" s="30" t="s">
        <v>453</v>
      </c>
      <c r="L175" s="4" t="s">
        <v>100</v>
      </c>
      <c r="N175" s="12"/>
      <c r="O175" s="12"/>
      <c r="P175" s="12"/>
    </row>
    <row r="176">
      <c r="A176" s="12" t="s">
        <v>366</v>
      </c>
      <c r="B176" s="12" t="s">
        <v>114</v>
      </c>
      <c r="C176" s="12" t="s">
        <v>527</v>
      </c>
      <c r="D176" s="12" t="s">
        <v>528</v>
      </c>
      <c r="E176" s="1">
        <v>7.0</v>
      </c>
      <c r="F176" s="1">
        <v>222.0</v>
      </c>
      <c r="G176" s="24">
        <v>0.5159722222222223</v>
      </c>
      <c r="H176" s="20"/>
      <c r="I176" s="1" t="s">
        <v>369</v>
      </c>
      <c r="J176" s="1" t="s">
        <v>235</v>
      </c>
      <c r="K176" s="4"/>
      <c r="L176" s="4" t="s">
        <v>100</v>
      </c>
      <c r="M176" s="12"/>
      <c r="N176" s="12"/>
      <c r="O176" s="12"/>
      <c r="P176" s="12"/>
    </row>
    <row r="177">
      <c r="A177" s="12" t="s">
        <v>366</v>
      </c>
      <c r="B177" s="12" t="s">
        <v>114</v>
      </c>
      <c r="C177" s="12" t="s">
        <v>527</v>
      </c>
      <c r="D177" s="12" t="s">
        <v>529</v>
      </c>
      <c r="E177" s="1">
        <v>7.0</v>
      </c>
      <c r="F177" s="1">
        <v>222.0</v>
      </c>
      <c r="G177" s="24">
        <v>0.5159722222222223</v>
      </c>
      <c r="H177" s="20"/>
      <c r="I177" s="1" t="s">
        <v>369</v>
      </c>
      <c r="J177" s="1" t="s">
        <v>235</v>
      </c>
      <c r="K177" s="4"/>
      <c r="L177" s="4" t="s">
        <v>100</v>
      </c>
      <c r="M177" s="12"/>
      <c r="N177" s="12"/>
      <c r="O177" s="12"/>
      <c r="P177" s="12"/>
    </row>
    <row r="178">
      <c r="A178" s="12" t="s">
        <v>366</v>
      </c>
      <c r="B178" s="12" t="s">
        <v>114</v>
      </c>
      <c r="C178" s="12" t="s">
        <v>527</v>
      </c>
      <c r="D178" s="12" t="s">
        <v>532</v>
      </c>
      <c r="E178" s="1">
        <v>7.0</v>
      </c>
      <c r="F178" s="1">
        <v>222.0</v>
      </c>
      <c r="G178" s="24">
        <v>0.5159722222222223</v>
      </c>
      <c r="H178" s="20"/>
      <c r="I178" s="1" t="s">
        <v>369</v>
      </c>
      <c r="J178" s="1" t="s">
        <v>235</v>
      </c>
      <c r="K178" s="4"/>
      <c r="L178" s="4" t="s">
        <v>100</v>
      </c>
      <c r="M178" s="12"/>
      <c r="N178" s="12"/>
      <c r="O178" s="12"/>
      <c r="P178" s="12"/>
    </row>
    <row r="179">
      <c r="A179" s="12" t="s">
        <v>366</v>
      </c>
      <c r="B179" s="12" t="s">
        <v>114</v>
      </c>
      <c r="C179" s="12" t="s">
        <v>533</v>
      </c>
      <c r="D179" s="12" t="s">
        <v>535</v>
      </c>
      <c r="E179" s="1">
        <v>7.0</v>
      </c>
      <c r="F179" s="1">
        <v>243.0</v>
      </c>
      <c r="G179" s="24">
        <v>0.5180555555555556</v>
      </c>
      <c r="H179" s="20"/>
      <c r="I179" s="1" t="s">
        <v>369</v>
      </c>
      <c r="J179" s="1" t="s">
        <v>98</v>
      </c>
      <c r="K179" s="4"/>
      <c r="L179" s="4" t="s">
        <v>100</v>
      </c>
      <c r="M179" s="12"/>
      <c r="N179" s="12"/>
      <c r="O179" s="12"/>
      <c r="P179" s="12"/>
    </row>
    <row r="180">
      <c r="A180" s="12" t="s">
        <v>366</v>
      </c>
      <c r="B180" s="12" t="s">
        <v>114</v>
      </c>
      <c r="C180" s="12" t="s">
        <v>533</v>
      </c>
      <c r="D180" s="12" t="s">
        <v>536</v>
      </c>
      <c r="E180" s="1">
        <v>7.0</v>
      </c>
      <c r="F180" s="1">
        <v>243.0</v>
      </c>
      <c r="G180" s="24">
        <v>0.5180555555555556</v>
      </c>
      <c r="H180" s="20"/>
      <c r="I180" s="1" t="s">
        <v>369</v>
      </c>
      <c r="J180" s="1" t="s">
        <v>98</v>
      </c>
      <c r="K180" s="4"/>
      <c r="L180" s="4" t="s">
        <v>100</v>
      </c>
      <c r="M180" s="12"/>
      <c r="N180" s="12"/>
      <c r="O180" s="12"/>
      <c r="P180" s="12"/>
    </row>
    <row r="181">
      <c r="A181" s="12" t="s">
        <v>366</v>
      </c>
      <c r="B181" s="12" t="s">
        <v>114</v>
      </c>
      <c r="C181" s="12" t="s">
        <v>533</v>
      </c>
      <c r="D181" s="12" t="s">
        <v>538</v>
      </c>
      <c r="E181" s="1">
        <v>7.0</v>
      </c>
      <c r="F181" s="1">
        <v>243.0</v>
      </c>
      <c r="G181" s="24">
        <v>0.5180555555555556</v>
      </c>
      <c r="H181" s="20"/>
      <c r="I181" s="1" t="s">
        <v>369</v>
      </c>
      <c r="J181" s="1" t="s">
        <v>98</v>
      </c>
      <c r="K181" s="4"/>
      <c r="L181" s="4" t="s">
        <v>100</v>
      </c>
      <c r="M181" s="12"/>
      <c r="N181" s="12"/>
      <c r="O181" s="12"/>
      <c r="P181" s="12"/>
    </row>
    <row r="182">
      <c r="A182" s="12" t="s">
        <v>366</v>
      </c>
      <c r="B182" s="12" t="s">
        <v>114</v>
      </c>
      <c r="C182" s="12" t="s">
        <v>505</v>
      </c>
      <c r="D182" s="12" t="s">
        <v>539</v>
      </c>
      <c r="E182" s="1">
        <v>7.0</v>
      </c>
      <c r="F182" s="1">
        <v>242.0</v>
      </c>
      <c r="G182" s="24">
        <v>0.5194444444444445</v>
      </c>
      <c r="H182" s="20"/>
      <c r="I182" s="1" t="s">
        <v>369</v>
      </c>
      <c r="J182" s="1" t="s">
        <v>98</v>
      </c>
      <c r="K182" s="30" t="s">
        <v>399</v>
      </c>
      <c r="L182" s="4" t="s">
        <v>100</v>
      </c>
      <c r="M182" s="12"/>
      <c r="N182" s="12"/>
      <c r="O182" s="12"/>
      <c r="P182" s="12"/>
    </row>
    <row r="183">
      <c r="A183" s="12" t="s">
        <v>366</v>
      </c>
      <c r="B183" s="12" t="s">
        <v>114</v>
      </c>
      <c r="C183" s="12" t="s">
        <v>505</v>
      </c>
      <c r="D183" s="12" t="s">
        <v>541</v>
      </c>
      <c r="E183" s="1">
        <v>7.0</v>
      </c>
      <c r="F183" s="1">
        <v>242.0</v>
      </c>
      <c r="G183" s="24">
        <v>0.5194444444444445</v>
      </c>
      <c r="H183" s="20"/>
      <c r="I183" s="1" t="s">
        <v>369</v>
      </c>
      <c r="J183" s="1" t="s">
        <v>98</v>
      </c>
      <c r="K183" s="30" t="s">
        <v>399</v>
      </c>
      <c r="L183" s="4" t="s">
        <v>100</v>
      </c>
      <c r="M183" s="12"/>
      <c r="N183" s="12"/>
      <c r="O183" s="12"/>
      <c r="P183" s="12"/>
    </row>
    <row r="184">
      <c r="A184" s="12" t="s">
        <v>366</v>
      </c>
      <c r="B184" s="12" t="s">
        <v>114</v>
      </c>
      <c r="C184" s="12" t="s">
        <v>505</v>
      </c>
      <c r="D184" s="12" t="s">
        <v>542</v>
      </c>
      <c r="E184" s="1">
        <v>7.0</v>
      </c>
      <c r="F184" s="1">
        <v>242.0</v>
      </c>
      <c r="G184" s="24">
        <v>0.5194444444444445</v>
      </c>
      <c r="H184" s="20"/>
      <c r="I184" s="1" t="s">
        <v>369</v>
      </c>
      <c r="J184" s="1" t="s">
        <v>98</v>
      </c>
      <c r="K184" s="30" t="s">
        <v>399</v>
      </c>
      <c r="L184" s="4" t="s">
        <v>100</v>
      </c>
      <c r="M184" s="12"/>
      <c r="N184" s="12"/>
      <c r="O184" s="12"/>
      <c r="P184" s="12"/>
    </row>
    <row r="185">
      <c r="A185" s="12" t="s">
        <v>366</v>
      </c>
      <c r="B185" s="12" t="s">
        <v>114</v>
      </c>
      <c r="C185" s="12" t="s">
        <v>543</v>
      </c>
      <c r="D185" s="12" t="s">
        <v>544</v>
      </c>
      <c r="E185" s="1">
        <v>7.0</v>
      </c>
      <c r="F185" s="1">
        <v>224.0</v>
      </c>
      <c r="G185" s="24">
        <v>0.5215277777777778</v>
      </c>
      <c r="H185" s="20"/>
      <c r="I185" s="1" t="s">
        <v>369</v>
      </c>
      <c r="J185" s="1" t="s">
        <v>235</v>
      </c>
      <c r="K185" s="4"/>
      <c r="L185" s="4" t="s">
        <v>100</v>
      </c>
      <c r="M185" s="12"/>
      <c r="N185" s="12"/>
      <c r="O185" s="12"/>
      <c r="P185" s="12"/>
    </row>
    <row r="186">
      <c r="A186" s="12" t="s">
        <v>366</v>
      </c>
      <c r="B186" s="12" t="s">
        <v>114</v>
      </c>
      <c r="C186" s="12" t="s">
        <v>543</v>
      </c>
      <c r="D186" s="12" t="s">
        <v>545</v>
      </c>
      <c r="E186" s="1">
        <v>7.0</v>
      </c>
      <c r="F186" s="1">
        <v>224.0</v>
      </c>
      <c r="G186" s="24">
        <v>0.5215277777777778</v>
      </c>
      <c r="H186" s="20"/>
      <c r="I186" s="1" t="s">
        <v>369</v>
      </c>
      <c r="J186" s="1" t="s">
        <v>235</v>
      </c>
      <c r="K186" s="4"/>
      <c r="L186" s="4" t="s">
        <v>100</v>
      </c>
      <c r="M186" s="12"/>
      <c r="N186" s="12"/>
      <c r="O186" s="12"/>
      <c r="P186" s="12"/>
    </row>
    <row r="187">
      <c r="A187" s="12" t="s">
        <v>366</v>
      </c>
      <c r="B187" s="12" t="s">
        <v>114</v>
      </c>
      <c r="C187" s="12" t="s">
        <v>543</v>
      </c>
      <c r="D187" s="12" t="s">
        <v>548</v>
      </c>
      <c r="E187" s="1">
        <v>7.0</v>
      </c>
      <c r="F187" s="1">
        <v>224.0</v>
      </c>
      <c r="G187" s="24">
        <v>0.5215277777777778</v>
      </c>
      <c r="H187" s="20"/>
      <c r="I187" s="1" t="s">
        <v>369</v>
      </c>
      <c r="J187" s="1" t="s">
        <v>235</v>
      </c>
      <c r="K187" s="4"/>
      <c r="L187" s="4" t="s">
        <v>100</v>
      </c>
      <c r="M187" s="12"/>
      <c r="N187" s="12"/>
      <c r="O187" s="12"/>
      <c r="P187" s="12"/>
    </row>
    <row r="188">
      <c r="A188" s="12" t="s">
        <v>366</v>
      </c>
      <c r="B188" s="12" t="s">
        <v>364</v>
      </c>
      <c r="C188" s="12" t="s">
        <v>549</v>
      </c>
      <c r="D188" s="12" t="s">
        <v>550</v>
      </c>
      <c r="E188" s="1">
        <v>8.0</v>
      </c>
      <c r="F188" s="1">
        <v>229.0</v>
      </c>
      <c r="G188" s="24">
        <v>0.05138888888888889</v>
      </c>
      <c r="H188" s="20"/>
      <c r="I188" s="1" t="s">
        <v>369</v>
      </c>
      <c r="J188" s="1" t="s">
        <v>121</v>
      </c>
      <c r="K188" s="4"/>
      <c r="L188" s="4" t="s">
        <v>100</v>
      </c>
      <c r="M188" s="12"/>
      <c r="N188" s="12"/>
      <c r="O188" s="12"/>
      <c r="P188" s="12"/>
    </row>
    <row r="189">
      <c r="A189" s="12" t="s">
        <v>366</v>
      </c>
      <c r="B189" s="12" t="s">
        <v>364</v>
      </c>
      <c r="C189" s="12" t="s">
        <v>549</v>
      </c>
      <c r="D189" s="12" t="s">
        <v>552</v>
      </c>
      <c r="E189" s="1">
        <v>8.0</v>
      </c>
      <c r="F189" s="1">
        <v>229.0</v>
      </c>
      <c r="G189" s="24">
        <v>0.05138888888888889</v>
      </c>
      <c r="H189" s="20"/>
      <c r="I189" s="1" t="s">
        <v>369</v>
      </c>
      <c r="J189" s="1" t="s">
        <v>121</v>
      </c>
      <c r="K189" s="4"/>
      <c r="L189" s="4" t="s">
        <v>100</v>
      </c>
      <c r="N189" s="12"/>
      <c r="O189" s="12"/>
      <c r="P189" s="12"/>
    </row>
    <row r="190">
      <c r="A190" s="12" t="s">
        <v>366</v>
      </c>
      <c r="B190" s="12" t="s">
        <v>364</v>
      </c>
      <c r="C190" s="12" t="s">
        <v>549</v>
      </c>
      <c r="D190" s="12" t="s">
        <v>553</v>
      </c>
      <c r="E190" s="1">
        <v>8.0</v>
      </c>
      <c r="F190" s="1">
        <v>229.0</v>
      </c>
      <c r="G190" s="24">
        <v>0.05138888888888889</v>
      </c>
      <c r="H190" s="20"/>
      <c r="I190" s="1" t="s">
        <v>369</v>
      </c>
      <c r="J190" s="1" t="s">
        <v>121</v>
      </c>
      <c r="K190" s="4"/>
      <c r="L190" s="4" t="s">
        <v>100</v>
      </c>
      <c r="N190" s="12"/>
      <c r="O190" s="12"/>
      <c r="P190" s="12"/>
    </row>
    <row r="191">
      <c r="A191" s="12" t="s">
        <v>366</v>
      </c>
      <c r="B191" s="12" t="s">
        <v>364</v>
      </c>
      <c r="C191" s="12" t="s">
        <v>555</v>
      </c>
      <c r="D191" s="12" t="s">
        <v>556</v>
      </c>
      <c r="E191" s="1">
        <v>8.0</v>
      </c>
      <c r="F191" s="1">
        <v>232.0</v>
      </c>
      <c r="G191" s="24">
        <v>0.05694444444444444</v>
      </c>
      <c r="H191" s="20"/>
      <c r="I191" s="1" t="s">
        <v>369</v>
      </c>
      <c r="J191" s="1" t="s">
        <v>98</v>
      </c>
      <c r="K191" s="4"/>
      <c r="L191" s="4" t="s">
        <v>100</v>
      </c>
      <c r="M191" s="12"/>
      <c r="N191" s="12"/>
      <c r="O191" s="12"/>
      <c r="P191" s="12"/>
    </row>
    <row r="192">
      <c r="A192" s="12" t="s">
        <v>366</v>
      </c>
      <c r="B192" s="12" t="s">
        <v>364</v>
      </c>
      <c r="C192" s="12" t="s">
        <v>555</v>
      </c>
      <c r="D192" s="12" t="s">
        <v>557</v>
      </c>
      <c r="E192" s="1">
        <v>8.0</v>
      </c>
      <c r="F192" s="1">
        <v>232.0</v>
      </c>
      <c r="G192" s="24">
        <v>0.05694444444444444</v>
      </c>
      <c r="H192" s="20"/>
      <c r="I192" s="1" t="s">
        <v>369</v>
      </c>
      <c r="J192" s="1" t="s">
        <v>98</v>
      </c>
      <c r="K192" s="4"/>
      <c r="L192" s="4" t="s">
        <v>100</v>
      </c>
      <c r="N192" s="12"/>
      <c r="O192" s="12"/>
      <c r="P192" s="12"/>
    </row>
    <row r="193">
      <c r="A193" s="12" t="s">
        <v>366</v>
      </c>
      <c r="B193" s="12" t="s">
        <v>364</v>
      </c>
      <c r="C193" s="12" t="s">
        <v>555</v>
      </c>
      <c r="D193" s="12" t="s">
        <v>558</v>
      </c>
      <c r="E193" s="1">
        <v>8.0</v>
      </c>
      <c r="F193" s="1">
        <v>232.0</v>
      </c>
      <c r="G193" s="24">
        <v>0.05694444444444444</v>
      </c>
      <c r="H193" s="20"/>
      <c r="I193" s="1" t="s">
        <v>369</v>
      </c>
      <c r="J193" s="1" t="s">
        <v>98</v>
      </c>
      <c r="K193" s="4"/>
      <c r="L193" s="4" t="s">
        <v>100</v>
      </c>
      <c r="N193" s="12"/>
      <c r="O193" s="12"/>
      <c r="P193" s="12"/>
    </row>
    <row r="194">
      <c r="A194" s="12" t="s">
        <v>366</v>
      </c>
      <c r="B194" s="12" t="s">
        <v>364</v>
      </c>
      <c r="C194" s="12" t="s">
        <v>559</v>
      </c>
      <c r="D194" s="12" t="s">
        <v>560</v>
      </c>
      <c r="E194" s="1">
        <v>8.0</v>
      </c>
      <c r="F194" s="1">
        <v>231.0</v>
      </c>
      <c r="G194" s="24">
        <v>0.05763888888888889</v>
      </c>
      <c r="H194" s="20"/>
      <c r="I194" s="1" t="s">
        <v>369</v>
      </c>
      <c r="J194" s="1" t="s">
        <v>98</v>
      </c>
      <c r="K194" s="4"/>
      <c r="L194" s="4" t="s">
        <v>100</v>
      </c>
      <c r="M194" s="12"/>
      <c r="N194" s="12"/>
      <c r="O194" s="12"/>
      <c r="P194" s="12"/>
    </row>
    <row r="195">
      <c r="A195" s="12" t="s">
        <v>366</v>
      </c>
      <c r="B195" s="12" t="s">
        <v>364</v>
      </c>
      <c r="C195" s="12" t="s">
        <v>559</v>
      </c>
      <c r="D195" s="12" t="s">
        <v>561</v>
      </c>
      <c r="E195" s="1">
        <v>8.0</v>
      </c>
      <c r="F195" s="1">
        <v>231.0</v>
      </c>
      <c r="G195" s="24">
        <v>0.05763888888888889</v>
      </c>
      <c r="H195" s="20"/>
      <c r="I195" s="1" t="s">
        <v>369</v>
      </c>
      <c r="J195" s="1" t="s">
        <v>98</v>
      </c>
      <c r="K195" s="4"/>
      <c r="L195" s="4" t="s">
        <v>100</v>
      </c>
      <c r="N195" s="12"/>
      <c r="O195" s="12"/>
      <c r="P195" s="12"/>
    </row>
    <row r="196">
      <c r="A196" s="12" t="s">
        <v>366</v>
      </c>
      <c r="B196" s="12" t="s">
        <v>364</v>
      </c>
      <c r="C196" s="12" t="s">
        <v>559</v>
      </c>
      <c r="D196" s="12" t="s">
        <v>563</v>
      </c>
      <c r="E196" s="1">
        <v>8.0</v>
      </c>
      <c r="F196" s="1">
        <v>231.0</v>
      </c>
      <c r="G196" s="24">
        <v>0.05763888888888889</v>
      </c>
      <c r="H196" s="20"/>
      <c r="I196" s="1" t="s">
        <v>369</v>
      </c>
      <c r="J196" s="1" t="s">
        <v>98</v>
      </c>
      <c r="K196" s="4"/>
      <c r="L196" s="4" t="s">
        <v>100</v>
      </c>
      <c r="N196" s="12"/>
      <c r="O196" s="12"/>
      <c r="P196" s="12"/>
    </row>
    <row r="197">
      <c r="A197" s="12" t="s">
        <v>366</v>
      </c>
      <c r="B197" s="12" t="s">
        <v>364</v>
      </c>
      <c r="C197" s="12" t="s">
        <v>564</v>
      </c>
      <c r="D197" s="12" t="s">
        <v>565</v>
      </c>
      <c r="E197" s="1">
        <v>8.0</v>
      </c>
      <c r="F197" s="1">
        <v>233.0</v>
      </c>
      <c r="G197" s="24">
        <v>0.059722222222222225</v>
      </c>
      <c r="H197" s="20"/>
      <c r="I197" s="1" t="s">
        <v>369</v>
      </c>
      <c r="J197" s="1" t="s">
        <v>194</v>
      </c>
      <c r="K197" s="4"/>
      <c r="L197" s="4" t="s">
        <v>100</v>
      </c>
      <c r="M197" s="12"/>
      <c r="N197" s="12"/>
      <c r="O197" s="12"/>
      <c r="P197" s="12"/>
    </row>
    <row r="198">
      <c r="A198" s="12" t="s">
        <v>366</v>
      </c>
      <c r="B198" s="12" t="s">
        <v>364</v>
      </c>
      <c r="C198" s="12" t="s">
        <v>564</v>
      </c>
      <c r="D198" s="12" t="s">
        <v>567</v>
      </c>
      <c r="E198" s="1">
        <v>8.0</v>
      </c>
      <c r="F198" s="1">
        <v>233.0</v>
      </c>
      <c r="G198" s="24">
        <v>0.059722222222222225</v>
      </c>
      <c r="H198" s="20"/>
      <c r="I198" s="1" t="s">
        <v>369</v>
      </c>
      <c r="J198" s="1" t="s">
        <v>194</v>
      </c>
      <c r="K198" s="4"/>
      <c r="L198" s="4" t="s">
        <v>100</v>
      </c>
      <c r="N198" s="12"/>
      <c r="O198" s="12"/>
      <c r="P198" s="12"/>
    </row>
    <row r="199">
      <c r="A199" s="12" t="s">
        <v>366</v>
      </c>
      <c r="B199" s="12" t="s">
        <v>364</v>
      </c>
      <c r="C199" s="12" t="s">
        <v>564</v>
      </c>
      <c r="D199" s="12" t="s">
        <v>568</v>
      </c>
      <c r="E199" s="1">
        <v>8.0</v>
      </c>
      <c r="F199" s="1">
        <v>233.0</v>
      </c>
      <c r="G199" s="24">
        <v>0.059722222222222225</v>
      </c>
      <c r="H199" s="20"/>
      <c r="I199" s="1" t="s">
        <v>369</v>
      </c>
      <c r="J199" s="1" t="s">
        <v>194</v>
      </c>
      <c r="K199" s="4"/>
      <c r="L199" s="4" t="s">
        <v>100</v>
      </c>
      <c r="N199" s="12"/>
      <c r="O199" s="12"/>
      <c r="P199" s="12"/>
    </row>
    <row r="200">
      <c r="A200" s="12" t="s">
        <v>366</v>
      </c>
      <c r="B200" s="12" t="s">
        <v>364</v>
      </c>
      <c r="C200" s="12" t="s">
        <v>570</v>
      </c>
      <c r="D200" s="12" t="s">
        <v>571</v>
      </c>
      <c r="E200" s="1">
        <v>8.0</v>
      </c>
      <c r="F200" s="1">
        <v>215.0</v>
      </c>
      <c r="G200" s="24">
        <v>0.06388888888888888</v>
      </c>
      <c r="H200" s="20"/>
      <c r="I200" s="1" t="s">
        <v>369</v>
      </c>
      <c r="J200" s="1" t="s">
        <v>235</v>
      </c>
      <c r="K200" s="4"/>
      <c r="L200" s="4" t="s">
        <v>100</v>
      </c>
      <c r="M200" s="35" t="s">
        <v>572</v>
      </c>
      <c r="N200" s="12"/>
      <c r="O200" s="12"/>
      <c r="P200" s="12"/>
    </row>
    <row r="201">
      <c r="A201" s="12" t="s">
        <v>366</v>
      </c>
      <c r="B201" s="12" t="s">
        <v>364</v>
      </c>
      <c r="C201" s="12" t="s">
        <v>570</v>
      </c>
      <c r="D201" s="12" t="s">
        <v>573</v>
      </c>
      <c r="E201" s="1">
        <v>8.0</v>
      </c>
      <c r="F201" s="1">
        <v>215.0</v>
      </c>
      <c r="G201" s="24">
        <v>0.06388888888888888</v>
      </c>
      <c r="H201" s="20"/>
      <c r="I201" s="1" t="s">
        <v>369</v>
      </c>
      <c r="J201" s="1" t="s">
        <v>235</v>
      </c>
      <c r="K201" s="4"/>
      <c r="L201" s="4" t="s">
        <v>100</v>
      </c>
      <c r="N201" s="12"/>
      <c r="O201" s="12"/>
      <c r="P201" s="12"/>
    </row>
    <row r="202">
      <c r="A202" s="12" t="s">
        <v>366</v>
      </c>
      <c r="B202" s="12" t="s">
        <v>364</v>
      </c>
      <c r="C202" s="12" t="s">
        <v>570</v>
      </c>
      <c r="D202" s="12" t="s">
        <v>574</v>
      </c>
      <c r="E202" s="1">
        <v>8.0</v>
      </c>
      <c r="F202" s="1">
        <v>215.0</v>
      </c>
      <c r="G202" s="24">
        <v>0.06388888888888888</v>
      </c>
      <c r="H202" s="20"/>
      <c r="I202" s="1" t="s">
        <v>369</v>
      </c>
      <c r="J202" s="1" t="s">
        <v>235</v>
      </c>
      <c r="K202" s="4"/>
      <c r="L202" s="4" t="s">
        <v>100</v>
      </c>
      <c r="M202" s="12"/>
      <c r="N202" s="12"/>
      <c r="O202" s="12"/>
      <c r="P202" s="12"/>
    </row>
    <row r="203">
      <c r="A203" s="12" t="s">
        <v>366</v>
      </c>
      <c r="B203" s="12" t="s">
        <v>364</v>
      </c>
      <c r="C203" s="12" t="s">
        <v>570</v>
      </c>
      <c r="D203" s="12" t="s">
        <v>575</v>
      </c>
      <c r="E203" s="1">
        <v>8.0</v>
      </c>
      <c r="F203" s="1">
        <v>215.0</v>
      </c>
      <c r="G203" s="24">
        <v>0.06388888888888888</v>
      </c>
      <c r="H203" s="20"/>
      <c r="I203" s="1" t="s">
        <v>369</v>
      </c>
      <c r="J203" s="1" t="s">
        <v>235</v>
      </c>
      <c r="K203" s="4"/>
      <c r="L203" s="4" t="s">
        <v>100</v>
      </c>
      <c r="N203" s="12"/>
      <c r="O203" s="12"/>
      <c r="P203" s="12"/>
    </row>
    <row r="204">
      <c r="A204" s="12" t="s">
        <v>366</v>
      </c>
      <c r="B204" s="12" t="s">
        <v>364</v>
      </c>
      <c r="C204" s="12" t="s">
        <v>576</v>
      </c>
      <c r="D204" s="12" t="s">
        <v>577</v>
      </c>
      <c r="E204" s="1">
        <v>8.0</v>
      </c>
      <c r="F204" s="1">
        <v>207.0</v>
      </c>
      <c r="G204" s="24">
        <v>0.06597222222222222</v>
      </c>
      <c r="H204" s="20"/>
      <c r="I204" s="1" t="s">
        <v>369</v>
      </c>
      <c r="J204" s="1" t="s">
        <v>235</v>
      </c>
      <c r="K204" s="4"/>
      <c r="L204" s="4" t="s">
        <v>100</v>
      </c>
      <c r="M204" s="12"/>
      <c r="N204" s="12"/>
      <c r="O204" s="12"/>
      <c r="P204" s="12"/>
    </row>
    <row r="205">
      <c r="A205" s="12" t="s">
        <v>366</v>
      </c>
      <c r="B205" s="12" t="s">
        <v>364</v>
      </c>
      <c r="C205" s="12" t="s">
        <v>576</v>
      </c>
      <c r="D205" s="12" t="s">
        <v>578</v>
      </c>
      <c r="E205" s="1">
        <v>8.0</v>
      </c>
      <c r="F205" s="1">
        <v>207.0</v>
      </c>
      <c r="G205" s="24">
        <v>0.06597222222222222</v>
      </c>
      <c r="H205" s="20"/>
      <c r="I205" s="1" t="s">
        <v>369</v>
      </c>
      <c r="J205" s="1" t="s">
        <v>235</v>
      </c>
      <c r="K205" s="4"/>
      <c r="L205" s="4" t="s">
        <v>100</v>
      </c>
      <c r="M205" s="12"/>
      <c r="N205" s="12"/>
      <c r="O205" s="12"/>
      <c r="P205" s="12"/>
    </row>
    <row r="206">
      <c r="A206" s="12" t="s">
        <v>366</v>
      </c>
      <c r="B206" s="12" t="s">
        <v>364</v>
      </c>
      <c r="C206" s="12" t="s">
        <v>576</v>
      </c>
      <c r="D206" s="12" t="s">
        <v>580</v>
      </c>
      <c r="E206" s="1">
        <v>8.0</v>
      </c>
      <c r="F206" s="1">
        <v>207.0</v>
      </c>
      <c r="G206" s="24">
        <v>0.06597222222222222</v>
      </c>
      <c r="H206" s="20"/>
      <c r="I206" s="1" t="s">
        <v>369</v>
      </c>
      <c r="J206" s="1" t="s">
        <v>235</v>
      </c>
      <c r="K206" s="4"/>
      <c r="L206" s="4" t="s">
        <v>100</v>
      </c>
      <c r="M206" s="12"/>
      <c r="N206" s="12"/>
      <c r="O206" s="12"/>
      <c r="P206" s="12"/>
    </row>
    <row r="207">
      <c r="A207" s="12" t="s">
        <v>366</v>
      </c>
      <c r="B207" s="12" t="s">
        <v>364</v>
      </c>
      <c r="C207" s="12" t="s">
        <v>581</v>
      </c>
      <c r="D207" s="12" t="s">
        <v>582</v>
      </c>
      <c r="E207" s="1">
        <v>8.0</v>
      </c>
      <c r="F207" s="1">
        <v>211.0</v>
      </c>
      <c r="G207" s="24">
        <v>0.06736111111111111</v>
      </c>
      <c r="H207" s="20"/>
      <c r="I207" s="1" t="s">
        <v>369</v>
      </c>
      <c r="J207" s="1" t="s">
        <v>235</v>
      </c>
      <c r="K207" s="4"/>
      <c r="L207" s="4" t="s">
        <v>100</v>
      </c>
      <c r="M207" s="12"/>
      <c r="N207" s="12"/>
      <c r="O207" s="12"/>
      <c r="P207" s="12"/>
    </row>
    <row r="208">
      <c r="A208" s="12" t="s">
        <v>366</v>
      </c>
      <c r="B208" s="12" t="s">
        <v>364</v>
      </c>
      <c r="C208" s="12" t="s">
        <v>581</v>
      </c>
      <c r="D208" s="12" t="s">
        <v>584</v>
      </c>
      <c r="E208" s="1">
        <v>8.0</v>
      </c>
      <c r="F208" s="1">
        <v>211.0</v>
      </c>
      <c r="G208" s="24">
        <v>0.06736111111111111</v>
      </c>
      <c r="H208" s="20"/>
      <c r="I208" s="1" t="s">
        <v>369</v>
      </c>
      <c r="J208" s="1" t="s">
        <v>235</v>
      </c>
      <c r="K208" s="4"/>
      <c r="L208" s="4" t="s">
        <v>100</v>
      </c>
      <c r="M208" s="12"/>
      <c r="N208" s="12"/>
      <c r="O208" s="12"/>
      <c r="P208" s="12"/>
    </row>
    <row r="209">
      <c r="A209" s="12" t="s">
        <v>366</v>
      </c>
      <c r="B209" s="12" t="s">
        <v>364</v>
      </c>
      <c r="C209" s="12" t="s">
        <v>581</v>
      </c>
      <c r="D209" s="12" t="s">
        <v>585</v>
      </c>
      <c r="E209" s="1">
        <v>8.0</v>
      </c>
      <c r="F209" s="1">
        <v>211.0</v>
      </c>
      <c r="G209" s="24">
        <v>0.06736111111111111</v>
      </c>
      <c r="H209" s="20"/>
      <c r="I209" s="1" t="s">
        <v>369</v>
      </c>
      <c r="J209" s="1" t="s">
        <v>235</v>
      </c>
      <c r="K209" s="4"/>
      <c r="L209" s="4" t="s">
        <v>100</v>
      </c>
      <c r="M209" s="12"/>
      <c r="N209" s="12"/>
      <c r="O209" s="12"/>
      <c r="P209" s="12"/>
    </row>
    <row r="210">
      <c r="A210" s="12" t="s">
        <v>366</v>
      </c>
      <c r="B210" s="12" t="s">
        <v>364</v>
      </c>
      <c r="C210" s="12" t="s">
        <v>586</v>
      </c>
      <c r="D210" s="12" t="s">
        <v>588</v>
      </c>
      <c r="E210" s="1">
        <v>8.0</v>
      </c>
      <c r="F210" s="1">
        <v>209.0</v>
      </c>
      <c r="G210" s="24">
        <v>0.06805555555555555</v>
      </c>
      <c r="H210" s="20"/>
      <c r="I210" s="1" t="s">
        <v>369</v>
      </c>
      <c r="J210" s="1" t="s">
        <v>235</v>
      </c>
      <c r="K210" s="4"/>
      <c r="L210" s="4" t="s">
        <v>100</v>
      </c>
      <c r="M210" s="12"/>
      <c r="N210" s="12"/>
      <c r="O210" s="12"/>
      <c r="P210" s="12"/>
    </row>
    <row r="211">
      <c r="A211" s="12" t="s">
        <v>366</v>
      </c>
      <c r="B211" s="12" t="s">
        <v>364</v>
      </c>
      <c r="C211" s="12" t="s">
        <v>586</v>
      </c>
      <c r="D211" s="12" t="s">
        <v>590</v>
      </c>
      <c r="E211" s="1">
        <v>8.0</v>
      </c>
      <c r="F211" s="1">
        <v>209.0</v>
      </c>
      <c r="G211" s="24">
        <v>0.06805555555555555</v>
      </c>
      <c r="H211" s="20"/>
      <c r="I211" s="1" t="s">
        <v>369</v>
      </c>
      <c r="J211" s="1" t="s">
        <v>235</v>
      </c>
      <c r="K211" s="4"/>
      <c r="L211" s="4" t="s">
        <v>100</v>
      </c>
      <c r="M211" s="12"/>
      <c r="N211" s="12"/>
      <c r="O211" s="12"/>
      <c r="P211" s="12"/>
    </row>
    <row r="212">
      <c r="A212" s="12" t="s">
        <v>366</v>
      </c>
      <c r="B212" s="12" t="s">
        <v>364</v>
      </c>
      <c r="C212" s="12" t="s">
        <v>586</v>
      </c>
      <c r="D212" s="12" t="s">
        <v>591</v>
      </c>
      <c r="E212" s="1">
        <v>8.0</v>
      </c>
      <c r="F212" s="1">
        <v>209.0</v>
      </c>
      <c r="G212" s="24">
        <v>0.06805555555555555</v>
      </c>
      <c r="H212" s="20"/>
      <c r="I212" s="1" t="s">
        <v>369</v>
      </c>
      <c r="J212" s="1" t="s">
        <v>235</v>
      </c>
      <c r="K212" s="4"/>
      <c r="L212" s="4" t="s">
        <v>100</v>
      </c>
      <c r="M212" s="12"/>
      <c r="N212" s="12"/>
      <c r="O212" s="12"/>
      <c r="P212" s="12"/>
    </row>
    <row r="213">
      <c r="A213" s="12" t="s">
        <v>366</v>
      </c>
      <c r="B213" s="12" t="s">
        <v>364</v>
      </c>
      <c r="C213" s="12" t="s">
        <v>593</v>
      </c>
      <c r="D213" s="12" t="s">
        <v>594</v>
      </c>
      <c r="E213" s="1">
        <v>8.0</v>
      </c>
      <c r="F213" s="1">
        <v>214.0</v>
      </c>
      <c r="G213" s="24">
        <v>0.06875</v>
      </c>
      <c r="H213" s="20"/>
      <c r="I213" s="1" t="s">
        <v>369</v>
      </c>
      <c r="J213" s="1" t="s">
        <v>235</v>
      </c>
      <c r="K213" s="4"/>
      <c r="L213" s="4" t="s">
        <v>100</v>
      </c>
      <c r="M213" s="12"/>
      <c r="N213" s="12"/>
      <c r="O213" s="12"/>
      <c r="P213" s="12"/>
    </row>
    <row r="214">
      <c r="A214" s="12" t="s">
        <v>366</v>
      </c>
      <c r="B214" s="12" t="s">
        <v>364</v>
      </c>
      <c r="C214" s="12" t="s">
        <v>593</v>
      </c>
      <c r="D214" s="12" t="s">
        <v>596</v>
      </c>
      <c r="E214" s="1">
        <v>8.0</v>
      </c>
      <c r="F214" s="1">
        <v>214.0</v>
      </c>
      <c r="G214" s="24">
        <v>0.06875</v>
      </c>
      <c r="H214" s="20"/>
      <c r="I214" s="1" t="s">
        <v>369</v>
      </c>
      <c r="J214" s="1" t="s">
        <v>235</v>
      </c>
      <c r="K214" s="4"/>
      <c r="L214" s="4" t="s">
        <v>100</v>
      </c>
      <c r="M214" s="12"/>
      <c r="N214" s="12"/>
      <c r="O214" s="12"/>
      <c r="P214" s="12"/>
    </row>
    <row r="215">
      <c r="A215" s="12" t="s">
        <v>366</v>
      </c>
      <c r="B215" s="12" t="s">
        <v>364</v>
      </c>
      <c r="C215" s="12" t="s">
        <v>593</v>
      </c>
      <c r="D215" s="12" t="s">
        <v>598</v>
      </c>
      <c r="E215" s="1">
        <v>8.0</v>
      </c>
      <c r="F215" s="1">
        <v>214.0</v>
      </c>
      <c r="G215" s="24">
        <v>0.06875</v>
      </c>
      <c r="H215" s="20"/>
      <c r="I215" s="1" t="s">
        <v>369</v>
      </c>
      <c r="J215" s="1" t="s">
        <v>235</v>
      </c>
      <c r="K215" s="4"/>
      <c r="L215" s="4" t="s">
        <v>100</v>
      </c>
      <c r="M215" s="12"/>
      <c r="N215" s="12"/>
      <c r="O215" s="12"/>
      <c r="P215" s="12"/>
    </row>
    <row r="216">
      <c r="A216" s="12" t="s">
        <v>366</v>
      </c>
      <c r="B216" s="12" t="s">
        <v>364</v>
      </c>
      <c r="C216" s="12" t="s">
        <v>600</v>
      </c>
      <c r="D216" s="12" t="s">
        <v>601</v>
      </c>
      <c r="E216" s="1">
        <v>8.0</v>
      </c>
      <c r="F216" s="1">
        <v>212.0</v>
      </c>
      <c r="G216" s="24">
        <v>0.07083333333333333</v>
      </c>
      <c r="H216" s="20"/>
      <c r="I216" s="1" t="s">
        <v>369</v>
      </c>
      <c r="J216" s="1" t="s">
        <v>235</v>
      </c>
      <c r="K216" s="4"/>
      <c r="L216" s="4" t="s">
        <v>100</v>
      </c>
      <c r="M216" s="12"/>
      <c r="N216" s="12"/>
      <c r="O216" s="12"/>
      <c r="P216" s="12"/>
    </row>
    <row r="217">
      <c r="A217" s="12" t="s">
        <v>366</v>
      </c>
      <c r="B217" s="12" t="s">
        <v>364</v>
      </c>
      <c r="C217" s="12" t="s">
        <v>600</v>
      </c>
      <c r="D217" s="12" t="s">
        <v>603</v>
      </c>
      <c r="E217" s="1">
        <v>8.0</v>
      </c>
      <c r="F217" s="1">
        <v>212.0</v>
      </c>
      <c r="G217" s="24">
        <v>0.07083333333333333</v>
      </c>
      <c r="H217" s="20"/>
      <c r="I217" s="1" t="s">
        <v>369</v>
      </c>
      <c r="J217" s="1" t="s">
        <v>235</v>
      </c>
      <c r="K217" s="4"/>
      <c r="L217" s="4" t="s">
        <v>100</v>
      </c>
      <c r="M217" s="12"/>
      <c r="N217" s="12"/>
      <c r="O217" s="12"/>
      <c r="P217" s="12"/>
    </row>
    <row r="218">
      <c r="A218" s="12" t="s">
        <v>366</v>
      </c>
      <c r="B218" s="12" t="s">
        <v>364</v>
      </c>
      <c r="C218" s="12" t="s">
        <v>600</v>
      </c>
      <c r="D218" s="12" t="s">
        <v>605</v>
      </c>
      <c r="E218" s="1">
        <v>8.0</v>
      </c>
      <c r="F218" s="1">
        <v>212.0</v>
      </c>
      <c r="G218" s="24">
        <v>0.07083333333333333</v>
      </c>
      <c r="H218" s="20"/>
      <c r="I218" s="1" t="s">
        <v>369</v>
      </c>
      <c r="J218" s="1" t="s">
        <v>235</v>
      </c>
      <c r="K218" s="4"/>
      <c r="L218" s="4" t="s">
        <v>100</v>
      </c>
      <c r="M218" s="12"/>
      <c r="N218" s="12"/>
      <c r="O218" s="12"/>
      <c r="P218" s="12"/>
    </row>
    <row r="219">
      <c r="A219" s="12" t="s">
        <v>366</v>
      </c>
      <c r="B219" s="12" t="s">
        <v>364</v>
      </c>
      <c r="C219" s="12" t="s">
        <v>606</v>
      </c>
      <c r="D219" s="12" t="s">
        <v>607</v>
      </c>
      <c r="E219" s="1">
        <v>8.0</v>
      </c>
      <c r="F219" s="1">
        <v>213.0</v>
      </c>
      <c r="G219" s="24">
        <v>0.07222222222222222</v>
      </c>
      <c r="H219" s="20"/>
      <c r="I219" s="1" t="s">
        <v>369</v>
      </c>
      <c r="J219" s="1" t="s">
        <v>235</v>
      </c>
      <c r="K219" s="4"/>
      <c r="L219" s="4" t="s">
        <v>100</v>
      </c>
      <c r="M219" s="12"/>
      <c r="N219" s="12"/>
      <c r="O219" s="12"/>
      <c r="P219" s="12"/>
    </row>
    <row r="220">
      <c r="A220" s="12" t="s">
        <v>366</v>
      </c>
      <c r="B220" s="12" t="s">
        <v>364</v>
      </c>
      <c r="C220" s="12" t="s">
        <v>606</v>
      </c>
      <c r="D220" s="12" t="s">
        <v>608</v>
      </c>
      <c r="E220" s="1">
        <v>8.0</v>
      </c>
      <c r="F220" s="1">
        <v>213.0</v>
      </c>
      <c r="G220" s="24">
        <v>0.07222222222222222</v>
      </c>
      <c r="H220" s="20"/>
      <c r="I220" s="1" t="s">
        <v>369</v>
      </c>
      <c r="J220" s="1" t="s">
        <v>235</v>
      </c>
      <c r="K220" s="4"/>
      <c r="L220" s="4" t="s">
        <v>100</v>
      </c>
      <c r="M220" s="12"/>
      <c r="N220" s="12"/>
      <c r="O220" s="12"/>
      <c r="P220" s="12"/>
    </row>
    <row r="221">
      <c r="A221" s="12" t="s">
        <v>366</v>
      </c>
      <c r="B221" s="12" t="s">
        <v>364</v>
      </c>
      <c r="C221" s="12" t="s">
        <v>606</v>
      </c>
      <c r="D221" s="12" t="s">
        <v>610</v>
      </c>
      <c r="E221" s="1">
        <v>8.0</v>
      </c>
      <c r="F221" s="1">
        <v>213.0</v>
      </c>
      <c r="G221" s="24">
        <v>0.07222222222222222</v>
      </c>
      <c r="H221" s="20"/>
      <c r="I221" s="1" t="s">
        <v>369</v>
      </c>
      <c r="J221" s="1" t="s">
        <v>235</v>
      </c>
      <c r="K221" s="4"/>
      <c r="L221" s="4" t="s">
        <v>100</v>
      </c>
      <c r="M221" s="12"/>
      <c r="N221" s="12"/>
      <c r="O221" s="12"/>
      <c r="P221" s="12"/>
    </row>
    <row r="222">
      <c r="A222" s="12" t="s">
        <v>366</v>
      </c>
      <c r="B222" s="12" t="s">
        <v>364</v>
      </c>
      <c r="C222" s="12" t="s">
        <v>613</v>
      </c>
      <c r="D222" s="12" t="s">
        <v>614</v>
      </c>
      <c r="E222" s="1">
        <v>8.0</v>
      </c>
      <c r="F222" s="1">
        <v>217.0</v>
      </c>
      <c r="G222" s="24">
        <v>0.075</v>
      </c>
      <c r="H222" s="20"/>
      <c r="I222" s="1" t="s">
        <v>369</v>
      </c>
      <c r="J222" s="1" t="s">
        <v>235</v>
      </c>
      <c r="K222" s="4"/>
      <c r="L222" s="4" t="s">
        <v>100</v>
      </c>
      <c r="M222" s="35" t="s">
        <v>615</v>
      </c>
      <c r="N222" s="12"/>
      <c r="O222" s="12"/>
      <c r="P222" s="12"/>
    </row>
    <row r="223">
      <c r="A223" s="12" t="s">
        <v>366</v>
      </c>
      <c r="B223" s="12" t="s">
        <v>364</v>
      </c>
      <c r="C223" s="12" t="s">
        <v>613</v>
      </c>
      <c r="D223" s="12" t="s">
        <v>616</v>
      </c>
      <c r="E223" s="1">
        <v>8.0</v>
      </c>
      <c r="F223" s="1">
        <v>217.0</v>
      </c>
      <c r="G223" s="24">
        <v>0.075</v>
      </c>
      <c r="H223" s="20"/>
      <c r="I223" s="1" t="s">
        <v>369</v>
      </c>
      <c r="J223" s="1" t="s">
        <v>235</v>
      </c>
      <c r="K223" s="4"/>
      <c r="L223" s="4" t="s">
        <v>100</v>
      </c>
      <c r="O223" s="12"/>
      <c r="P223" s="12"/>
    </row>
    <row r="224">
      <c r="A224" s="12" t="s">
        <v>366</v>
      </c>
      <c r="B224" s="12" t="s">
        <v>364</v>
      </c>
      <c r="C224" s="12" t="s">
        <v>613</v>
      </c>
      <c r="D224" s="12" t="s">
        <v>617</v>
      </c>
      <c r="E224" s="1">
        <v>8.0</v>
      </c>
      <c r="F224" s="1">
        <v>217.0</v>
      </c>
      <c r="G224" s="24">
        <v>0.075</v>
      </c>
      <c r="H224" s="20"/>
      <c r="I224" s="1" t="s">
        <v>369</v>
      </c>
      <c r="J224" s="1" t="s">
        <v>235</v>
      </c>
      <c r="K224" s="4"/>
      <c r="L224" s="4" t="s">
        <v>100</v>
      </c>
      <c r="M224" s="12"/>
      <c r="N224" s="12"/>
      <c r="O224" s="12"/>
      <c r="P224" s="12"/>
    </row>
    <row r="225">
      <c r="A225" s="12" t="s">
        <v>366</v>
      </c>
      <c r="B225" s="12" t="s">
        <v>364</v>
      </c>
      <c r="C225" s="12" t="s">
        <v>613</v>
      </c>
      <c r="D225" s="12" t="s">
        <v>618</v>
      </c>
      <c r="E225" s="1">
        <v>8.0</v>
      </c>
      <c r="F225" s="1">
        <v>217.0</v>
      </c>
      <c r="G225" s="24">
        <v>0.07847222222222222</v>
      </c>
      <c r="H225" s="20"/>
      <c r="I225" s="1" t="s">
        <v>369</v>
      </c>
      <c r="J225" s="1" t="s">
        <v>235</v>
      </c>
      <c r="K225" s="4"/>
      <c r="L225" s="4" t="s">
        <v>100</v>
      </c>
      <c r="M225" s="35" t="s">
        <v>615</v>
      </c>
      <c r="N225" s="12"/>
      <c r="O225" s="12"/>
      <c r="P225" s="12"/>
    </row>
    <row r="226">
      <c r="A226" s="12" t="s">
        <v>366</v>
      </c>
      <c r="B226" s="12" t="s">
        <v>364</v>
      </c>
      <c r="C226" s="12" t="s">
        <v>613</v>
      </c>
      <c r="D226" s="12" t="s">
        <v>620</v>
      </c>
      <c r="E226" s="1">
        <v>8.0</v>
      </c>
      <c r="F226" s="1">
        <v>217.0</v>
      </c>
      <c r="G226" s="24">
        <v>0.07847222222222222</v>
      </c>
      <c r="H226" s="20"/>
      <c r="I226" s="1" t="s">
        <v>369</v>
      </c>
      <c r="J226" s="1" t="s">
        <v>235</v>
      </c>
      <c r="K226" s="4"/>
      <c r="L226" s="4" t="s">
        <v>100</v>
      </c>
      <c r="M226" s="12"/>
      <c r="N226" s="12"/>
      <c r="O226" s="12"/>
      <c r="P226" s="12"/>
    </row>
    <row r="227">
      <c r="A227" s="12" t="s">
        <v>366</v>
      </c>
      <c r="B227" s="12" t="s">
        <v>364</v>
      </c>
      <c r="C227" s="12" t="s">
        <v>613</v>
      </c>
      <c r="D227" s="12" t="s">
        <v>621</v>
      </c>
      <c r="E227" s="1">
        <v>8.0</v>
      </c>
      <c r="F227" s="1">
        <v>217.0</v>
      </c>
      <c r="G227" s="24">
        <v>0.07847222222222222</v>
      </c>
      <c r="H227" s="20"/>
      <c r="I227" s="1" t="s">
        <v>369</v>
      </c>
      <c r="J227" s="1" t="s">
        <v>235</v>
      </c>
      <c r="K227" s="4"/>
      <c r="L227" s="4" t="s">
        <v>100</v>
      </c>
      <c r="M227" s="12"/>
      <c r="N227" s="12"/>
      <c r="O227" s="12"/>
      <c r="P227" s="12"/>
    </row>
    <row r="228">
      <c r="A228" s="12" t="s">
        <v>366</v>
      </c>
      <c r="B228" s="12" t="s">
        <v>364</v>
      </c>
      <c r="C228" s="12" t="s">
        <v>570</v>
      </c>
      <c r="D228" s="12" t="s">
        <v>622</v>
      </c>
      <c r="E228" s="1">
        <v>8.0</v>
      </c>
      <c r="F228" s="1">
        <v>215.0</v>
      </c>
      <c r="G228" s="24">
        <v>0.08819444444444445</v>
      </c>
      <c r="H228" s="20"/>
      <c r="I228" s="1" t="s">
        <v>369</v>
      </c>
      <c r="J228" s="1" t="s">
        <v>235</v>
      </c>
      <c r="K228" s="4"/>
      <c r="L228" s="4" t="s">
        <v>100</v>
      </c>
      <c r="M228" s="12"/>
      <c r="N228" s="12"/>
      <c r="O228" s="12"/>
      <c r="P228" s="12"/>
    </row>
    <row r="229">
      <c r="A229" s="12" t="s">
        <v>366</v>
      </c>
      <c r="B229" s="12" t="s">
        <v>364</v>
      </c>
      <c r="C229" s="12" t="s">
        <v>570</v>
      </c>
      <c r="D229" s="12" t="s">
        <v>623</v>
      </c>
      <c r="E229" s="1">
        <v>8.0</v>
      </c>
      <c r="F229" s="1">
        <v>215.0</v>
      </c>
      <c r="G229" s="24">
        <v>0.08819444444444445</v>
      </c>
      <c r="H229" s="20"/>
      <c r="I229" s="1" t="s">
        <v>369</v>
      </c>
      <c r="J229" s="1" t="s">
        <v>235</v>
      </c>
      <c r="K229" s="4"/>
      <c r="L229" s="4" t="s">
        <v>100</v>
      </c>
      <c r="M229" s="12"/>
      <c r="N229" s="12"/>
      <c r="O229" s="12"/>
      <c r="P229" s="12"/>
    </row>
    <row r="230">
      <c r="A230" s="12" t="s">
        <v>366</v>
      </c>
      <c r="B230" s="12" t="s">
        <v>364</v>
      </c>
      <c r="C230" s="12" t="s">
        <v>570</v>
      </c>
      <c r="D230" s="12" t="s">
        <v>624</v>
      </c>
      <c r="E230" s="1">
        <v>8.0</v>
      </c>
      <c r="F230" s="1">
        <v>215.0</v>
      </c>
      <c r="G230" s="24">
        <v>0.08819444444444445</v>
      </c>
      <c r="H230" s="20"/>
      <c r="I230" s="1" t="s">
        <v>369</v>
      </c>
      <c r="J230" s="1" t="s">
        <v>235</v>
      </c>
      <c r="K230" s="4"/>
      <c r="L230" s="4" t="s">
        <v>100</v>
      </c>
      <c r="M230" s="12"/>
      <c r="N230" s="12"/>
      <c r="O230" s="12"/>
      <c r="P230" s="12"/>
    </row>
    <row r="231">
      <c r="A231" s="12" t="s">
        <v>366</v>
      </c>
      <c r="B231" s="12" t="s">
        <v>364</v>
      </c>
      <c r="C231" s="12" t="s">
        <v>625</v>
      </c>
      <c r="D231" s="12" t="s">
        <v>626</v>
      </c>
      <c r="E231" s="1">
        <v>8.0</v>
      </c>
      <c r="F231" s="1">
        <v>216.0</v>
      </c>
      <c r="G231" s="24">
        <v>0.08888888888888889</v>
      </c>
      <c r="H231" s="20"/>
      <c r="I231" s="1" t="s">
        <v>369</v>
      </c>
      <c r="J231" s="1" t="s">
        <v>235</v>
      </c>
      <c r="K231" s="4"/>
      <c r="L231" s="4" t="s">
        <v>100</v>
      </c>
      <c r="M231" s="12"/>
      <c r="N231" s="12"/>
      <c r="O231" s="12"/>
      <c r="P231" s="12"/>
    </row>
    <row r="232">
      <c r="A232" s="12" t="s">
        <v>366</v>
      </c>
      <c r="B232" s="12" t="s">
        <v>364</v>
      </c>
      <c r="C232" s="12" t="s">
        <v>625</v>
      </c>
      <c r="D232" s="12" t="s">
        <v>628</v>
      </c>
      <c r="E232" s="1">
        <v>8.0</v>
      </c>
      <c r="F232" s="1">
        <v>216.0</v>
      </c>
      <c r="G232" s="24">
        <v>0.08888888888888889</v>
      </c>
      <c r="H232" s="20"/>
      <c r="I232" s="1" t="s">
        <v>369</v>
      </c>
      <c r="J232" s="1" t="s">
        <v>235</v>
      </c>
      <c r="K232" s="4"/>
      <c r="L232" s="4" t="s">
        <v>100</v>
      </c>
      <c r="M232" s="12"/>
      <c r="N232" s="12"/>
      <c r="O232" s="12"/>
      <c r="P232" s="12"/>
    </row>
    <row r="233">
      <c r="A233" s="12" t="s">
        <v>366</v>
      </c>
      <c r="B233" s="12" t="s">
        <v>364</v>
      </c>
      <c r="C233" s="12" t="s">
        <v>625</v>
      </c>
      <c r="D233" s="12" t="s">
        <v>629</v>
      </c>
      <c r="E233" s="1">
        <v>8.0</v>
      </c>
      <c r="F233" s="1">
        <v>216.0</v>
      </c>
      <c r="G233" s="24">
        <v>0.08888888888888889</v>
      </c>
      <c r="H233" s="20"/>
      <c r="I233" s="1" t="s">
        <v>369</v>
      </c>
      <c r="J233" s="1" t="s">
        <v>235</v>
      </c>
      <c r="K233" s="4"/>
      <c r="L233" s="4" t="s">
        <v>100</v>
      </c>
      <c r="M233" s="12"/>
      <c r="N233" s="12"/>
      <c r="O233" s="12"/>
      <c r="P233" s="12"/>
    </row>
    <row r="234">
      <c r="A234" s="12" t="s">
        <v>366</v>
      </c>
      <c r="B234" s="12" t="s">
        <v>350</v>
      </c>
      <c r="C234" s="12" t="s">
        <v>351</v>
      </c>
      <c r="D234" s="12" t="s">
        <v>630</v>
      </c>
      <c r="E234" s="40">
        <v>5.0</v>
      </c>
      <c r="F234" s="40">
        <v>265.0</v>
      </c>
      <c r="G234" s="37">
        <v>0.10138888888888889</v>
      </c>
      <c r="H234" s="4"/>
      <c r="I234" s="4" t="s">
        <v>369</v>
      </c>
      <c r="J234" s="1" t="s">
        <v>98</v>
      </c>
      <c r="K234" s="30" t="s">
        <v>399</v>
      </c>
      <c r="L234" s="4" t="s">
        <v>100</v>
      </c>
      <c r="M234" s="12"/>
      <c r="N234" s="12"/>
      <c r="O234" s="12"/>
      <c r="P234" s="12"/>
    </row>
    <row r="235">
      <c r="A235" s="12" t="s">
        <v>366</v>
      </c>
      <c r="B235" s="12" t="s">
        <v>350</v>
      </c>
      <c r="C235" s="12" t="s">
        <v>351</v>
      </c>
      <c r="D235" s="12" t="s">
        <v>631</v>
      </c>
      <c r="E235" s="40">
        <v>5.0</v>
      </c>
      <c r="F235" s="40">
        <v>265.0</v>
      </c>
      <c r="G235" s="37">
        <v>0.10138888888888889</v>
      </c>
      <c r="H235" s="4"/>
      <c r="I235" s="4" t="s">
        <v>369</v>
      </c>
      <c r="J235" s="1" t="s">
        <v>98</v>
      </c>
      <c r="K235" s="30" t="s">
        <v>399</v>
      </c>
      <c r="L235" s="4" t="s">
        <v>100</v>
      </c>
      <c r="N235" s="12"/>
      <c r="O235" s="12"/>
      <c r="P235" s="12"/>
    </row>
    <row r="236">
      <c r="A236" s="12" t="s">
        <v>366</v>
      </c>
      <c r="B236" s="12" t="s">
        <v>350</v>
      </c>
      <c r="C236" s="12" t="s">
        <v>351</v>
      </c>
      <c r="D236" s="12" t="s">
        <v>632</v>
      </c>
      <c r="E236" s="40">
        <v>5.0</v>
      </c>
      <c r="F236" s="40">
        <v>265.0</v>
      </c>
      <c r="G236" s="37">
        <v>0.10138888888888889</v>
      </c>
      <c r="H236" s="4"/>
      <c r="I236" s="4" t="s">
        <v>369</v>
      </c>
      <c r="J236" s="1" t="s">
        <v>98</v>
      </c>
      <c r="K236" s="30" t="s">
        <v>399</v>
      </c>
      <c r="L236" s="4" t="s">
        <v>100</v>
      </c>
      <c r="M236" s="12"/>
      <c r="N236" s="12"/>
      <c r="O236" s="12"/>
      <c r="P236" s="12"/>
    </row>
    <row r="237">
      <c r="A237" s="12" t="s">
        <v>366</v>
      </c>
      <c r="B237" s="12" t="s">
        <v>350</v>
      </c>
      <c r="C237" s="12" t="s">
        <v>455</v>
      </c>
      <c r="D237" s="12" t="s">
        <v>633</v>
      </c>
      <c r="E237" s="40">
        <v>5.0</v>
      </c>
      <c r="F237" s="40">
        <v>257.0</v>
      </c>
      <c r="G237" s="37">
        <v>0.10277777777777777</v>
      </c>
      <c r="H237" s="4"/>
      <c r="I237" s="4" t="s">
        <v>369</v>
      </c>
      <c r="J237" s="1" t="s">
        <v>98</v>
      </c>
      <c r="K237" s="4"/>
      <c r="L237" s="4" t="s">
        <v>100</v>
      </c>
      <c r="M237" s="12"/>
      <c r="N237" s="12"/>
      <c r="O237" s="12"/>
      <c r="P237" s="12"/>
    </row>
    <row r="238">
      <c r="A238" s="12" t="s">
        <v>366</v>
      </c>
      <c r="B238" s="12" t="s">
        <v>350</v>
      </c>
      <c r="C238" s="12" t="s">
        <v>455</v>
      </c>
      <c r="D238" s="12" t="s">
        <v>634</v>
      </c>
      <c r="E238" s="40">
        <v>5.0</v>
      </c>
      <c r="F238" s="40">
        <v>257.0</v>
      </c>
      <c r="G238" s="37">
        <v>0.10277777777777777</v>
      </c>
      <c r="H238" s="4"/>
      <c r="I238" s="4" t="s">
        <v>369</v>
      </c>
      <c r="J238" s="1" t="s">
        <v>98</v>
      </c>
      <c r="K238" s="4"/>
      <c r="L238" s="4" t="s">
        <v>100</v>
      </c>
      <c r="M238" s="12"/>
      <c r="N238" s="12"/>
      <c r="O238" s="12"/>
      <c r="P238" s="12"/>
    </row>
    <row r="239">
      <c r="A239" s="12" t="s">
        <v>366</v>
      </c>
      <c r="B239" s="12" t="s">
        <v>350</v>
      </c>
      <c r="C239" s="12" t="s">
        <v>455</v>
      </c>
      <c r="D239" s="12" t="s">
        <v>635</v>
      </c>
      <c r="E239" s="40">
        <v>5.0</v>
      </c>
      <c r="F239" s="40">
        <v>257.0</v>
      </c>
      <c r="G239" s="37">
        <v>0.10277777777777777</v>
      </c>
      <c r="H239" s="4"/>
      <c r="I239" s="4" t="s">
        <v>369</v>
      </c>
      <c r="J239" s="1" t="s">
        <v>98</v>
      </c>
      <c r="K239" s="4"/>
      <c r="L239" s="4" t="s">
        <v>100</v>
      </c>
      <c r="M239" s="12"/>
      <c r="N239" s="12"/>
      <c r="O239" s="12"/>
      <c r="P239" s="12"/>
    </row>
    <row r="240">
      <c r="A240" s="12"/>
      <c r="B240" s="12"/>
      <c r="C240" s="12"/>
      <c r="D240" s="12"/>
      <c r="H240" s="20"/>
      <c r="J240" s="20"/>
      <c r="K240" s="20"/>
      <c r="L240" s="20"/>
      <c r="M240" s="12"/>
      <c r="N240" s="12"/>
      <c r="O240" s="12"/>
      <c r="P240" s="12"/>
    </row>
    <row r="241">
      <c r="A241" s="12"/>
      <c r="B241" s="12"/>
      <c r="C241" s="12"/>
      <c r="D241" s="12"/>
      <c r="H241" s="20"/>
      <c r="J241" s="20"/>
      <c r="K241" s="20"/>
      <c r="L241" s="20"/>
      <c r="M241" s="12"/>
      <c r="N241" s="12"/>
      <c r="O241" s="12"/>
      <c r="P241" s="12"/>
    </row>
    <row r="242">
      <c r="A242" s="12"/>
      <c r="B242" s="12"/>
      <c r="C242" s="12"/>
      <c r="D242" s="12"/>
      <c r="H242" s="20"/>
      <c r="J242" s="20"/>
      <c r="K242" s="20"/>
      <c r="L242" s="20"/>
      <c r="M242" s="12"/>
      <c r="N242" s="12"/>
      <c r="O242" s="12"/>
      <c r="P242" s="12"/>
    </row>
    <row r="243">
      <c r="A243" s="12"/>
      <c r="B243" s="12"/>
      <c r="C243" s="12"/>
      <c r="D243" s="12"/>
      <c r="H243" s="20"/>
      <c r="J243" s="20"/>
      <c r="K243" s="20"/>
      <c r="L243" s="20"/>
      <c r="M243" s="12"/>
      <c r="N243" s="12"/>
      <c r="O243" s="12"/>
      <c r="P243" s="12"/>
    </row>
    <row r="244">
      <c r="A244" s="12"/>
      <c r="B244" s="12"/>
      <c r="C244" s="12"/>
      <c r="D244" s="12"/>
      <c r="H244" s="20"/>
      <c r="J244" s="20"/>
      <c r="K244" s="20"/>
      <c r="L244" s="20"/>
      <c r="M244" s="12"/>
      <c r="N244" s="12"/>
      <c r="O244" s="12"/>
      <c r="P244" s="12"/>
    </row>
    <row r="245">
      <c r="A245" s="12"/>
      <c r="B245" s="12"/>
      <c r="C245" s="12"/>
      <c r="D245" s="12"/>
      <c r="H245" s="20"/>
      <c r="J245" s="20"/>
      <c r="K245" s="20"/>
      <c r="L245" s="20"/>
      <c r="M245" s="12"/>
      <c r="N245" s="12"/>
      <c r="O245" s="12"/>
      <c r="P245" s="12"/>
    </row>
    <row r="246">
      <c r="A246" s="12"/>
      <c r="B246" s="12"/>
      <c r="C246" s="12"/>
      <c r="D246" s="12"/>
      <c r="H246" s="20"/>
      <c r="J246" s="20"/>
      <c r="K246" s="20"/>
      <c r="L246" s="20"/>
      <c r="M246" s="12"/>
      <c r="N246" s="12"/>
      <c r="O246" s="12"/>
      <c r="P246" s="12"/>
    </row>
    <row r="247">
      <c r="A247" s="12"/>
      <c r="B247" s="12"/>
      <c r="C247" s="12"/>
      <c r="D247" s="12"/>
      <c r="H247" s="20"/>
      <c r="J247" s="20"/>
      <c r="K247" s="20"/>
      <c r="L247" s="20"/>
      <c r="M247" s="12"/>
      <c r="N247" s="12"/>
      <c r="O247" s="12"/>
      <c r="P247" s="12"/>
    </row>
    <row r="248">
      <c r="A248" s="12"/>
      <c r="B248" s="12"/>
      <c r="C248" s="12"/>
      <c r="D248" s="12"/>
      <c r="H248" s="20"/>
      <c r="J248" s="20"/>
      <c r="K248" s="20"/>
      <c r="L248" s="20"/>
      <c r="M248" s="12"/>
      <c r="N248" s="12"/>
      <c r="O248" s="12"/>
      <c r="P248" s="12"/>
    </row>
    <row r="249">
      <c r="A249" s="12"/>
      <c r="B249" s="12"/>
      <c r="C249" s="12"/>
      <c r="D249" s="12"/>
      <c r="H249" s="20"/>
      <c r="J249" s="20"/>
      <c r="K249" s="20"/>
      <c r="L249" s="20"/>
      <c r="M249" s="12"/>
      <c r="N249" s="12"/>
      <c r="O249" s="12"/>
      <c r="P249" s="12"/>
    </row>
    <row r="250">
      <c r="A250" s="12"/>
      <c r="B250" s="12"/>
      <c r="C250" s="12"/>
      <c r="D250" s="12"/>
      <c r="H250" s="20"/>
      <c r="J250" s="20"/>
      <c r="K250" s="20"/>
      <c r="L250" s="20"/>
      <c r="M250" s="12"/>
      <c r="N250" s="12"/>
      <c r="O250" s="12"/>
      <c r="P250" s="12"/>
    </row>
    <row r="251">
      <c r="A251" s="12"/>
      <c r="B251" s="12"/>
      <c r="C251" s="12"/>
      <c r="D251" s="12"/>
      <c r="H251" s="20"/>
      <c r="J251" s="20"/>
      <c r="K251" s="20"/>
      <c r="L251" s="20"/>
      <c r="M251" s="12"/>
      <c r="N251" s="12"/>
      <c r="O251" s="12"/>
      <c r="P251" s="12"/>
    </row>
    <row r="252">
      <c r="A252" s="12"/>
      <c r="B252" s="12"/>
      <c r="C252" s="12"/>
      <c r="D252" s="12"/>
      <c r="H252" s="20"/>
      <c r="J252" s="20"/>
      <c r="K252" s="20"/>
      <c r="L252" s="20"/>
      <c r="M252" s="12"/>
      <c r="N252" s="12"/>
      <c r="O252" s="12"/>
      <c r="P252" s="12"/>
    </row>
    <row r="253">
      <c r="A253" s="12"/>
      <c r="B253" s="12"/>
      <c r="C253" s="12"/>
      <c r="D253" s="12"/>
      <c r="H253" s="20"/>
      <c r="J253" s="20"/>
      <c r="K253" s="20"/>
      <c r="L253" s="20"/>
      <c r="M253" s="12"/>
      <c r="N253" s="12"/>
      <c r="O253" s="12"/>
      <c r="P253" s="12"/>
    </row>
    <row r="254">
      <c r="A254" s="12"/>
      <c r="B254" s="12"/>
      <c r="C254" s="12"/>
      <c r="D254" s="12"/>
      <c r="H254" s="20"/>
      <c r="J254" s="20"/>
      <c r="K254" s="20"/>
      <c r="L254" s="20"/>
      <c r="M254" s="12"/>
      <c r="N254" s="12"/>
      <c r="O254" s="12"/>
      <c r="P254" s="12"/>
    </row>
    <row r="255">
      <c r="A255" s="12"/>
      <c r="B255" s="12"/>
      <c r="C255" s="12"/>
      <c r="D255" s="12"/>
      <c r="H255" s="20"/>
      <c r="J255" s="20"/>
      <c r="K255" s="20"/>
      <c r="L255" s="20"/>
      <c r="M255" s="12"/>
      <c r="N255" s="12"/>
      <c r="O255" s="12"/>
      <c r="P255" s="12"/>
    </row>
    <row r="256">
      <c r="A256" s="12"/>
      <c r="B256" s="12"/>
      <c r="C256" s="12"/>
      <c r="D256" s="12"/>
      <c r="H256" s="20"/>
      <c r="J256" s="20"/>
      <c r="K256" s="20"/>
      <c r="L256" s="20"/>
      <c r="M256" s="12"/>
      <c r="N256" s="12"/>
      <c r="O256" s="12"/>
      <c r="P256" s="12"/>
    </row>
    <row r="257">
      <c r="A257" s="12"/>
      <c r="B257" s="12"/>
      <c r="C257" s="12"/>
      <c r="D257" s="12"/>
      <c r="H257" s="20"/>
      <c r="J257" s="20"/>
      <c r="K257" s="20"/>
      <c r="L257" s="20"/>
      <c r="M257" s="12"/>
      <c r="N257" s="12"/>
      <c r="O257" s="12"/>
      <c r="P257" s="12"/>
    </row>
    <row r="258">
      <c r="A258" s="12"/>
      <c r="B258" s="12"/>
      <c r="C258" s="12"/>
      <c r="D258" s="12"/>
      <c r="H258" s="20"/>
      <c r="J258" s="20"/>
      <c r="K258" s="20"/>
      <c r="L258" s="20"/>
      <c r="M258" s="12"/>
      <c r="N258" s="12"/>
      <c r="O258" s="12"/>
      <c r="P258" s="12"/>
    </row>
    <row r="259">
      <c r="A259" s="12"/>
      <c r="B259" s="12"/>
      <c r="C259" s="12"/>
      <c r="D259" s="12"/>
      <c r="H259" s="20"/>
      <c r="J259" s="20"/>
      <c r="K259" s="20"/>
      <c r="L259" s="20"/>
      <c r="M259" s="12"/>
      <c r="N259" s="12"/>
      <c r="O259" s="12"/>
      <c r="P259" s="12"/>
    </row>
    <row r="260">
      <c r="A260" s="12"/>
      <c r="B260" s="12"/>
      <c r="C260" s="12"/>
      <c r="D260" s="12"/>
      <c r="H260" s="20"/>
      <c r="J260" s="20"/>
      <c r="K260" s="20"/>
      <c r="L260" s="20"/>
      <c r="M260" s="12"/>
      <c r="N260" s="12"/>
      <c r="O260" s="12"/>
      <c r="P260" s="12"/>
    </row>
    <row r="261">
      <c r="A261" s="12"/>
      <c r="B261" s="12"/>
      <c r="C261" s="12"/>
      <c r="D261" s="12"/>
      <c r="H261" s="20"/>
      <c r="J261" s="20"/>
      <c r="K261" s="20"/>
      <c r="L261" s="20"/>
      <c r="M261" s="12"/>
      <c r="N261" s="12"/>
      <c r="O261" s="12"/>
      <c r="P261" s="12"/>
    </row>
    <row r="262">
      <c r="A262" s="12"/>
      <c r="B262" s="12"/>
      <c r="C262" s="12"/>
      <c r="D262" s="12"/>
      <c r="H262" s="20"/>
      <c r="J262" s="20"/>
      <c r="K262" s="20"/>
      <c r="L262" s="20"/>
      <c r="M262" s="12"/>
      <c r="N262" s="12"/>
      <c r="O262" s="12"/>
      <c r="P262" s="12"/>
    </row>
    <row r="263">
      <c r="A263" s="12"/>
      <c r="B263" s="12"/>
      <c r="C263" s="12"/>
      <c r="D263" s="12"/>
      <c r="H263" s="20"/>
      <c r="J263" s="20"/>
      <c r="K263" s="20"/>
      <c r="L263" s="20"/>
      <c r="M263" s="12"/>
      <c r="N263" s="12"/>
      <c r="O263" s="12"/>
      <c r="P263" s="12"/>
    </row>
    <row r="264">
      <c r="A264" s="12"/>
      <c r="B264" s="12"/>
      <c r="C264" s="12"/>
      <c r="D264" s="12"/>
      <c r="H264" s="20"/>
      <c r="J264" s="20"/>
      <c r="K264" s="20"/>
      <c r="L264" s="20"/>
      <c r="M264" s="12"/>
      <c r="N264" s="12"/>
      <c r="O264" s="12"/>
      <c r="P264" s="12"/>
    </row>
    <row r="265">
      <c r="A265" s="12"/>
      <c r="B265" s="12"/>
      <c r="C265" s="12"/>
      <c r="D265" s="12"/>
      <c r="H265" s="20"/>
      <c r="J265" s="20"/>
      <c r="K265" s="20"/>
      <c r="L265" s="20"/>
      <c r="M265" s="12"/>
      <c r="N265" s="12"/>
      <c r="O265" s="12"/>
      <c r="P265" s="12"/>
    </row>
    <row r="266">
      <c r="A266" s="12"/>
      <c r="B266" s="12"/>
      <c r="C266" s="12"/>
      <c r="D266" s="12"/>
      <c r="H266" s="20"/>
      <c r="J266" s="20"/>
      <c r="K266" s="20"/>
      <c r="L266" s="20"/>
      <c r="M266" s="12"/>
      <c r="N266" s="12"/>
      <c r="O266" s="12"/>
      <c r="P266" s="12"/>
    </row>
    <row r="267">
      <c r="A267" s="12"/>
      <c r="B267" s="12"/>
      <c r="C267" s="12"/>
      <c r="D267" s="12"/>
      <c r="H267" s="20"/>
      <c r="J267" s="20"/>
      <c r="K267" s="20"/>
      <c r="L267" s="20"/>
      <c r="M267" s="12"/>
      <c r="N267" s="12"/>
      <c r="O267" s="12"/>
      <c r="P267" s="12"/>
    </row>
    <row r="268">
      <c r="A268" s="12"/>
      <c r="B268" s="12"/>
      <c r="C268" s="12"/>
      <c r="D268" s="12"/>
      <c r="H268" s="20"/>
      <c r="J268" s="20"/>
      <c r="K268" s="20"/>
      <c r="L268" s="20"/>
      <c r="M268" s="12"/>
      <c r="N268" s="12"/>
      <c r="O268" s="12"/>
      <c r="P268" s="12"/>
    </row>
    <row r="269">
      <c r="A269" s="12"/>
      <c r="B269" s="12"/>
      <c r="C269" s="12"/>
      <c r="D269" s="12"/>
      <c r="H269" s="20"/>
      <c r="J269" s="20"/>
      <c r="K269" s="20"/>
      <c r="L269" s="20"/>
      <c r="M269" s="12"/>
      <c r="N269" s="12"/>
      <c r="O269" s="12"/>
      <c r="P269" s="12"/>
    </row>
    <row r="270">
      <c r="A270" s="12"/>
      <c r="B270" s="12"/>
      <c r="C270" s="12"/>
      <c r="D270" s="12"/>
      <c r="H270" s="20"/>
      <c r="J270" s="20"/>
      <c r="K270" s="20"/>
      <c r="L270" s="20"/>
      <c r="M270" s="12"/>
      <c r="N270" s="12"/>
      <c r="O270" s="12"/>
      <c r="P270" s="12"/>
    </row>
    <row r="271">
      <c r="A271" s="12"/>
      <c r="B271" s="12"/>
      <c r="C271" s="12"/>
      <c r="D271" s="12"/>
      <c r="H271" s="20"/>
      <c r="J271" s="20"/>
      <c r="K271" s="20"/>
      <c r="L271" s="20"/>
      <c r="M271" s="12"/>
      <c r="N271" s="12"/>
      <c r="O271" s="12"/>
      <c r="P271" s="12"/>
    </row>
    <row r="272">
      <c r="A272" s="12"/>
      <c r="B272" s="12"/>
      <c r="C272" s="12"/>
      <c r="D272" s="12"/>
      <c r="H272" s="20"/>
      <c r="J272" s="20"/>
      <c r="K272" s="20"/>
      <c r="L272" s="20"/>
      <c r="M272" s="12"/>
      <c r="N272" s="12"/>
      <c r="O272" s="12"/>
      <c r="P272" s="12"/>
    </row>
    <row r="273">
      <c r="A273" s="12"/>
      <c r="B273" s="12"/>
      <c r="C273" s="12"/>
      <c r="D273" s="12"/>
      <c r="H273" s="20"/>
      <c r="J273" s="20"/>
      <c r="K273" s="20"/>
      <c r="L273" s="20"/>
      <c r="M273" s="12"/>
      <c r="N273" s="12"/>
      <c r="O273" s="12"/>
      <c r="P273" s="12"/>
    </row>
    <row r="274">
      <c r="A274" s="12"/>
      <c r="B274" s="12"/>
      <c r="C274" s="12"/>
      <c r="D274" s="12"/>
      <c r="H274" s="20"/>
      <c r="J274" s="20"/>
      <c r="K274" s="20"/>
      <c r="L274" s="20"/>
      <c r="M274" s="12"/>
      <c r="N274" s="12"/>
      <c r="O274" s="12"/>
      <c r="P274" s="12"/>
    </row>
    <row r="275">
      <c r="A275" s="12"/>
      <c r="B275" s="12"/>
      <c r="C275" s="12"/>
      <c r="D275" s="12"/>
      <c r="H275" s="20"/>
      <c r="J275" s="20"/>
      <c r="K275" s="20"/>
      <c r="L275" s="20"/>
      <c r="M275" s="12"/>
      <c r="N275" s="12"/>
      <c r="O275" s="12"/>
      <c r="P275" s="12"/>
    </row>
    <row r="276">
      <c r="A276" s="12"/>
      <c r="B276" s="12"/>
      <c r="C276" s="12"/>
      <c r="D276" s="12"/>
      <c r="H276" s="20"/>
      <c r="J276" s="20"/>
      <c r="K276" s="20"/>
      <c r="L276" s="20"/>
      <c r="M276" s="12"/>
      <c r="N276" s="12"/>
      <c r="O276" s="12"/>
      <c r="P276" s="12"/>
    </row>
    <row r="277">
      <c r="A277" s="12"/>
      <c r="B277" s="12"/>
      <c r="C277" s="12"/>
      <c r="D277" s="12"/>
      <c r="H277" s="20"/>
      <c r="J277" s="20"/>
      <c r="K277" s="20"/>
      <c r="L277" s="20"/>
      <c r="M277" s="12"/>
      <c r="N277" s="12"/>
      <c r="O277" s="12"/>
      <c r="P277" s="12"/>
    </row>
    <row r="278">
      <c r="A278" s="12"/>
      <c r="B278" s="12"/>
      <c r="C278" s="12"/>
      <c r="D278" s="12"/>
      <c r="H278" s="20"/>
      <c r="J278" s="20"/>
      <c r="K278" s="20"/>
      <c r="L278" s="20"/>
      <c r="M278" s="12"/>
      <c r="N278" s="12"/>
      <c r="O278" s="12"/>
      <c r="P278" s="12"/>
    </row>
    <row r="279">
      <c r="A279" s="12"/>
      <c r="B279" s="12"/>
      <c r="C279" s="12"/>
      <c r="D279" s="12"/>
      <c r="H279" s="20"/>
      <c r="J279" s="20"/>
      <c r="K279" s="20"/>
      <c r="L279" s="20"/>
      <c r="M279" s="12"/>
      <c r="N279" s="12"/>
      <c r="O279" s="12"/>
      <c r="P279" s="12"/>
    </row>
    <row r="280">
      <c r="A280" s="12"/>
      <c r="B280" s="12"/>
      <c r="C280" s="12"/>
      <c r="D280" s="12"/>
      <c r="H280" s="20"/>
      <c r="J280" s="20"/>
      <c r="K280" s="20"/>
      <c r="L280" s="20"/>
      <c r="M280" s="12"/>
      <c r="N280" s="12"/>
      <c r="O280" s="12"/>
      <c r="P280" s="12"/>
    </row>
    <row r="281">
      <c r="A281" s="12"/>
      <c r="B281" s="12"/>
      <c r="C281" s="12"/>
      <c r="D281" s="12"/>
      <c r="H281" s="20"/>
      <c r="J281" s="20"/>
      <c r="K281" s="20"/>
      <c r="L281" s="20"/>
      <c r="M281" s="12"/>
      <c r="N281" s="12"/>
      <c r="O281" s="12"/>
      <c r="P281" s="12"/>
    </row>
    <row r="282">
      <c r="A282" s="12"/>
      <c r="B282" s="12"/>
      <c r="C282" s="12"/>
      <c r="D282" s="12"/>
      <c r="H282" s="20"/>
      <c r="J282" s="20"/>
      <c r="K282" s="20"/>
      <c r="L282" s="20"/>
      <c r="M282" s="12"/>
      <c r="N282" s="12"/>
      <c r="O282" s="12"/>
      <c r="P282" s="12"/>
    </row>
    <row r="283">
      <c r="A283" s="12"/>
      <c r="B283" s="12"/>
      <c r="C283" s="12"/>
      <c r="D283" s="12"/>
      <c r="H283" s="20"/>
      <c r="J283" s="20"/>
      <c r="K283" s="20"/>
      <c r="L283" s="20"/>
      <c r="M283" s="12"/>
      <c r="N283" s="12"/>
      <c r="O283" s="12"/>
      <c r="P283" s="12"/>
    </row>
    <row r="284">
      <c r="A284" s="12"/>
      <c r="B284" s="12"/>
      <c r="C284" s="12"/>
      <c r="D284" s="12"/>
      <c r="H284" s="20"/>
      <c r="J284" s="20"/>
      <c r="K284" s="20"/>
      <c r="L284" s="20"/>
      <c r="M284" s="12"/>
      <c r="N284" s="12"/>
      <c r="O284" s="12"/>
      <c r="P284" s="12"/>
    </row>
    <row r="285">
      <c r="A285" s="12"/>
      <c r="B285" s="12"/>
      <c r="C285" s="12"/>
      <c r="D285" s="12"/>
      <c r="H285" s="20"/>
      <c r="J285" s="20"/>
      <c r="K285" s="20"/>
      <c r="L285" s="20"/>
      <c r="M285" s="12"/>
      <c r="N285" s="12"/>
      <c r="O285" s="12"/>
      <c r="P285" s="12"/>
    </row>
    <row r="286">
      <c r="A286" s="12"/>
      <c r="B286" s="12"/>
      <c r="C286" s="12"/>
      <c r="D286" s="12"/>
      <c r="H286" s="20"/>
      <c r="J286" s="20"/>
      <c r="K286" s="20"/>
      <c r="L286" s="20"/>
      <c r="M286" s="12"/>
      <c r="N286" s="12"/>
      <c r="O286" s="12"/>
      <c r="P286" s="12"/>
    </row>
    <row r="287">
      <c r="A287" s="12"/>
      <c r="B287" s="12"/>
      <c r="C287" s="12"/>
      <c r="D287" s="12"/>
      <c r="H287" s="20"/>
      <c r="J287" s="20"/>
      <c r="K287" s="20"/>
      <c r="L287" s="20"/>
      <c r="M287" s="12"/>
      <c r="N287" s="12"/>
      <c r="O287" s="12"/>
      <c r="P287" s="12"/>
    </row>
    <row r="288">
      <c r="A288" s="12"/>
      <c r="B288" s="12"/>
      <c r="C288" s="12"/>
      <c r="D288" s="12"/>
      <c r="H288" s="20"/>
      <c r="J288" s="20"/>
      <c r="K288" s="20"/>
      <c r="L288" s="20"/>
      <c r="M288" s="12"/>
      <c r="N288" s="12"/>
      <c r="O288" s="12"/>
      <c r="P288" s="12"/>
    </row>
    <row r="289">
      <c r="A289" s="12"/>
      <c r="B289" s="12"/>
      <c r="C289" s="12"/>
      <c r="D289" s="12"/>
      <c r="H289" s="20"/>
      <c r="J289" s="20"/>
      <c r="K289" s="20"/>
      <c r="L289" s="20"/>
      <c r="M289" s="12"/>
      <c r="N289" s="12"/>
      <c r="O289" s="12"/>
      <c r="P289" s="12"/>
    </row>
    <row r="290">
      <c r="A290" s="12"/>
      <c r="B290" s="12"/>
      <c r="C290" s="12"/>
      <c r="D290" s="12"/>
      <c r="H290" s="20"/>
      <c r="J290" s="20"/>
      <c r="K290" s="20"/>
      <c r="L290" s="20"/>
      <c r="M290" s="12"/>
      <c r="N290" s="12"/>
      <c r="O290" s="12"/>
      <c r="P290" s="12"/>
    </row>
    <row r="291">
      <c r="A291" s="12"/>
      <c r="B291" s="12"/>
      <c r="C291" s="12"/>
      <c r="D291" s="12"/>
      <c r="H291" s="20"/>
      <c r="J291" s="20"/>
      <c r="K291" s="20"/>
      <c r="L291" s="20"/>
      <c r="M291" s="12"/>
      <c r="N291" s="12"/>
      <c r="O291" s="12"/>
      <c r="P291" s="12"/>
    </row>
    <row r="292">
      <c r="A292" s="12"/>
      <c r="B292" s="12"/>
      <c r="C292" s="12"/>
      <c r="D292" s="12"/>
      <c r="H292" s="20"/>
      <c r="J292" s="20"/>
      <c r="K292" s="20"/>
      <c r="L292" s="20"/>
      <c r="M292" s="12"/>
      <c r="N292" s="12"/>
      <c r="O292" s="12"/>
      <c r="P292" s="12"/>
    </row>
    <row r="293">
      <c r="A293" s="12"/>
      <c r="B293" s="12"/>
      <c r="C293" s="12"/>
      <c r="D293" s="12"/>
      <c r="H293" s="20"/>
      <c r="J293" s="20"/>
      <c r="K293" s="20"/>
      <c r="L293" s="20"/>
      <c r="M293" s="12"/>
      <c r="N293" s="12"/>
      <c r="O293" s="12"/>
      <c r="P293" s="12"/>
    </row>
    <row r="294">
      <c r="A294" s="12"/>
      <c r="B294" s="12"/>
      <c r="C294" s="12"/>
      <c r="D294" s="12"/>
      <c r="H294" s="20"/>
      <c r="J294" s="20"/>
      <c r="K294" s="20"/>
      <c r="L294" s="20"/>
      <c r="M294" s="12"/>
      <c r="N294" s="12"/>
      <c r="O294" s="12"/>
      <c r="P294" s="12"/>
    </row>
    <row r="295">
      <c r="A295" s="12"/>
      <c r="B295" s="12"/>
      <c r="C295" s="12"/>
      <c r="D295" s="12"/>
      <c r="H295" s="20"/>
      <c r="J295" s="20"/>
      <c r="K295" s="20"/>
      <c r="L295" s="20"/>
      <c r="M295" s="12"/>
      <c r="N295" s="12"/>
      <c r="O295" s="12"/>
      <c r="P295" s="12"/>
    </row>
    <row r="296">
      <c r="A296" s="12"/>
      <c r="B296" s="12"/>
      <c r="C296" s="12"/>
      <c r="D296" s="12"/>
      <c r="H296" s="20"/>
      <c r="J296" s="20"/>
      <c r="K296" s="20"/>
      <c r="L296" s="20"/>
      <c r="M296" s="12"/>
      <c r="N296" s="12"/>
      <c r="O296" s="12"/>
      <c r="P296" s="12"/>
    </row>
    <row r="297">
      <c r="A297" s="12"/>
      <c r="B297" s="12"/>
      <c r="C297" s="12"/>
      <c r="D297" s="12"/>
      <c r="H297" s="20"/>
      <c r="J297" s="20"/>
      <c r="K297" s="20"/>
      <c r="L297" s="20"/>
      <c r="M297" s="12"/>
      <c r="N297" s="12"/>
      <c r="O297" s="12"/>
      <c r="P297" s="12"/>
    </row>
    <row r="298">
      <c r="A298" s="12"/>
      <c r="B298" s="12"/>
      <c r="C298" s="12"/>
      <c r="D298" s="12"/>
      <c r="H298" s="20"/>
      <c r="J298" s="20"/>
      <c r="K298" s="20"/>
      <c r="L298" s="20"/>
      <c r="M298" s="12"/>
      <c r="N298" s="12"/>
      <c r="O298" s="12"/>
      <c r="P298" s="12"/>
    </row>
    <row r="299">
      <c r="A299" s="12"/>
      <c r="B299" s="12"/>
      <c r="C299" s="12"/>
      <c r="D299" s="12"/>
      <c r="H299" s="20"/>
      <c r="J299" s="20"/>
      <c r="K299" s="20"/>
      <c r="L299" s="20"/>
      <c r="M299" s="12"/>
      <c r="N299" s="12"/>
      <c r="O299" s="12"/>
      <c r="P299" s="12"/>
    </row>
    <row r="300">
      <c r="A300" s="12"/>
      <c r="B300" s="12"/>
      <c r="C300" s="12"/>
      <c r="D300" s="12"/>
      <c r="H300" s="20"/>
      <c r="J300" s="20"/>
      <c r="K300" s="20"/>
      <c r="L300" s="20"/>
      <c r="M300" s="12"/>
      <c r="N300" s="12"/>
      <c r="O300" s="12"/>
      <c r="P300" s="12"/>
    </row>
    <row r="301">
      <c r="A301" s="12"/>
      <c r="B301" s="12"/>
      <c r="C301" s="12"/>
      <c r="D301" s="12"/>
      <c r="H301" s="20"/>
      <c r="J301" s="20"/>
      <c r="K301" s="20"/>
      <c r="L301" s="20"/>
      <c r="M301" s="12"/>
      <c r="N301" s="12"/>
      <c r="O301" s="12"/>
      <c r="P301" s="12"/>
    </row>
    <row r="302">
      <c r="A302" s="12"/>
      <c r="B302" s="12"/>
      <c r="C302" s="12"/>
      <c r="D302" s="12"/>
      <c r="H302" s="20"/>
      <c r="J302" s="20"/>
      <c r="K302" s="20"/>
      <c r="L302" s="20"/>
      <c r="M302" s="12"/>
      <c r="N302" s="12"/>
      <c r="O302" s="12"/>
      <c r="P302" s="12"/>
    </row>
    <row r="303">
      <c r="A303" s="12"/>
      <c r="B303" s="12"/>
      <c r="C303" s="12"/>
      <c r="D303" s="12"/>
      <c r="H303" s="20"/>
      <c r="J303" s="20"/>
      <c r="K303" s="20"/>
      <c r="L303" s="20"/>
      <c r="M303" s="12"/>
      <c r="N303" s="12"/>
      <c r="O303" s="12"/>
      <c r="P303" s="12"/>
    </row>
    <row r="304">
      <c r="A304" s="12"/>
      <c r="B304" s="12"/>
      <c r="C304" s="12"/>
      <c r="D304" s="12"/>
      <c r="H304" s="20"/>
      <c r="J304" s="20"/>
      <c r="K304" s="20"/>
      <c r="L304" s="20"/>
      <c r="M304" s="12"/>
      <c r="N304" s="12"/>
      <c r="O304" s="12"/>
      <c r="P304" s="12"/>
    </row>
    <row r="305">
      <c r="A305" s="12"/>
      <c r="B305" s="12"/>
      <c r="C305" s="12"/>
      <c r="D305" s="12"/>
      <c r="H305" s="20"/>
      <c r="J305" s="20"/>
      <c r="K305" s="20"/>
      <c r="L305" s="20"/>
      <c r="M305" s="12"/>
      <c r="N305" s="12"/>
      <c r="O305" s="12"/>
      <c r="P305" s="12"/>
    </row>
    <row r="306">
      <c r="A306" s="12"/>
      <c r="B306" s="12"/>
      <c r="C306" s="12"/>
      <c r="D306" s="12"/>
      <c r="H306" s="20"/>
      <c r="J306" s="20"/>
      <c r="K306" s="20"/>
      <c r="L306" s="20"/>
      <c r="M306" s="12"/>
      <c r="N306" s="12"/>
      <c r="O306" s="12"/>
      <c r="P306" s="12"/>
    </row>
    <row r="307">
      <c r="A307" s="12"/>
      <c r="B307" s="12"/>
      <c r="C307" s="12"/>
      <c r="D307" s="12"/>
      <c r="H307" s="20"/>
      <c r="J307" s="20"/>
      <c r="K307" s="20"/>
      <c r="L307" s="20"/>
      <c r="M307" s="12"/>
      <c r="N307" s="12"/>
      <c r="O307" s="12"/>
      <c r="P307" s="12"/>
    </row>
    <row r="308">
      <c r="A308" s="12"/>
      <c r="B308" s="12"/>
      <c r="C308" s="12"/>
      <c r="D308" s="12"/>
      <c r="H308" s="20"/>
      <c r="J308" s="20"/>
      <c r="K308" s="20"/>
      <c r="L308" s="20"/>
      <c r="M308" s="12"/>
      <c r="N308" s="12"/>
      <c r="O308" s="12"/>
      <c r="P308" s="12"/>
    </row>
    <row r="309">
      <c r="A309" s="12"/>
      <c r="B309" s="12"/>
      <c r="C309" s="12"/>
      <c r="D309" s="12"/>
      <c r="H309" s="20"/>
      <c r="J309" s="20"/>
      <c r="K309" s="20"/>
      <c r="L309" s="20"/>
      <c r="M309" s="12"/>
      <c r="N309" s="12"/>
      <c r="O309" s="12"/>
      <c r="P309" s="12"/>
    </row>
    <row r="310">
      <c r="A310" s="12"/>
      <c r="B310" s="12"/>
      <c r="C310" s="12"/>
      <c r="D310" s="12"/>
      <c r="H310" s="20"/>
      <c r="J310" s="20"/>
      <c r="K310" s="20"/>
      <c r="L310" s="20"/>
      <c r="M310" s="12"/>
      <c r="N310" s="12"/>
      <c r="O310" s="12"/>
      <c r="P310" s="12"/>
    </row>
    <row r="311">
      <c r="A311" s="12"/>
      <c r="B311" s="12"/>
      <c r="C311" s="12"/>
      <c r="D311" s="12"/>
      <c r="H311" s="20"/>
      <c r="J311" s="20"/>
      <c r="K311" s="20"/>
      <c r="L311" s="20"/>
      <c r="M311" s="12"/>
      <c r="N311" s="12"/>
      <c r="O311" s="12"/>
      <c r="P311" s="12"/>
    </row>
    <row r="312">
      <c r="A312" s="12"/>
      <c r="B312" s="12"/>
      <c r="C312" s="12"/>
      <c r="D312" s="12"/>
      <c r="H312" s="20"/>
      <c r="J312" s="20"/>
      <c r="K312" s="20"/>
      <c r="L312" s="20"/>
      <c r="M312" s="12"/>
      <c r="N312" s="12"/>
      <c r="O312" s="12"/>
      <c r="P312" s="12"/>
    </row>
    <row r="313">
      <c r="A313" s="12"/>
      <c r="B313" s="12"/>
      <c r="C313" s="12"/>
      <c r="D313" s="12"/>
      <c r="H313" s="20"/>
      <c r="J313" s="20"/>
      <c r="K313" s="20"/>
      <c r="L313" s="20"/>
      <c r="M313" s="12"/>
      <c r="N313" s="12"/>
      <c r="O313" s="12"/>
      <c r="P313" s="12"/>
    </row>
    <row r="314">
      <c r="A314" s="12"/>
      <c r="B314" s="12"/>
      <c r="C314" s="12"/>
      <c r="D314" s="12"/>
      <c r="H314" s="20"/>
      <c r="J314" s="20"/>
      <c r="K314" s="20"/>
      <c r="L314" s="20"/>
      <c r="M314" s="12"/>
      <c r="N314" s="12"/>
      <c r="O314" s="12"/>
      <c r="P314" s="12"/>
    </row>
    <row r="315">
      <c r="A315" s="12"/>
      <c r="B315" s="12"/>
      <c r="C315" s="12"/>
      <c r="D315" s="12"/>
      <c r="H315" s="20"/>
      <c r="J315" s="20"/>
      <c r="K315" s="20"/>
      <c r="L315" s="20"/>
      <c r="M315" s="12"/>
      <c r="N315" s="12"/>
      <c r="O315" s="12"/>
      <c r="P315" s="12"/>
    </row>
    <row r="316">
      <c r="A316" s="12"/>
      <c r="B316" s="12"/>
      <c r="C316" s="12"/>
      <c r="D316" s="12"/>
      <c r="H316" s="20"/>
      <c r="J316" s="20"/>
      <c r="K316" s="20"/>
      <c r="L316" s="20"/>
      <c r="M316" s="12"/>
      <c r="N316" s="12"/>
      <c r="O316" s="12"/>
      <c r="P316" s="12"/>
    </row>
    <row r="317">
      <c r="A317" s="12"/>
      <c r="B317" s="12"/>
      <c r="C317" s="12"/>
      <c r="D317" s="12"/>
      <c r="H317" s="20"/>
      <c r="J317" s="20"/>
      <c r="K317" s="20"/>
      <c r="L317" s="20"/>
      <c r="M317" s="12"/>
      <c r="N317" s="12"/>
      <c r="O317" s="12"/>
      <c r="P317" s="12"/>
    </row>
    <row r="318">
      <c r="A318" s="12"/>
      <c r="B318" s="12"/>
      <c r="C318" s="12"/>
      <c r="D318" s="12"/>
      <c r="H318" s="20"/>
      <c r="J318" s="20"/>
      <c r="K318" s="20"/>
      <c r="L318" s="20"/>
      <c r="M318" s="12"/>
      <c r="N318" s="12"/>
      <c r="O318" s="12"/>
      <c r="P318" s="12"/>
    </row>
    <row r="319">
      <c r="A319" s="12"/>
      <c r="B319" s="12"/>
      <c r="C319" s="12"/>
      <c r="D319" s="12"/>
      <c r="H319" s="20"/>
      <c r="J319" s="20"/>
      <c r="K319" s="20"/>
      <c r="L319" s="20"/>
      <c r="M319" s="12"/>
      <c r="N319" s="12"/>
      <c r="O319" s="12"/>
      <c r="P319" s="12"/>
    </row>
    <row r="320">
      <c r="A320" s="12"/>
      <c r="B320" s="12"/>
      <c r="C320" s="12"/>
      <c r="D320" s="12"/>
      <c r="H320" s="20"/>
      <c r="J320" s="20"/>
      <c r="K320" s="20"/>
      <c r="L320" s="20"/>
      <c r="M320" s="12"/>
      <c r="N320" s="12"/>
      <c r="O320" s="12"/>
      <c r="P320" s="12"/>
    </row>
    <row r="321">
      <c r="A321" s="12"/>
      <c r="B321" s="12"/>
      <c r="C321" s="12"/>
      <c r="D321" s="12"/>
      <c r="H321" s="20"/>
      <c r="J321" s="20"/>
      <c r="K321" s="20"/>
      <c r="L321" s="20"/>
      <c r="M321" s="12"/>
      <c r="N321" s="12"/>
      <c r="O321" s="12"/>
      <c r="P321" s="12"/>
    </row>
    <row r="322">
      <c r="A322" s="12"/>
      <c r="B322" s="12"/>
      <c r="C322" s="12"/>
      <c r="D322" s="12"/>
      <c r="H322" s="20"/>
      <c r="J322" s="20"/>
      <c r="K322" s="20"/>
      <c r="L322" s="20"/>
      <c r="M322" s="12"/>
      <c r="N322" s="12"/>
      <c r="O322" s="12"/>
      <c r="P322" s="12"/>
    </row>
    <row r="323">
      <c r="A323" s="12"/>
      <c r="B323" s="12"/>
      <c r="C323" s="12"/>
      <c r="D323" s="12"/>
      <c r="H323" s="20"/>
      <c r="J323" s="20"/>
      <c r="K323" s="20"/>
      <c r="L323" s="20"/>
      <c r="M323" s="12"/>
      <c r="N323" s="12"/>
      <c r="O323" s="12"/>
      <c r="P323" s="12"/>
    </row>
    <row r="324">
      <c r="A324" s="12"/>
      <c r="B324" s="12"/>
      <c r="C324" s="12"/>
      <c r="D324" s="12"/>
      <c r="H324" s="20"/>
      <c r="J324" s="20"/>
      <c r="K324" s="20"/>
      <c r="L324" s="20"/>
      <c r="M324" s="12"/>
      <c r="N324" s="12"/>
      <c r="O324" s="12"/>
      <c r="P324" s="12"/>
    </row>
    <row r="325">
      <c r="A325" s="12"/>
      <c r="B325" s="12"/>
      <c r="C325" s="12"/>
      <c r="D325" s="12"/>
      <c r="H325" s="20"/>
      <c r="J325" s="20"/>
      <c r="K325" s="20"/>
      <c r="L325" s="20"/>
      <c r="M325" s="12"/>
      <c r="N325" s="12"/>
      <c r="O325" s="12"/>
      <c r="P325" s="12"/>
    </row>
    <row r="326">
      <c r="A326" s="12"/>
      <c r="B326" s="12"/>
      <c r="C326" s="12"/>
      <c r="D326" s="12"/>
      <c r="H326" s="20"/>
      <c r="J326" s="20"/>
      <c r="K326" s="20"/>
      <c r="L326" s="20"/>
      <c r="M326" s="12"/>
      <c r="N326" s="12"/>
      <c r="O326" s="12"/>
      <c r="P326" s="12"/>
    </row>
    <row r="327">
      <c r="A327" s="12"/>
      <c r="B327" s="12"/>
      <c r="C327" s="12"/>
      <c r="D327" s="12"/>
      <c r="H327" s="20"/>
      <c r="J327" s="20"/>
      <c r="K327" s="20"/>
      <c r="L327" s="20"/>
      <c r="M327" s="12"/>
      <c r="N327" s="12"/>
      <c r="O327" s="12"/>
      <c r="P327" s="12"/>
    </row>
    <row r="328">
      <c r="A328" s="12"/>
      <c r="B328" s="12"/>
      <c r="C328" s="12"/>
      <c r="D328" s="12"/>
      <c r="H328" s="20"/>
      <c r="J328" s="20"/>
      <c r="K328" s="20"/>
      <c r="L328" s="20"/>
      <c r="M328" s="12"/>
      <c r="N328" s="12"/>
      <c r="O328" s="12"/>
      <c r="P328" s="12"/>
    </row>
    <row r="329">
      <c r="A329" s="12"/>
      <c r="B329" s="12"/>
      <c r="C329" s="12"/>
      <c r="D329" s="12"/>
      <c r="H329" s="20"/>
      <c r="J329" s="20"/>
      <c r="K329" s="20"/>
      <c r="L329" s="20"/>
      <c r="M329" s="12"/>
      <c r="N329" s="12"/>
      <c r="O329" s="12"/>
      <c r="P329" s="12"/>
    </row>
    <row r="330">
      <c r="A330" s="12"/>
      <c r="B330" s="12"/>
      <c r="C330" s="12"/>
      <c r="D330" s="12"/>
      <c r="H330" s="20"/>
      <c r="J330" s="20"/>
      <c r="K330" s="20"/>
      <c r="L330" s="20"/>
      <c r="M330" s="12"/>
      <c r="N330" s="12"/>
      <c r="O330" s="12"/>
      <c r="P330" s="12"/>
    </row>
    <row r="331">
      <c r="A331" s="12"/>
      <c r="B331" s="12"/>
      <c r="C331" s="12"/>
      <c r="D331" s="12"/>
      <c r="H331" s="20"/>
      <c r="J331" s="20"/>
      <c r="K331" s="20"/>
      <c r="L331" s="20"/>
      <c r="M331" s="12"/>
      <c r="N331" s="12"/>
      <c r="O331" s="12"/>
      <c r="P331" s="12"/>
    </row>
    <row r="332">
      <c r="A332" s="12"/>
      <c r="B332" s="12"/>
      <c r="C332" s="12"/>
      <c r="D332" s="12"/>
      <c r="H332" s="20"/>
      <c r="J332" s="20"/>
      <c r="K332" s="20"/>
      <c r="L332" s="20"/>
      <c r="M332" s="12"/>
      <c r="N332" s="12"/>
      <c r="O332" s="12"/>
      <c r="P332" s="12"/>
    </row>
    <row r="333">
      <c r="A333" s="12"/>
      <c r="B333" s="12"/>
      <c r="C333" s="12"/>
      <c r="D333" s="12"/>
      <c r="H333" s="20"/>
      <c r="J333" s="20"/>
      <c r="K333" s="20"/>
      <c r="L333" s="20"/>
      <c r="M333" s="12"/>
      <c r="N333" s="12"/>
      <c r="O333" s="12"/>
      <c r="P333" s="12"/>
    </row>
    <row r="334">
      <c r="A334" s="12"/>
      <c r="B334" s="12"/>
      <c r="C334" s="12"/>
      <c r="D334" s="12"/>
      <c r="H334" s="20"/>
      <c r="J334" s="20"/>
      <c r="K334" s="20"/>
      <c r="L334" s="20"/>
      <c r="M334" s="12"/>
      <c r="N334" s="12"/>
      <c r="O334" s="12"/>
      <c r="P334" s="12"/>
    </row>
    <row r="335">
      <c r="A335" s="12"/>
      <c r="B335" s="12"/>
      <c r="C335" s="12"/>
      <c r="D335" s="12"/>
      <c r="H335" s="20"/>
      <c r="J335" s="20"/>
      <c r="K335" s="20"/>
      <c r="L335" s="20"/>
      <c r="M335" s="12"/>
      <c r="N335" s="12"/>
      <c r="O335" s="12"/>
      <c r="P335" s="12"/>
    </row>
    <row r="336">
      <c r="A336" s="12"/>
      <c r="B336" s="12"/>
      <c r="C336" s="12"/>
      <c r="D336" s="12"/>
      <c r="H336" s="20"/>
      <c r="J336" s="20"/>
      <c r="K336" s="20"/>
      <c r="L336" s="20"/>
      <c r="M336" s="12"/>
      <c r="N336" s="12"/>
      <c r="O336" s="12"/>
      <c r="P336" s="12"/>
    </row>
    <row r="337">
      <c r="A337" s="12"/>
      <c r="B337" s="12"/>
      <c r="C337" s="12"/>
      <c r="D337" s="12"/>
      <c r="H337" s="20"/>
      <c r="J337" s="20"/>
      <c r="K337" s="20"/>
      <c r="L337" s="20"/>
      <c r="M337" s="12"/>
      <c r="N337" s="12"/>
      <c r="O337" s="12"/>
      <c r="P337" s="12"/>
    </row>
    <row r="338">
      <c r="A338" s="12"/>
      <c r="B338" s="12"/>
      <c r="C338" s="12"/>
      <c r="D338" s="12"/>
      <c r="H338" s="20"/>
      <c r="J338" s="20"/>
      <c r="K338" s="20"/>
      <c r="L338" s="20"/>
      <c r="M338" s="12"/>
      <c r="N338" s="12"/>
      <c r="O338" s="12"/>
      <c r="P338" s="12"/>
    </row>
    <row r="339">
      <c r="A339" s="12"/>
      <c r="B339" s="12"/>
      <c r="C339" s="12"/>
      <c r="D339" s="12"/>
      <c r="H339" s="20"/>
      <c r="J339" s="20"/>
      <c r="K339" s="20"/>
      <c r="L339" s="20"/>
      <c r="M339" s="12"/>
      <c r="N339" s="12"/>
      <c r="O339" s="12"/>
      <c r="P339" s="12"/>
    </row>
    <row r="340">
      <c r="A340" s="12"/>
      <c r="B340" s="12"/>
      <c r="C340" s="12"/>
      <c r="D340" s="12"/>
      <c r="H340" s="20"/>
      <c r="J340" s="20"/>
      <c r="K340" s="20"/>
      <c r="L340" s="20"/>
      <c r="M340" s="12"/>
      <c r="N340" s="12"/>
      <c r="O340" s="12"/>
      <c r="P340" s="12"/>
    </row>
    <row r="341">
      <c r="A341" s="12"/>
      <c r="B341" s="12"/>
      <c r="C341" s="12"/>
      <c r="D341" s="12"/>
      <c r="H341" s="20"/>
      <c r="J341" s="20"/>
      <c r="K341" s="20"/>
      <c r="L341" s="20"/>
      <c r="M341" s="12"/>
      <c r="N341" s="12"/>
      <c r="O341" s="12"/>
      <c r="P341" s="12"/>
    </row>
    <row r="342">
      <c r="A342" s="12"/>
      <c r="B342" s="12"/>
      <c r="C342" s="12"/>
      <c r="D342" s="12"/>
      <c r="H342" s="20"/>
      <c r="J342" s="20"/>
      <c r="K342" s="20"/>
      <c r="L342" s="20"/>
      <c r="M342" s="12"/>
      <c r="N342" s="12"/>
      <c r="O342" s="12"/>
      <c r="P342" s="12"/>
    </row>
    <row r="343">
      <c r="A343" s="12"/>
      <c r="B343" s="12"/>
      <c r="C343" s="12"/>
      <c r="D343" s="12"/>
      <c r="H343" s="20"/>
      <c r="J343" s="20"/>
      <c r="K343" s="20"/>
      <c r="L343" s="20"/>
      <c r="M343" s="12"/>
      <c r="N343" s="12"/>
      <c r="O343" s="12"/>
      <c r="P343" s="12"/>
    </row>
    <row r="344">
      <c r="A344" s="12"/>
      <c r="B344" s="12"/>
      <c r="C344" s="12"/>
      <c r="D344" s="12"/>
      <c r="H344" s="20"/>
      <c r="J344" s="20"/>
      <c r="K344" s="20"/>
      <c r="L344" s="20"/>
      <c r="M344" s="12"/>
      <c r="N344" s="12"/>
      <c r="O344" s="12"/>
      <c r="P344" s="12"/>
    </row>
    <row r="345">
      <c r="A345" s="12"/>
      <c r="B345" s="12"/>
      <c r="C345" s="12"/>
      <c r="D345" s="12"/>
      <c r="H345" s="20"/>
      <c r="J345" s="20"/>
      <c r="K345" s="20"/>
      <c r="L345" s="20"/>
      <c r="M345" s="12"/>
      <c r="N345" s="12"/>
      <c r="O345" s="12"/>
      <c r="P345" s="12"/>
    </row>
    <row r="346">
      <c r="A346" s="12"/>
      <c r="B346" s="12"/>
      <c r="C346" s="12"/>
      <c r="D346" s="12"/>
      <c r="H346" s="20"/>
      <c r="J346" s="20"/>
      <c r="K346" s="20"/>
      <c r="L346" s="20"/>
      <c r="M346" s="12"/>
      <c r="N346" s="12"/>
      <c r="O346" s="12"/>
      <c r="P346" s="12"/>
    </row>
    <row r="347">
      <c r="A347" s="12"/>
      <c r="B347" s="12"/>
      <c r="C347" s="12"/>
      <c r="D347" s="12"/>
      <c r="H347" s="20"/>
      <c r="J347" s="20"/>
      <c r="K347" s="20"/>
      <c r="L347" s="20"/>
      <c r="M347" s="12"/>
      <c r="N347" s="12"/>
      <c r="O347" s="12"/>
      <c r="P347" s="12"/>
    </row>
    <row r="348">
      <c r="A348" s="12"/>
      <c r="B348" s="12"/>
      <c r="C348" s="12"/>
      <c r="D348" s="12"/>
      <c r="H348" s="20"/>
      <c r="J348" s="20"/>
      <c r="K348" s="20"/>
      <c r="L348" s="20"/>
      <c r="M348" s="12"/>
      <c r="N348" s="12"/>
      <c r="O348" s="12"/>
      <c r="P348" s="12"/>
    </row>
    <row r="349">
      <c r="A349" s="12"/>
      <c r="B349" s="12"/>
      <c r="C349" s="12"/>
      <c r="D349" s="12"/>
      <c r="H349" s="20"/>
      <c r="J349" s="20"/>
      <c r="K349" s="20"/>
      <c r="L349" s="20"/>
      <c r="M349" s="12"/>
      <c r="N349" s="12"/>
      <c r="O349" s="12"/>
      <c r="P349" s="12"/>
    </row>
    <row r="350">
      <c r="A350" s="12"/>
      <c r="B350" s="12"/>
      <c r="C350" s="12"/>
      <c r="D350" s="12"/>
      <c r="H350" s="20"/>
      <c r="J350" s="20"/>
      <c r="K350" s="20"/>
      <c r="L350" s="20"/>
      <c r="M350" s="12"/>
      <c r="N350" s="12"/>
      <c r="O350" s="12"/>
      <c r="P350" s="12"/>
    </row>
    <row r="351">
      <c r="A351" s="12"/>
      <c r="B351" s="12"/>
      <c r="C351" s="12"/>
      <c r="D351" s="12"/>
      <c r="H351" s="20"/>
      <c r="J351" s="20"/>
      <c r="K351" s="20"/>
      <c r="L351" s="20"/>
      <c r="M351" s="12"/>
      <c r="N351" s="12"/>
      <c r="O351" s="12"/>
      <c r="P351" s="12"/>
    </row>
    <row r="352">
      <c r="A352" s="12"/>
      <c r="B352" s="12"/>
      <c r="C352" s="12"/>
      <c r="D352" s="12"/>
      <c r="H352" s="20"/>
      <c r="J352" s="20"/>
      <c r="K352" s="20"/>
      <c r="L352" s="20"/>
      <c r="M352" s="12"/>
      <c r="N352" s="12"/>
      <c r="O352" s="12"/>
      <c r="P352" s="12"/>
    </row>
    <row r="353">
      <c r="A353" s="12"/>
      <c r="B353" s="12"/>
      <c r="C353" s="12"/>
      <c r="D353" s="12"/>
      <c r="H353" s="20"/>
      <c r="J353" s="20"/>
      <c r="K353" s="20"/>
      <c r="L353" s="20"/>
      <c r="M353" s="12"/>
      <c r="N353" s="12"/>
      <c r="O353" s="12"/>
      <c r="P353" s="12"/>
    </row>
    <row r="354">
      <c r="A354" s="12"/>
      <c r="B354" s="12"/>
      <c r="C354" s="12"/>
      <c r="D354" s="12"/>
      <c r="H354" s="20"/>
      <c r="J354" s="20"/>
      <c r="K354" s="20"/>
      <c r="L354" s="20"/>
      <c r="M354" s="12"/>
      <c r="N354" s="12"/>
      <c r="O354" s="12"/>
      <c r="P354" s="12"/>
    </row>
    <row r="355">
      <c r="A355" s="12"/>
      <c r="B355" s="12"/>
      <c r="C355" s="12"/>
      <c r="D355" s="12"/>
      <c r="H355" s="20"/>
      <c r="J355" s="20"/>
      <c r="K355" s="20"/>
      <c r="L355" s="20"/>
      <c r="M355" s="12"/>
      <c r="N355" s="12"/>
      <c r="O355" s="12"/>
      <c r="P355" s="12"/>
    </row>
    <row r="356">
      <c r="A356" s="12"/>
      <c r="B356" s="12"/>
      <c r="C356" s="12"/>
      <c r="D356" s="12"/>
      <c r="H356" s="20"/>
      <c r="J356" s="20"/>
      <c r="K356" s="20"/>
      <c r="L356" s="20"/>
      <c r="M356" s="12"/>
      <c r="N356" s="12"/>
      <c r="O356" s="12"/>
      <c r="P356" s="12"/>
    </row>
    <row r="357">
      <c r="A357" s="12"/>
      <c r="B357" s="12"/>
      <c r="C357" s="12"/>
      <c r="D357" s="12"/>
      <c r="H357" s="20"/>
      <c r="J357" s="20"/>
      <c r="K357" s="20"/>
      <c r="L357" s="20"/>
      <c r="M357" s="12"/>
      <c r="N357" s="12"/>
      <c r="O357" s="12"/>
      <c r="P357" s="12"/>
    </row>
    <row r="358">
      <c r="A358" s="12"/>
      <c r="B358" s="12"/>
      <c r="C358" s="12"/>
      <c r="D358" s="12"/>
      <c r="H358" s="20"/>
      <c r="J358" s="20"/>
      <c r="K358" s="20"/>
      <c r="L358" s="20"/>
      <c r="M358" s="12"/>
      <c r="N358" s="12"/>
      <c r="O358" s="12"/>
      <c r="P358" s="12"/>
    </row>
    <row r="359">
      <c r="A359" s="12"/>
      <c r="B359" s="12"/>
      <c r="C359" s="12"/>
      <c r="D359" s="12"/>
      <c r="H359" s="20"/>
      <c r="J359" s="20"/>
      <c r="K359" s="20"/>
      <c r="L359" s="20"/>
      <c r="M359" s="12"/>
      <c r="N359" s="12"/>
      <c r="O359" s="12"/>
      <c r="P359" s="12"/>
    </row>
    <row r="360">
      <c r="A360" s="12"/>
      <c r="B360" s="12"/>
      <c r="C360" s="12"/>
      <c r="D360" s="12"/>
      <c r="H360" s="20"/>
      <c r="J360" s="20"/>
      <c r="K360" s="20"/>
      <c r="L360" s="20"/>
      <c r="M360" s="12"/>
      <c r="N360" s="12"/>
      <c r="O360" s="12"/>
      <c r="P360" s="12"/>
    </row>
    <row r="361">
      <c r="A361" s="12"/>
      <c r="B361" s="12"/>
      <c r="C361" s="12"/>
      <c r="D361" s="12"/>
      <c r="H361" s="20"/>
      <c r="J361" s="20"/>
      <c r="K361" s="20"/>
      <c r="L361" s="20"/>
      <c r="M361" s="12"/>
      <c r="N361" s="12"/>
      <c r="O361" s="12"/>
      <c r="P361" s="12"/>
    </row>
    <row r="362">
      <c r="A362" s="12"/>
      <c r="B362" s="12"/>
      <c r="C362" s="12"/>
      <c r="D362" s="12"/>
      <c r="H362" s="20"/>
      <c r="J362" s="20"/>
      <c r="K362" s="20"/>
      <c r="L362" s="20"/>
      <c r="M362" s="12"/>
      <c r="N362" s="12"/>
      <c r="O362" s="12"/>
      <c r="P362" s="12"/>
    </row>
    <row r="363">
      <c r="A363" s="12"/>
      <c r="B363" s="12"/>
      <c r="C363" s="12"/>
      <c r="D363" s="12"/>
      <c r="H363" s="20"/>
      <c r="J363" s="20"/>
      <c r="K363" s="20"/>
      <c r="L363" s="20"/>
      <c r="M363" s="12"/>
      <c r="N363" s="12"/>
      <c r="O363" s="12"/>
      <c r="P363" s="12"/>
    </row>
    <row r="364">
      <c r="A364" s="12"/>
      <c r="B364" s="12"/>
      <c r="C364" s="12"/>
      <c r="D364" s="12"/>
      <c r="H364" s="20"/>
      <c r="J364" s="20"/>
      <c r="K364" s="20"/>
      <c r="L364" s="20"/>
      <c r="M364" s="12"/>
      <c r="N364" s="12"/>
      <c r="O364" s="12"/>
      <c r="P364" s="12"/>
    </row>
    <row r="365">
      <c r="A365" s="12"/>
      <c r="B365" s="12"/>
      <c r="C365" s="12"/>
      <c r="D365" s="12"/>
      <c r="H365" s="20"/>
      <c r="J365" s="20"/>
      <c r="K365" s="20"/>
      <c r="L365" s="20"/>
      <c r="M365" s="12"/>
      <c r="N365" s="12"/>
      <c r="O365" s="12"/>
      <c r="P365" s="12"/>
    </row>
    <row r="366">
      <c r="A366" s="12"/>
      <c r="B366" s="12"/>
      <c r="C366" s="12"/>
      <c r="D366" s="12"/>
      <c r="H366" s="20"/>
      <c r="J366" s="20"/>
      <c r="K366" s="20"/>
      <c r="L366" s="20"/>
      <c r="M366" s="12"/>
      <c r="N366" s="12"/>
      <c r="O366" s="12"/>
      <c r="P366" s="12"/>
    </row>
    <row r="367">
      <c r="A367" s="12"/>
      <c r="B367" s="12"/>
      <c r="C367" s="12"/>
      <c r="D367" s="12"/>
      <c r="H367" s="20"/>
      <c r="J367" s="20"/>
      <c r="K367" s="20"/>
      <c r="L367" s="20"/>
      <c r="M367" s="12"/>
      <c r="N367" s="12"/>
      <c r="O367" s="12"/>
      <c r="P367" s="12"/>
    </row>
    <row r="368">
      <c r="A368" s="12"/>
      <c r="B368" s="12"/>
      <c r="C368" s="12"/>
      <c r="D368" s="12"/>
      <c r="H368" s="20"/>
      <c r="J368" s="20"/>
      <c r="K368" s="20"/>
      <c r="L368" s="20"/>
      <c r="M368" s="12"/>
      <c r="N368" s="12"/>
      <c r="O368" s="12"/>
      <c r="P368" s="12"/>
    </row>
    <row r="369">
      <c r="A369" s="12"/>
      <c r="B369" s="12"/>
      <c r="C369" s="12"/>
      <c r="D369" s="12"/>
      <c r="H369" s="20"/>
      <c r="J369" s="20"/>
      <c r="K369" s="20"/>
      <c r="L369" s="20"/>
      <c r="M369" s="12"/>
      <c r="N369" s="12"/>
      <c r="O369" s="12"/>
      <c r="P369" s="12"/>
    </row>
    <row r="370">
      <c r="A370" s="12"/>
      <c r="B370" s="12"/>
      <c r="C370" s="12"/>
      <c r="D370" s="12"/>
      <c r="H370" s="20"/>
      <c r="J370" s="20"/>
      <c r="K370" s="20"/>
      <c r="L370" s="20"/>
      <c r="M370" s="12"/>
      <c r="N370" s="12"/>
      <c r="O370" s="12"/>
      <c r="P370" s="12"/>
    </row>
    <row r="371">
      <c r="A371" s="12"/>
      <c r="B371" s="12"/>
      <c r="C371" s="12"/>
      <c r="D371" s="12"/>
      <c r="H371" s="20"/>
      <c r="J371" s="20"/>
      <c r="K371" s="20"/>
      <c r="L371" s="20"/>
      <c r="M371" s="12"/>
      <c r="N371" s="12"/>
      <c r="O371" s="12"/>
      <c r="P371" s="12"/>
    </row>
    <row r="372">
      <c r="A372" s="12"/>
      <c r="B372" s="12"/>
      <c r="C372" s="12"/>
      <c r="D372" s="12"/>
      <c r="H372" s="20"/>
      <c r="J372" s="20"/>
      <c r="K372" s="20"/>
      <c r="L372" s="20"/>
      <c r="M372" s="12"/>
      <c r="N372" s="12"/>
      <c r="O372" s="12"/>
      <c r="P372" s="12"/>
    </row>
    <row r="373">
      <c r="A373" s="12"/>
      <c r="B373" s="12"/>
      <c r="C373" s="12"/>
      <c r="D373" s="12"/>
      <c r="H373" s="20"/>
      <c r="J373" s="20"/>
      <c r="K373" s="20"/>
      <c r="L373" s="20"/>
      <c r="M373" s="12"/>
      <c r="N373" s="12"/>
      <c r="O373" s="12"/>
      <c r="P373" s="12"/>
    </row>
    <row r="374">
      <c r="A374" s="12"/>
      <c r="B374" s="12"/>
      <c r="C374" s="12"/>
      <c r="D374" s="12"/>
      <c r="H374" s="20"/>
      <c r="J374" s="20"/>
      <c r="K374" s="20"/>
      <c r="L374" s="20"/>
      <c r="M374" s="12"/>
      <c r="N374" s="12"/>
      <c r="O374" s="12"/>
      <c r="P374" s="12"/>
    </row>
    <row r="375">
      <c r="A375" s="12"/>
      <c r="B375" s="12"/>
      <c r="C375" s="12"/>
      <c r="D375" s="12"/>
      <c r="H375" s="20"/>
      <c r="J375" s="20"/>
      <c r="K375" s="20"/>
      <c r="L375" s="20"/>
      <c r="M375" s="12"/>
      <c r="N375" s="12"/>
      <c r="O375" s="12"/>
      <c r="P375" s="12"/>
    </row>
    <row r="376">
      <c r="A376" s="12"/>
      <c r="B376" s="12"/>
      <c r="C376" s="12"/>
      <c r="D376" s="12"/>
      <c r="H376" s="20"/>
      <c r="J376" s="20"/>
      <c r="K376" s="20"/>
      <c r="L376" s="20"/>
      <c r="M376" s="12"/>
      <c r="N376" s="12"/>
      <c r="O376" s="12"/>
      <c r="P376" s="12"/>
    </row>
    <row r="377">
      <c r="A377" s="12"/>
      <c r="B377" s="12"/>
      <c r="C377" s="12"/>
      <c r="D377" s="12"/>
      <c r="H377" s="20"/>
      <c r="J377" s="20"/>
      <c r="K377" s="20"/>
      <c r="L377" s="20"/>
      <c r="M377" s="12"/>
      <c r="N377" s="12"/>
      <c r="O377" s="12"/>
      <c r="P377" s="12"/>
    </row>
    <row r="378">
      <c r="A378" s="12"/>
      <c r="B378" s="12"/>
      <c r="C378" s="12"/>
      <c r="D378" s="12"/>
      <c r="H378" s="20"/>
      <c r="J378" s="20"/>
      <c r="K378" s="20"/>
      <c r="L378" s="20"/>
      <c r="M378" s="12"/>
      <c r="N378" s="12"/>
      <c r="O378" s="12"/>
      <c r="P378" s="12"/>
    </row>
    <row r="379">
      <c r="A379" s="12"/>
      <c r="B379" s="12"/>
      <c r="C379" s="12"/>
      <c r="D379" s="12"/>
      <c r="H379" s="20"/>
      <c r="J379" s="20"/>
      <c r="K379" s="20"/>
      <c r="L379" s="20"/>
      <c r="M379" s="12"/>
      <c r="N379" s="12"/>
      <c r="O379" s="12"/>
      <c r="P379" s="12"/>
    </row>
    <row r="380">
      <c r="A380" s="12"/>
      <c r="B380" s="12"/>
      <c r="C380" s="12"/>
      <c r="D380" s="12"/>
      <c r="H380" s="20"/>
      <c r="J380" s="20"/>
      <c r="K380" s="20"/>
      <c r="L380" s="20"/>
      <c r="M380" s="12"/>
      <c r="N380" s="12"/>
      <c r="O380" s="12"/>
      <c r="P380" s="12"/>
    </row>
    <row r="381">
      <c r="A381" s="12"/>
      <c r="B381" s="12"/>
      <c r="C381" s="12"/>
      <c r="D381" s="12"/>
      <c r="H381" s="20"/>
      <c r="J381" s="20"/>
      <c r="K381" s="20"/>
      <c r="L381" s="20"/>
      <c r="M381" s="12"/>
      <c r="N381" s="12"/>
      <c r="O381" s="12"/>
      <c r="P381" s="12"/>
    </row>
    <row r="382">
      <c r="A382" s="12"/>
      <c r="B382" s="12"/>
      <c r="C382" s="12"/>
      <c r="D382" s="12"/>
      <c r="H382" s="20"/>
      <c r="J382" s="20"/>
      <c r="K382" s="20"/>
      <c r="L382" s="20"/>
      <c r="M382" s="12"/>
      <c r="N382" s="12"/>
      <c r="O382" s="12"/>
      <c r="P382" s="12"/>
    </row>
    <row r="383">
      <c r="A383" s="12"/>
      <c r="B383" s="12"/>
      <c r="C383" s="12"/>
      <c r="D383" s="12"/>
      <c r="H383" s="20"/>
      <c r="J383" s="20"/>
      <c r="K383" s="20"/>
      <c r="L383" s="20"/>
      <c r="M383" s="12"/>
      <c r="N383" s="12"/>
      <c r="O383" s="12"/>
      <c r="P383" s="12"/>
    </row>
    <row r="384">
      <c r="A384" s="12"/>
      <c r="B384" s="12"/>
      <c r="C384" s="12"/>
      <c r="D384" s="12"/>
      <c r="H384" s="20"/>
      <c r="J384" s="20"/>
      <c r="K384" s="20"/>
      <c r="L384" s="20"/>
      <c r="M384" s="12"/>
      <c r="N384" s="12"/>
      <c r="O384" s="12"/>
      <c r="P384" s="12"/>
    </row>
    <row r="385">
      <c r="A385" s="12"/>
      <c r="B385" s="12"/>
      <c r="C385" s="12"/>
      <c r="D385" s="12"/>
      <c r="H385" s="20"/>
      <c r="J385" s="20"/>
      <c r="K385" s="20"/>
      <c r="L385" s="20"/>
      <c r="M385" s="12"/>
      <c r="N385" s="12"/>
      <c r="O385" s="12"/>
      <c r="P385" s="12"/>
    </row>
    <row r="386">
      <c r="A386" s="12"/>
      <c r="B386" s="12"/>
      <c r="C386" s="12"/>
      <c r="D386" s="12"/>
      <c r="H386" s="20"/>
      <c r="J386" s="20"/>
      <c r="K386" s="20"/>
      <c r="L386" s="20"/>
      <c r="M386" s="12"/>
      <c r="N386" s="12"/>
      <c r="O386" s="12"/>
      <c r="P386" s="12"/>
    </row>
    <row r="387">
      <c r="A387" s="12"/>
      <c r="B387" s="12"/>
      <c r="C387" s="12"/>
      <c r="D387" s="12"/>
      <c r="H387" s="20"/>
      <c r="J387" s="20"/>
      <c r="K387" s="20"/>
      <c r="L387" s="20"/>
      <c r="M387" s="12"/>
      <c r="N387" s="12"/>
      <c r="O387" s="12"/>
      <c r="P387" s="12"/>
    </row>
    <row r="388">
      <c r="A388" s="12"/>
      <c r="B388" s="12"/>
      <c r="C388" s="12"/>
      <c r="D388" s="12"/>
      <c r="H388" s="20"/>
      <c r="J388" s="20"/>
      <c r="K388" s="20"/>
      <c r="L388" s="20"/>
      <c r="M388" s="12"/>
      <c r="N388" s="12"/>
      <c r="O388" s="12"/>
      <c r="P388" s="12"/>
    </row>
    <row r="389">
      <c r="A389" s="12"/>
      <c r="B389" s="12"/>
      <c r="C389" s="12"/>
      <c r="D389" s="12"/>
      <c r="H389" s="20"/>
      <c r="J389" s="20"/>
      <c r="K389" s="20"/>
      <c r="L389" s="20"/>
      <c r="M389" s="12"/>
      <c r="N389" s="12"/>
      <c r="O389" s="12"/>
      <c r="P389" s="12"/>
    </row>
    <row r="390">
      <c r="A390" s="12"/>
      <c r="B390" s="12"/>
      <c r="C390" s="12"/>
      <c r="D390" s="12"/>
      <c r="H390" s="20"/>
      <c r="J390" s="20"/>
      <c r="K390" s="20"/>
      <c r="L390" s="20"/>
      <c r="M390" s="12"/>
      <c r="N390" s="12"/>
      <c r="O390" s="12"/>
      <c r="P390" s="12"/>
    </row>
    <row r="391">
      <c r="A391" s="12"/>
      <c r="B391" s="12"/>
      <c r="C391" s="12"/>
      <c r="D391" s="12"/>
      <c r="H391" s="20"/>
      <c r="J391" s="20"/>
      <c r="K391" s="20"/>
      <c r="L391" s="20"/>
      <c r="M391" s="12"/>
      <c r="N391" s="12"/>
      <c r="O391" s="12"/>
      <c r="P391" s="12"/>
    </row>
    <row r="392">
      <c r="A392" s="12"/>
      <c r="B392" s="12"/>
      <c r="C392" s="12"/>
      <c r="D392" s="12"/>
      <c r="H392" s="20"/>
      <c r="J392" s="20"/>
      <c r="K392" s="20"/>
      <c r="L392" s="20"/>
      <c r="M392" s="12"/>
      <c r="N392" s="12"/>
      <c r="O392" s="12"/>
      <c r="P392" s="12"/>
    </row>
    <row r="393">
      <c r="A393" s="12"/>
      <c r="B393" s="12"/>
      <c r="C393" s="12"/>
      <c r="D393" s="12"/>
      <c r="H393" s="20"/>
      <c r="J393" s="20"/>
      <c r="K393" s="20"/>
      <c r="L393" s="20"/>
      <c r="M393" s="12"/>
      <c r="N393" s="12"/>
      <c r="O393" s="12"/>
      <c r="P393" s="12"/>
    </row>
    <row r="394">
      <c r="A394" s="12"/>
      <c r="B394" s="12"/>
      <c r="C394" s="12"/>
      <c r="D394" s="12"/>
      <c r="H394" s="20"/>
      <c r="J394" s="20"/>
      <c r="K394" s="20"/>
      <c r="L394" s="20"/>
      <c r="M394" s="12"/>
      <c r="N394" s="12"/>
      <c r="O394" s="12"/>
      <c r="P394" s="12"/>
    </row>
    <row r="395">
      <c r="A395" s="12"/>
      <c r="B395" s="12"/>
      <c r="C395" s="12"/>
      <c r="D395" s="12"/>
      <c r="H395" s="20"/>
      <c r="J395" s="20"/>
      <c r="K395" s="20"/>
      <c r="L395" s="20"/>
      <c r="M395" s="12"/>
      <c r="N395" s="12"/>
      <c r="O395" s="12"/>
      <c r="P395" s="12"/>
    </row>
    <row r="396">
      <c r="A396" s="12"/>
      <c r="B396" s="12"/>
      <c r="C396" s="12"/>
      <c r="D396" s="12"/>
      <c r="H396" s="20"/>
      <c r="J396" s="20"/>
      <c r="K396" s="20"/>
      <c r="L396" s="20"/>
      <c r="M396" s="12"/>
      <c r="N396" s="12"/>
      <c r="O396" s="12"/>
      <c r="P396" s="12"/>
    </row>
    <row r="397">
      <c r="A397" s="12"/>
      <c r="B397" s="12"/>
      <c r="C397" s="12"/>
      <c r="D397" s="12"/>
      <c r="H397" s="20"/>
      <c r="J397" s="20"/>
      <c r="K397" s="20"/>
      <c r="L397" s="20"/>
      <c r="M397" s="12"/>
      <c r="N397" s="12"/>
      <c r="O397" s="12"/>
      <c r="P397" s="12"/>
    </row>
    <row r="398">
      <c r="A398" s="12"/>
      <c r="B398" s="12"/>
      <c r="C398" s="12"/>
      <c r="D398" s="12"/>
      <c r="H398" s="20"/>
      <c r="J398" s="20"/>
      <c r="K398" s="20"/>
      <c r="L398" s="20"/>
      <c r="M398" s="12"/>
      <c r="N398" s="12"/>
      <c r="O398" s="12"/>
      <c r="P398" s="12"/>
    </row>
    <row r="399">
      <c r="A399" s="12"/>
      <c r="B399" s="12"/>
      <c r="C399" s="12"/>
      <c r="D399" s="12"/>
      <c r="H399" s="20"/>
      <c r="J399" s="20"/>
      <c r="K399" s="20"/>
      <c r="L399" s="20"/>
      <c r="M399" s="12"/>
      <c r="N399" s="12"/>
      <c r="O399" s="12"/>
      <c r="P399" s="12"/>
    </row>
    <row r="400">
      <c r="A400" s="12"/>
      <c r="B400" s="12"/>
      <c r="C400" s="12"/>
      <c r="D400" s="12"/>
      <c r="H400" s="20"/>
      <c r="J400" s="20"/>
      <c r="K400" s="20"/>
      <c r="L400" s="20"/>
      <c r="M400" s="12"/>
      <c r="N400" s="12"/>
      <c r="O400" s="12"/>
      <c r="P400" s="12"/>
    </row>
    <row r="401">
      <c r="A401" s="12"/>
      <c r="B401" s="12"/>
      <c r="C401" s="12"/>
      <c r="D401" s="12"/>
      <c r="H401" s="20"/>
      <c r="J401" s="20"/>
      <c r="K401" s="20"/>
      <c r="L401" s="20"/>
      <c r="M401" s="12"/>
      <c r="N401" s="12"/>
      <c r="O401" s="12"/>
      <c r="P401" s="12"/>
    </row>
    <row r="402">
      <c r="A402" s="12"/>
      <c r="B402" s="12"/>
      <c r="C402" s="12"/>
      <c r="D402" s="12"/>
      <c r="H402" s="20"/>
      <c r="J402" s="20"/>
      <c r="K402" s="20"/>
      <c r="L402" s="20"/>
      <c r="M402" s="12"/>
      <c r="N402" s="12"/>
      <c r="O402" s="12"/>
      <c r="P402" s="12"/>
    </row>
    <row r="403">
      <c r="A403" s="12"/>
      <c r="B403" s="12"/>
      <c r="C403" s="12"/>
      <c r="D403" s="12"/>
      <c r="H403" s="20"/>
      <c r="J403" s="20"/>
      <c r="K403" s="20"/>
      <c r="L403" s="20"/>
      <c r="M403" s="12"/>
      <c r="N403" s="12"/>
      <c r="O403" s="12"/>
      <c r="P403" s="12"/>
    </row>
    <row r="404">
      <c r="A404" s="12"/>
      <c r="B404" s="12"/>
      <c r="C404" s="12"/>
      <c r="D404" s="12"/>
      <c r="H404" s="20"/>
      <c r="J404" s="20"/>
      <c r="K404" s="20"/>
      <c r="L404" s="20"/>
      <c r="M404" s="12"/>
      <c r="N404" s="12"/>
      <c r="O404" s="12"/>
      <c r="P404" s="12"/>
    </row>
    <row r="405">
      <c r="A405" s="12"/>
      <c r="B405" s="12"/>
      <c r="C405" s="12"/>
      <c r="D405" s="12"/>
      <c r="H405" s="20"/>
      <c r="J405" s="20"/>
      <c r="K405" s="20"/>
      <c r="L405" s="20"/>
      <c r="M405" s="12"/>
      <c r="N405" s="12"/>
      <c r="O405" s="12"/>
      <c r="P405" s="12"/>
    </row>
    <row r="406">
      <c r="A406" s="12"/>
      <c r="B406" s="12"/>
      <c r="C406" s="12"/>
      <c r="D406" s="12"/>
      <c r="H406" s="20"/>
      <c r="J406" s="20"/>
      <c r="K406" s="20"/>
      <c r="L406" s="20"/>
      <c r="M406" s="12"/>
      <c r="N406" s="12"/>
      <c r="O406" s="12"/>
      <c r="P406" s="12"/>
    </row>
    <row r="407">
      <c r="A407" s="12"/>
      <c r="B407" s="12"/>
      <c r="C407" s="12"/>
      <c r="D407" s="12"/>
      <c r="H407" s="20"/>
      <c r="J407" s="20"/>
      <c r="K407" s="20"/>
      <c r="L407" s="20"/>
      <c r="M407" s="12"/>
      <c r="N407" s="12"/>
      <c r="O407" s="12"/>
      <c r="P407" s="12"/>
    </row>
    <row r="408">
      <c r="A408" s="12"/>
      <c r="B408" s="12"/>
      <c r="C408" s="12"/>
      <c r="D408" s="12"/>
      <c r="H408" s="20"/>
      <c r="J408" s="20"/>
      <c r="K408" s="20"/>
      <c r="L408" s="20"/>
      <c r="M408" s="12"/>
      <c r="N408" s="12"/>
      <c r="O408" s="12"/>
      <c r="P408" s="12"/>
    </row>
    <row r="409">
      <c r="A409" s="12"/>
      <c r="B409" s="12"/>
      <c r="C409" s="12"/>
      <c r="D409" s="12"/>
      <c r="H409" s="20"/>
      <c r="J409" s="20"/>
      <c r="K409" s="20"/>
      <c r="L409" s="20"/>
      <c r="M409" s="12"/>
      <c r="N409" s="12"/>
      <c r="O409" s="12"/>
      <c r="P409" s="12"/>
    </row>
    <row r="410">
      <c r="A410" s="12"/>
      <c r="B410" s="12"/>
      <c r="C410" s="12"/>
      <c r="D410" s="12"/>
      <c r="H410" s="20"/>
      <c r="J410" s="20"/>
      <c r="K410" s="20"/>
      <c r="L410" s="20"/>
      <c r="M410" s="12"/>
      <c r="N410" s="12"/>
      <c r="O410" s="12"/>
      <c r="P410" s="12"/>
    </row>
    <row r="411">
      <c r="A411" s="12"/>
      <c r="B411" s="12"/>
      <c r="C411" s="12"/>
      <c r="D411" s="12"/>
      <c r="H411" s="20"/>
      <c r="J411" s="20"/>
      <c r="K411" s="20"/>
      <c r="L411" s="20"/>
      <c r="M411" s="12"/>
      <c r="N411" s="12"/>
      <c r="O411" s="12"/>
      <c r="P411" s="12"/>
    </row>
    <row r="412">
      <c r="A412" s="12"/>
      <c r="B412" s="12"/>
      <c r="C412" s="12"/>
      <c r="D412" s="12"/>
      <c r="H412" s="20"/>
      <c r="J412" s="20"/>
      <c r="K412" s="20"/>
      <c r="L412" s="20"/>
      <c r="M412" s="12"/>
      <c r="N412" s="12"/>
      <c r="O412" s="12"/>
      <c r="P412" s="12"/>
    </row>
    <row r="413">
      <c r="A413" s="12"/>
      <c r="B413" s="12"/>
      <c r="C413" s="12"/>
      <c r="D413" s="12"/>
      <c r="H413" s="20"/>
      <c r="J413" s="20"/>
      <c r="K413" s="20"/>
      <c r="L413" s="20"/>
      <c r="M413" s="12"/>
      <c r="N413" s="12"/>
      <c r="O413" s="12"/>
      <c r="P413" s="12"/>
    </row>
    <row r="414">
      <c r="A414" s="12"/>
      <c r="B414" s="12"/>
      <c r="C414" s="12"/>
      <c r="D414" s="12"/>
      <c r="H414" s="20"/>
      <c r="J414" s="20"/>
      <c r="K414" s="20"/>
      <c r="L414" s="20"/>
      <c r="M414" s="12"/>
      <c r="N414" s="12"/>
      <c r="O414" s="12"/>
      <c r="P414" s="12"/>
    </row>
    <row r="415">
      <c r="A415" s="12"/>
      <c r="B415" s="12"/>
      <c r="C415" s="12"/>
      <c r="D415" s="12"/>
      <c r="H415" s="20"/>
      <c r="J415" s="20"/>
      <c r="K415" s="20"/>
      <c r="L415" s="20"/>
      <c r="M415" s="12"/>
      <c r="N415" s="12"/>
      <c r="O415" s="12"/>
      <c r="P415" s="12"/>
    </row>
    <row r="416">
      <c r="A416" s="12"/>
      <c r="B416" s="12"/>
      <c r="C416" s="12"/>
      <c r="D416" s="12"/>
      <c r="H416" s="20"/>
      <c r="J416" s="20"/>
      <c r="K416" s="20"/>
      <c r="L416" s="20"/>
      <c r="M416" s="12"/>
      <c r="N416" s="12"/>
      <c r="O416" s="12"/>
      <c r="P416" s="12"/>
    </row>
    <row r="417">
      <c r="A417" s="12"/>
      <c r="B417" s="12"/>
      <c r="C417" s="12"/>
      <c r="D417" s="12"/>
      <c r="H417" s="20"/>
      <c r="J417" s="20"/>
      <c r="K417" s="20"/>
      <c r="L417" s="20"/>
      <c r="M417" s="12"/>
      <c r="N417" s="12"/>
      <c r="O417" s="12"/>
      <c r="P417" s="12"/>
    </row>
    <row r="418">
      <c r="A418" s="12"/>
      <c r="B418" s="12"/>
      <c r="C418" s="12"/>
      <c r="D418" s="12"/>
      <c r="H418" s="20"/>
      <c r="J418" s="20"/>
      <c r="K418" s="20"/>
      <c r="L418" s="20"/>
      <c r="M418" s="12"/>
      <c r="N418" s="12"/>
      <c r="O418" s="12"/>
      <c r="P418" s="12"/>
    </row>
    <row r="419">
      <c r="A419" s="12"/>
      <c r="B419" s="12"/>
      <c r="C419" s="12"/>
      <c r="D419" s="12"/>
      <c r="H419" s="20"/>
      <c r="J419" s="20"/>
      <c r="K419" s="20"/>
      <c r="L419" s="20"/>
      <c r="M419" s="12"/>
      <c r="N419" s="12"/>
      <c r="O419" s="12"/>
      <c r="P419" s="12"/>
    </row>
    <row r="420">
      <c r="A420" s="12"/>
      <c r="B420" s="12"/>
      <c r="C420" s="12"/>
      <c r="D420" s="12"/>
      <c r="H420" s="20"/>
      <c r="J420" s="20"/>
      <c r="K420" s="20"/>
      <c r="L420" s="20"/>
      <c r="M420" s="12"/>
      <c r="N420" s="12"/>
      <c r="O420" s="12"/>
      <c r="P420" s="12"/>
    </row>
    <row r="421">
      <c r="A421" s="12"/>
      <c r="B421" s="12"/>
      <c r="C421" s="12"/>
      <c r="D421" s="12"/>
      <c r="H421" s="20"/>
      <c r="J421" s="20"/>
      <c r="K421" s="20"/>
      <c r="L421" s="20"/>
      <c r="M421" s="12"/>
      <c r="N421" s="12"/>
      <c r="O421" s="12"/>
      <c r="P421" s="12"/>
    </row>
    <row r="422">
      <c r="A422" s="12"/>
      <c r="B422" s="12"/>
      <c r="C422" s="12"/>
      <c r="D422" s="12"/>
      <c r="H422" s="20"/>
      <c r="J422" s="20"/>
      <c r="K422" s="20"/>
      <c r="L422" s="20"/>
      <c r="M422" s="12"/>
      <c r="N422" s="12"/>
      <c r="O422" s="12"/>
      <c r="P422" s="12"/>
    </row>
    <row r="423">
      <c r="A423" s="12"/>
      <c r="B423" s="12"/>
      <c r="C423" s="12"/>
      <c r="D423" s="12"/>
      <c r="H423" s="20"/>
      <c r="J423" s="20"/>
      <c r="K423" s="20"/>
      <c r="L423" s="20"/>
      <c r="M423" s="12"/>
      <c r="N423" s="12"/>
      <c r="O423" s="12"/>
      <c r="P423" s="12"/>
    </row>
    <row r="424">
      <c r="A424" s="12"/>
      <c r="B424" s="12"/>
      <c r="C424" s="12"/>
      <c r="D424" s="12"/>
      <c r="H424" s="20"/>
      <c r="J424" s="20"/>
      <c r="K424" s="20"/>
      <c r="L424" s="20"/>
      <c r="M424" s="12"/>
      <c r="N424" s="12"/>
      <c r="O424" s="12"/>
      <c r="P424" s="12"/>
    </row>
    <row r="425">
      <c r="A425" s="12"/>
      <c r="B425" s="12"/>
      <c r="C425" s="12"/>
      <c r="D425" s="12"/>
      <c r="H425" s="20"/>
      <c r="J425" s="20"/>
      <c r="K425" s="20"/>
      <c r="L425" s="20"/>
      <c r="M425" s="12"/>
      <c r="N425" s="12"/>
      <c r="O425" s="12"/>
      <c r="P425" s="12"/>
    </row>
    <row r="426">
      <c r="A426" s="12"/>
      <c r="B426" s="12"/>
      <c r="C426" s="12"/>
      <c r="D426" s="12"/>
      <c r="H426" s="20"/>
      <c r="J426" s="20"/>
      <c r="K426" s="20"/>
      <c r="L426" s="20"/>
      <c r="M426" s="12"/>
      <c r="N426" s="12"/>
      <c r="O426" s="12"/>
      <c r="P426" s="12"/>
    </row>
    <row r="427">
      <c r="A427" s="12"/>
      <c r="B427" s="12"/>
      <c r="C427" s="12"/>
      <c r="D427" s="12"/>
      <c r="H427" s="20"/>
      <c r="J427" s="20"/>
      <c r="K427" s="20"/>
      <c r="L427" s="20"/>
      <c r="M427" s="12"/>
      <c r="N427" s="12"/>
      <c r="O427" s="12"/>
      <c r="P427" s="12"/>
    </row>
    <row r="428">
      <c r="A428" s="12"/>
      <c r="B428" s="12"/>
      <c r="C428" s="12"/>
      <c r="D428" s="12"/>
      <c r="H428" s="20"/>
      <c r="J428" s="20"/>
      <c r="K428" s="20"/>
      <c r="L428" s="20"/>
      <c r="M428" s="12"/>
      <c r="N428" s="12"/>
      <c r="O428" s="12"/>
      <c r="P428" s="12"/>
    </row>
    <row r="429">
      <c r="A429" s="12"/>
      <c r="B429" s="12"/>
      <c r="C429" s="12"/>
      <c r="D429" s="12"/>
      <c r="H429" s="20"/>
      <c r="J429" s="20"/>
      <c r="K429" s="20"/>
      <c r="L429" s="20"/>
      <c r="M429" s="12"/>
      <c r="N429" s="12"/>
      <c r="O429" s="12"/>
      <c r="P429" s="12"/>
    </row>
    <row r="430">
      <c r="A430" s="12"/>
      <c r="B430" s="12"/>
      <c r="C430" s="12"/>
      <c r="D430" s="12"/>
      <c r="H430" s="20"/>
      <c r="J430" s="20"/>
      <c r="K430" s="20"/>
      <c r="L430" s="20"/>
      <c r="M430" s="12"/>
      <c r="N430" s="12"/>
      <c r="O430" s="12"/>
      <c r="P430" s="12"/>
    </row>
    <row r="431">
      <c r="A431" s="12"/>
      <c r="B431" s="12"/>
      <c r="C431" s="12"/>
      <c r="D431" s="12"/>
      <c r="H431" s="20"/>
      <c r="J431" s="20"/>
      <c r="K431" s="20"/>
      <c r="L431" s="20"/>
      <c r="M431" s="12"/>
      <c r="N431" s="12"/>
      <c r="O431" s="12"/>
      <c r="P431" s="12"/>
    </row>
    <row r="432">
      <c r="A432" s="12"/>
      <c r="B432" s="12"/>
      <c r="C432" s="12"/>
      <c r="D432" s="12"/>
      <c r="H432" s="20"/>
      <c r="J432" s="20"/>
      <c r="K432" s="20"/>
      <c r="L432" s="20"/>
      <c r="M432" s="12"/>
      <c r="N432" s="12"/>
      <c r="O432" s="12"/>
      <c r="P432" s="12"/>
    </row>
    <row r="433">
      <c r="A433" s="12"/>
      <c r="B433" s="12"/>
      <c r="C433" s="12"/>
      <c r="D433" s="12"/>
      <c r="H433" s="20"/>
      <c r="J433" s="20"/>
      <c r="K433" s="20"/>
      <c r="L433" s="20"/>
      <c r="M433" s="12"/>
      <c r="N433" s="12"/>
      <c r="O433" s="12"/>
      <c r="P433" s="12"/>
    </row>
    <row r="434">
      <c r="A434" s="12"/>
      <c r="B434" s="12"/>
      <c r="C434" s="12"/>
      <c r="D434" s="12"/>
      <c r="H434" s="20"/>
      <c r="J434" s="20"/>
      <c r="K434" s="20"/>
      <c r="L434" s="20"/>
      <c r="M434" s="12"/>
      <c r="N434" s="12"/>
      <c r="O434" s="12"/>
      <c r="P434" s="12"/>
    </row>
    <row r="435">
      <c r="A435" s="12"/>
      <c r="B435" s="12"/>
      <c r="C435" s="12"/>
      <c r="D435" s="12"/>
      <c r="H435" s="20"/>
      <c r="J435" s="20"/>
      <c r="K435" s="20"/>
      <c r="L435" s="20"/>
      <c r="M435" s="12"/>
      <c r="N435" s="12"/>
      <c r="O435" s="12"/>
      <c r="P435" s="12"/>
    </row>
    <row r="436">
      <c r="A436" s="12"/>
      <c r="B436" s="12"/>
      <c r="C436" s="12"/>
      <c r="D436" s="12"/>
      <c r="H436" s="20"/>
      <c r="J436" s="20"/>
      <c r="K436" s="20"/>
      <c r="L436" s="20"/>
      <c r="M436" s="12"/>
      <c r="N436" s="12"/>
      <c r="O436" s="12"/>
      <c r="P436" s="12"/>
    </row>
    <row r="437">
      <c r="A437" s="12"/>
      <c r="B437" s="12"/>
      <c r="C437" s="12"/>
      <c r="D437" s="12"/>
      <c r="H437" s="20"/>
      <c r="J437" s="20"/>
      <c r="K437" s="20"/>
      <c r="L437" s="20"/>
      <c r="M437" s="12"/>
      <c r="N437" s="12"/>
      <c r="O437" s="12"/>
      <c r="P437" s="12"/>
    </row>
    <row r="438">
      <c r="A438" s="12"/>
      <c r="B438" s="12"/>
      <c r="C438" s="12"/>
      <c r="D438" s="12"/>
      <c r="H438" s="20"/>
      <c r="J438" s="20"/>
      <c r="K438" s="20"/>
      <c r="L438" s="20"/>
      <c r="M438" s="12"/>
      <c r="N438" s="12"/>
      <c r="O438" s="12"/>
      <c r="P438" s="12"/>
    </row>
    <row r="439">
      <c r="A439" s="12"/>
      <c r="B439" s="12"/>
      <c r="C439" s="12"/>
      <c r="D439" s="12"/>
      <c r="H439" s="20"/>
      <c r="J439" s="20"/>
      <c r="K439" s="20"/>
      <c r="L439" s="20"/>
      <c r="M439" s="12"/>
      <c r="N439" s="12"/>
      <c r="O439" s="12"/>
      <c r="P439" s="12"/>
    </row>
    <row r="440">
      <c r="A440" s="12"/>
      <c r="B440" s="12"/>
      <c r="C440" s="12"/>
      <c r="D440" s="12"/>
      <c r="H440" s="20"/>
      <c r="J440" s="20"/>
      <c r="K440" s="20"/>
      <c r="L440" s="20"/>
      <c r="M440" s="12"/>
      <c r="N440" s="12"/>
      <c r="O440" s="12"/>
      <c r="P440" s="12"/>
    </row>
    <row r="441">
      <c r="A441" s="12"/>
      <c r="B441" s="12"/>
      <c r="C441" s="12"/>
      <c r="D441" s="12"/>
      <c r="H441" s="20"/>
      <c r="J441" s="20"/>
      <c r="K441" s="20"/>
      <c r="L441" s="20"/>
      <c r="M441" s="12"/>
      <c r="N441" s="12"/>
      <c r="O441" s="12"/>
      <c r="P441" s="12"/>
    </row>
    <row r="442">
      <c r="A442" s="12"/>
      <c r="B442" s="12"/>
      <c r="C442" s="12"/>
      <c r="D442" s="12"/>
      <c r="H442" s="20"/>
      <c r="J442" s="20"/>
      <c r="K442" s="20"/>
      <c r="L442" s="20"/>
      <c r="M442" s="12"/>
      <c r="N442" s="12"/>
      <c r="O442" s="12"/>
      <c r="P442" s="12"/>
    </row>
    <row r="443">
      <c r="A443" s="12"/>
      <c r="B443" s="12"/>
      <c r="C443" s="12"/>
      <c r="D443" s="12"/>
      <c r="H443" s="20"/>
      <c r="J443" s="20"/>
      <c r="K443" s="20"/>
      <c r="L443" s="20"/>
      <c r="M443" s="12"/>
      <c r="N443" s="12"/>
      <c r="O443" s="12"/>
      <c r="P443" s="12"/>
    </row>
    <row r="444">
      <c r="A444" s="12"/>
      <c r="B444" s="12"/>
      <c r="C444" s="12"/>
      <c r="D444" s="12"/>
      <c r="H444" s="20"/>
      <c r="J444" s="20"/>
      <c r="K444" s="20"/>
      <c r="L444" s="20"/>
      <c r="M444" s="12"/>
      <c r="N444" s="12"/>
      <c r="O444" s="12"/>
      <c r="P444" s="12"/>
    </row>
    <row r="445">
      <c r="A445" s="12"/>
      <c r="B445" s="12"/>
      <c r="C445" s="12"/>
      <c r="D445" s="12"/>
      <c r="H445" s="20"/>
      <c r="J445" s="20"/>
      <c r="K445" s="20"/>
      <c r="L445" s="20"/>
      <c r="M445" s="12"/>
      <c r="N445" s="12"/>
      <c r="O445" s="12"/>
      <c r="P445" s="12"/>
    </row>
    <row r="446">
      <c r="A446" s="12"/>
      <c r="B446" s="12"/>
      <c r="C446" s="12"/>
      <c r="D446" s="12"/>
      <c r="H446" s="20"/>
      <c r="J446" s="20"/>
      <c r="K446" s="20"/>
      <c r="L446" s="20"/>
      <c r="M446" s="12"/>
      <c r="N446" s="12"/>
      <c r="O446" s="12"/>
      <c r="P446" s="12"/>
    </row>
    <row r="447">
      <c r="A447" s="12"/>
      <c r="B447" s="12"/>
      <c r="C447" s="12"/>
      <c r="D447" s="12"/>
      <c r="H447" s="20"/>
      <c r="J447" s="20"/>
      <c r="K447" s="20"/>
      <c r="L447" s="20"/>
      <c r="M447" s="12"/>
      <c r="N447" s="12"/>
      <c r="O447" s="12"/>
      <c r="P447" s="12"/>
    </row>
    <row r="448">
      <c r="A448" s="12"/>
      <c r="B448" s="12"/>
      <c r="C448" s="12"/>
      <c r="D448" s="12"/>
      <c r="H448" s="20"/>
      <c r="J448" s="20"/>
      <c r="K448" s="20"/>
      <c r="L448" s="20"/>
      <c r="M448" s="12"/>
      <c r="N448" s="12"/>
      <c r="O448" s="12"/>
      <c r="P448" s="12"/>
    </row>
    <row r="449">
      <c r="A449" s="12"/>
      <c r="B449" s="12"/>
      <c r="C449" s="12"/>
      <c r="D449" s="12"/>
      <c r="H449" s="20"/>
      <c r="J449" s="20"/>
      <c r="K449" s="20"/>
      <c r="L449" s="20"/>
      <c r="M449" s="12"/>
      <c r="N449" s="12"/>
      <c r="O449" s="12"/>
      <c r="P449" s="12"/>
    </row>
    <row r="450">
      <c r="A450" s="12"/>
      <c r="B450" s="12"/>
      <c r="C450" s="12"/>
      <c r="D450" s="12"/>
      <c r="H450" s="20"/>
      <c r="J450" s="20"/>
      <c r="K450" s="20"/>
      <c r="L450" s="20"/>
      <c r="M450" s="12"/>
      <c r="N450" s="12"/>
      <c r="O450" s="12"/>
      <c r="P450" s="12"/>
    </row>
    <row r="451">
      <c r="A451" s="12"/>
      <c r="B451" s="12"/>
      <c r="C451" s="12"/>
      <c r="D451" s="12"/>
      <c r="H451" s="20"/>
      <c r="J451" s="20"/>
      <c r="K451" s="20"/>
      <c r="L451" s="20"/>
      <c r="M451" s="12"/>
      <c r="N451" s="12"/>
      <c r="O451" s="12"/>
      <c r="P451" s="12"/>
    </row>
    <row r="452">
      <c r="A452" s="12"/>
      <c r="B452" s="12"/>
      <c r="C452" s="12"/>
      <c r="D452" s="12"/>
      <c r="H452" s="20"/>
      <c r="J452" s="20"/>
      <c r="K452" s="20"/>
      <c r="L452" s="20"/>
      <c r="M452" s="12"/>
      <c r="N452" s="12"/>
      <c r="O452" s="12"/>
      <c r="P452" s="12"/>
    </row>
    <row r="453">
      <c r="A453" s="12"/>
      <c r="B453" s="12"/>
      <c r="C453" s="12"/>
      <c r="D453" s="12"/>
      <c r="H453" s="20"/>
      <c r="J453" s="20"/>
      <c r="K453" s="20"/>
      <c r="L453" s="20"/>
      <c r="M453" s="12"/>
      <c r="N453" s="12"/>
      <c r="O453" s="12"/>
      <c r="P453" s="12"/>
    </row>
    <row r="454">
      <c r="A454" s="12"/>
      <c r="B454" s="12"/>
      <c r="C454" s="12"/>
      <c r="D454" s="12"/>
      <c r="H454" s="20"/>
      <c r="J454" s="20"/>
      <c r="K454" s="20"/>
      <c r="L454" s="20"/>
      <c r="M454" s="12"/>
      <c r="N454" s="12"/>
      <c r="O454" s="12"/>
      <c r="P454" s="12"/>
    </row>
    <row r="455">
      <c r="A455" s="12"/>
      <c r="B455" s="12"/>
      <c r="C455" s="12"/>
      <c r="D455" s="12"/>
      <c r="H455" s="20"/>
      <c r="J455" s="20"/>
      <c r="K455" s="20"/>
      <c r="L455" s="20"/>
      <c r="M455" s="12"/>
      <c r="N455" s="12"/>
      <c r="O455" s="12"/>
      <c r="P455" s="12"/>
    </row>
    <row r="456">
      <c r="A456" s="12"/>
      <c r="B456" s="12"/>
      <c r="C456" s="12"/>
      <c r="D456" s="12"/>
      <c r="H456" s="20"/>
      <c r="J456" s="20"/>
      <c r="K456" s="20"/>
      <c r="L456" s="20"/>
      <c r="M456" s="12"/>
      <c r="N456" s="12"/>
      <c r="O456" s="12"/>
      <c r="P456" s="12"/>
    </row>
    <row r="457">
      <c r="A457" s="12"/>
      <c r="B457" s="12"/>
      <c r="C457" s="12"/>
      <c r="D457" s="12"/>
      <c r="H457" s="20"/>
      <c r="J457" s="20"/>
      <c r="K457" s="20"/>
      <c r="L457" s="20"/>
      <c r="M457" s="12"/>
      <c r="N457" s="12"/>
      <c r="O457" s="12"/>
      <c r="P457" s="12"/>
    </row>
    <row r="458">
      <c r="A458" s="12"/>
      <c r="B458" s="12"/>
      <c r="C458" s="12"/>
      <c r="D458" s="12"/>
      <c r="H458" s="20"/>
      <c r="J458" s="20"/>
      <c r="K458" s="20"/>
      <c r="L458" s="20"/>
      <c r="M458" s="12"/>
      <c r="N458" s="12"/>
      <c r="O458" s="12"/>
      <c r="P458" s="12"/>
    </row>
    <row r="459">
      <c r="A459" s="12"/>
      <c r="B459" s="12"/>
      <c r="C459" s="12"/>
      <c r="D459" s="12"/>
      <c r="H459" s="20"/>
      <c r="J459" s="20"/>
      <c r="K459" s="20"/>
      <c r="L459" s="20"/>
      <c r="M459" s="12"/>
      <c r="N459" s="12"/>
      <c r="O459" s="12"/>
      <c r="P459" s="12"/>
    </row>
    <row r="460">
      <c r="A460" s="12"/>
      <c r="B460" s="12"/>
      <c r="C460" s="12"/>
      <c r="D460" s="12"/>
      <c r="H460" s="20"/>
      <c r="J460" s="20"/>
      <c r="K460" s="20"/>
      <c r="L460" s="20"/>
      <c r="M460" s="12"/>
      <c r="N460" s="12"/>
      <c r="O460" s="12"/>
      <c r="P460" s="12"/>
    </row>
    <row r="461">
      <c r="A461" s="12"/>
      <c r="B461" s="12"/>
      <c r="C461" s="12"/>
      <c r="D461" s="12"/>
      <c r="H461" s="20"/>
      <c r="J461" s="20"/>
      <c r="K461" s="20"/>
      <c r="L461" s="20"/>
      <c r="M461" s="12"/>
      <c r="N461" s="12"/>
      <c r="O461" s="12"/>
      <c r="P461" s="12"/>
    </row>
    <row r="462">
      <c r="A462" s="12"/>
      <c r="B462" s="12"/>
      <c r="C462" s="12"/>
      <c r="D462" s="12"/>
      <c r="H462" s="20"/>
      <c r="J462" s="20"/>
      <c r="K462" s="20"/>
      <c r="L462" s="20"/>
      <c r="M462" s="12"/>
      <c r="N462" s="12"/>
      <c r="O462" s="12"/>
      <c r="P462" s="12"/>
    </row>
    <row r="463">
      <c r="A463" s="12"/>
      <c r="B463" s="12"/>
      <c r="C463" s="12"/>
      <c r="D463" s="12"/>
      <c r="H463" s="20"/>
      <c r="J463" s="20"/>
      <c r="K463" s="20"/>
      <c r="L463" s="20"/>
      <c r="M463" s="12"/>
      <c r="N463" s="12"/>
      <c r="O463" s="12"/>
      <c r="P463" s="12"/>
    </row>
    <row r="464">
      <c r="A464" s="12"/>
      <c r="B464" s="12"/>
      <c r="C464" s="12"/>
      <c r="D464" s="12"/>
      <c r="H464" s="20"/>
      <c r="J464" s="20"/>
      <c r="K464" s="20"/>
      <c r="L464" s="20"/>
      <c r="M464" s="12"/>
      <c r="N464" s="12"/>
      <c r="O464" s="12"/>
      <c r="P464" s="12"/>
    </row>
    <row r="465">
      <c r="A465" s="12"/>
      <c r="B465" s="12"/>
      <c r="C465" s="12"/>
      <c r="D465" s="12"/>
      <c r="H465" s="20"/>
      <c r="J465" s="20"/>
      <c r="K465" s="20"/>
      <c r="L465" s="20"/>
      <c r="M465" s="12"/>
      <c r="N465" s="12"/>
      <c r="O465" s="12"/>
      <c r="P465" s="12"/>
    </row>
    <row r="466">
      <c r="A466" s="12"/>
      <c r="B466" s="12"/>
      <c r="C466" s="12"/>
      <c r="D466" s="12"/>
      <c r="H466" s="20"/>
      <c r="J466" s="20"/>
      <c r="K466" s="20"/>
      <c r="L466" s="20"/>
      <c r="M466" s="12"/>
      <c r="N466" s="12"/>
      <c r="O466" s="12"/>
      <c r="P466" s="12"/>
    </row>
    <row r="467">
      <c r="A467" s="12"/>
      <c r="B467" s="12"/>
      <c r="C467" s="12"/>
      <c r="D467" s="12"/>
      <c r="H467" s="20"/>
      <c r="J467" s="20"/>
      <c r="K467" s="20"/>
      <c r="L467" s="20"/>
      <c r="M467" s="12"/>
      <c r="N467" s="12"/>
      <c r="O467" s="12"/>
      <c r="P467" s="12"/>
    </row>
    <row r="468">
      <c r="A468" s="12"/>
      <c r="B468" s="12"/>
      <c r="C468" s="12"/>
      <c r="D468" s="12"/>
      <c r="H468" s="20"/>
      <c r="J468" s="20"/>
      <c r="K468" s="20"/>
      <c r="L468" s="20"/>
      <c r="M468" s="12"/>
      <c r="N468" s="12"/>
      <c r="O468" s="12"/>
      <c r="P468" s="12"/>
    </row>
    <row r="469">
      <c r="A469" s="12"/>
      <c r="B469" s="12"/>
      <c r="C469" s="12"/>
      <c r="D469" s="12"/>
      <c r="H469" s="20"/>
      <c r="J469" s="20"/>
      <c r="K469" s="20"/>
      <c r="L469" s="20"/>
      <c r="M469" s="12"/>
      <c r="N469" s="12"/>
      <c r="O469" s="12"/>
      <c r="P469" s="12"/>
    </row>
    <row r="470">
      <c r="A470" s="12"/>
      <c r="B470" s="12"/>
      <c r="C470" s="12"/>
      <c r="D470" s="12"/>
      <c r="H470" s="20"/>
      <c r="J470" s="20"/>
      <c r="K470" s="20"/>
      <c r="L470" s="20"/>
      <c r="M470" s="12"/>
      <c r="N470" s="12"/>
      <c r="O470" s="12"/>
      <c r="P470" s="12"/>
    </row>
    <row r="471">
      <c r="A471" s="12"/>
      <c r="B471" s="12"/>
      <c r="C471" s="12"/>
      <c r="D471" s="12"/>
      <c r="H471" s="20"/>
      <c r="J471" s="20"/>
      <c r="K471" s="20"/>
      <c r="L471" s="20"/>
      <c r="M471" s="12"/>
      <c r="N471" s="12"/>
      <c r="O471" s="12"/>
      <c r="P471" s="12"/>
    </row>
    <row r="472">
      <c r="A472" s="12"/>
      <c r="B472" s="12"/>
      <c r="C472" s="12"/>
      <c r="D472" s="12"/>
      <c r="H472" s="20"/>
      <c r="J472" s="20"/>
      <c r="K472" s="20"/>
      <c r="L472" s="20"/>
      <c r="M472" s="12"/>
      <c r="N472" s="12"/>
      <c r="O472" s="12"/>
      <c r="P472" s="12"/>
    </row>
    <row r="473">
      <c r="A473" s="12"/>
      <c r="B473" s="12"/>
      <c r="C473" s="12"/>
      <c r="D473" s="12"/>
      <c r="H473" s="20"/>
      <c r="J473" s="20"/>
      <c r="K473" s="20"/>
      <c r="L473" s="20"/>
      <c r="M473" s="12"/>
      <c r="N473" s="12"/>
      <c r="O473" s="12"/>
      <c r="P473" s="12"/>
    </row>
    <row r="474">
      <c r="A474" s="12"/>
      <c r="B474" s="12"/>
      <c r="C474" s="12"/>
      <c r="D474" s="12"/>
      <c r="H474" s="20"/>
      <c r="J474" s="20"/>
      <c r="K474" s="20"/>
      <c r="L474" s="20"/>
      <c r="M474" s="12"/>
      <c r="N474" s="12"/>
      <c r="O474" s="12"/>
      <c r="P474" s="12"/>
    </row>
    <row r="475">
      <c r="A475" s="12"/>
      <c r="B475" s="12"/>
      <c r="C475" s="12"/>
      <c r="D475" s="12"/>
      <c r="H475" s="20"/>
      <c r="J475" s="20"/>
      <c r="K475" s="20"/>
      <c r="L475" s="20"/>
      <c r="M475" s="12"/>
      <c r="N475" s="12"/>
      <c r="O475" s="12"/>
      <c r="P475" s="12"/>
    </row>
    <row r="476">
      <c r="A476" s="12"/>
      <c r="B476" s="12"/>
      <c r="C476" s="12"/>
      <c r="D476" s="12"/>
      <c r="H476" s="20"/>
      <c r="J476" s="20"/>
      <c r="K476" s="20"/>
      <c r="L476" s="20"/>
      <c r="M476" s="12"/>
      <c r="N476" s="12"/>
      <c r="O476" s="12"/>
      <c r="P476" s="12"/>
    </row>
    <row r="477">
      <c r="A477" s="12"/>
      <c r="B477" s="12"/>
      <c r="C477" s="12"/>
      <c r="D477" s="12"/>
      <c r="H477" s="20"/>
      <c r="J477" s="20"/>
      <c r="K477" s="20"/>
      <c r="L477" s="20"/>
      <c r="M477" s="12"/>
      <c r="N477" s="12"/>
      <c r="O477" s="12"/>
      <c r="P477" s="12"/>
    </row>
    <row r="478">
      <c r="A478" s="12"/>
      <c r="B478" s="12"/>
      <c r="C478" s="12"/>
      <c r="D478" s="12"/>
      <c r="H478" s="20"/>
      <c r="J478" s="20"/>
      <c r="K478" s="20"/>
      <c r="L478" s="20"/>
      <c r="M478" s="12"/>
      <c r="N478" s="12"/>
      <c r="O478" s="12"/>
      <c r="P478" s="12"/>
    </row>
    <row r="479">
      <c r="A479" s="12"/>
      <c r="B479" s="12"/>
      <c r="C479" s="12"/>
      <c r="D479" s="12"/>
      <c r="H479" s="20"/>
      <c r="J479" s="20"/>
      <c r="K479" s="20"/>
      <c r="L479" s="20"/>
      <c r="M479" s="12"/>
      <c r="N479" s="12"/>
      <c r="O479" s="12"/>
      <c r="P479" s="12"/>
    </row>
    <row r="480">
      <c r="A480" s="12"/>
      <c r="B480" s="12"/>
      <c r="C480" s="12"/>
      <c r="D480" s="12"/>
      <c r="H480" s="20"/>
      <c r="J480" s="20"/>
      <c r="K480" s="20"/>
      <c r="L480" s="20"/>
      <c r="M480" s="12"/>
      <c r="N480" s="12"/>
      <c r="O480" s="12"/>
      <c r="P480" s="12"/>
    </row>
    <row r="481">
      <c r="A481" s="12"/>
      <c r="B481" s="12"/>
      <c r="C481" s="12"/>
      <c r="D481" s="12"/>
      <c r="H481" s="20"/>
      <c r="J481" s="20"/>
      <c r="K481" s="20"/>
      <c r="L481" s="20"/>
      <c r="M481" s="12"/>
      <c r="N481" s="12"/>
      <c r="O481" s="12"/>
      <c r="P481" s="12"/>
    </row>
    <row r="482">
      <c r="A482" s="12"/>
      <c r="B482" s="12"/>
      <c r="C482" s="12"/>
      <c r="D482" s="12"/>
      <c r="H482" s="20"/>
      <c r="J482" s="20"/>
      <c r="K482" s="20"/>
      <c r="L482" s="20"/>
      <c r="M482" s="12"/>
      <c r="N482" s="12"/>
      <c r="O482" s="12"/>
      <c r="P482" s="12"/>
    </row>
    <row r="483">
      <c r="A483" s="12"/>
      <c r="B483" s="12"/>
      <c r="C483" s="12"/>
      <c r="D483" s="12"/>
      <c r="H483" s="20"/>
      <c r="J483" s="20"/>
      <c r="K483" s="20"/>
      <c r="L483" s="20"/>
      <c r="M483" s="12"/>
      <c r="N483" s="12"/>
      <c r="O483" s="12"/>
      <c r="P483" s="12"/>
    </row>
    <row r="484">
      <c r="A484" s="12"/>
      <c r="B484" s="12"/>
      <c r="C484" s="12"/>
      <c r="D484" s="12"/>
      <c r="H484" s="20"/>
      <c r="J484" s="20"/>
      <c r="K484" s="20"/>
      <c r="L484" s="20"/>
      <c r="M484" s="12"/>
      <c r="N484" s="12"/>
      <c r="O484" s="12"/>
      <c r="P484" s="12"/>
    </row>
    <row r="485">
      <c r="A485" s="12"/>
      <c r="B485" s="12"/>
      <c r="C485" s="12"/>
      <c r="D485" s="12"/>
      <c r="H485" s="20"/>
      <c r="J485" s="20"/>
      <c r="K485" s="20"/>
      <c r="L485" s="20"/>
      <c r="M485" s="12"/>
      <c r="N485" s="12"/>
      <c r="O485" s="12"/>
      <c r="P485" s="12"/>
    </row>
    <row r="486">
      <c r="A486" s="12"/>
      <c r="B486" s="12"/>
      <c r="C486" s="12"/>
      <c r="D486" s="12"/>
      <c r="H486" s="20"/>
      <c r="J486" s="20"/>
      <c r="K486" s="20"/>
      <c r="L486" s="20"/>
      <c r="M486" s="12"/>
      <c r="N486" s="12"/>
      <c r="O486" s="12"/>
      <c r="P486" s="12"/>
    </row>
    <row r="487">
      <c r="A487" s="12"/>
      <c r="B487" s="12"/>
      <c r="C487" s="12"/>
      <c r="D487" s="12"/>
      <c r="H487" s="20"/>
      <c r="J487" s="20"/>
      <c r="K487" s="20"/>
      <c r="L487" s="20"/>
      <c r="M487" s="12"/>
      <c r="N487" s="12"/>
      <c r="O487" s="12"/>
      <c r="P487" s="12"/>
    </row>
    <row r="488">
      <c r="A488" s="12"/>
      <c r="B488" s="12"/>
      <c r="C488" s="12"/>
      <c r="D488" s="12"/>
      <c r="H488" s="20"/>
      <c r="J488" s="20"/>
      <c r="K488" s="20"/>
      <c r="L488" s="20"/>
      <c r="M488" s="12"/>
      <c r="N488" s="12"/>
      <c r="O488" s="12"/>
      <c r="P488" s="12"/>
    </row>
    <row r="489">
      <c r="A489" s="12"/>
      <c r="B489" s="12"/>
      <c r="C489" s="12"/>
      <c r="D489" s="12"/>
      <c r="H489" s="20"/>
      <c r="J489" s="20"/>
      <c r="K489" s="20"/>
      <c r="L489" s="20"/>
      <c r="M489" s="12"/>
      <c r="N489" s="12"/>
      <c r="O489" s="12"/>
      <c r="P489" s="12"/>
    </row>
    <row r="490">
      <c r="A490" s="12"/>
      <c r="B490" s="12"/>
      <c r="C490" s="12"/>
      <c r="D490" s="12"/>
      <c r="H490" s="20"/>
      <c r="J490" s="20"/>
      <c r="K490" s="20"/>
      <c r="L490" s="20"/>
      <c r="M490" s="12"/>
      <c r="N490" s="12"/>
      <c r="O490" s="12"/>
      <c r="P490" s="12"/>
    </row>
    <row r="491">
      <c r="A491" s="12"/>
      <c r="B491" s="12"/>
      <c r="C491" s="12"/>
      <c r="D491" s="12"/>
      <c r="H491" s="20"/>
      <c r="J491" s="20"/>
      <c r="K491" s="20"/>
      <c r="L491" s="20"/>
      <c r="M491" s="12"/>
      <c r="N491" s="12"/>
      <c r="O491" s="12"/>
      <c r="P491" s="12"/>
    </row>
    <row r="492">
      <c r="A492" s="12"/>
      <c r="B492" s="12"/>
      <c r="C492" s="12"/>
      <c r="D492" s="12"/>
      <c r="H492" s="20"/>
      <c r="J492" s="20"/>
      <c r="K492" s="20"/>
      <c r="L492" s="20"/>
      <c r="M492" s="12"/>
      <c r="N492" s="12"/>
      <c r="O492" s="12"/>
      <c r="P492" s="12"/>
    </row>
    <row r="493">
      <c r="A493" s="12"/>
      <c r="B493" s="12"/>
      <c r="C493" s="12"/>
      <c r="D493" s="12"/>
      <c r="H493" s="20"/>
      <c r="J493" s="20"/>
      <c r="K493" s="20"/>
      <c r="L493" s="20"/>
      <c r="M493" s="12"/>
      <c r="N493" s="12"/>
      <c r="O493" s="12"/>
      <c r="P493" s="12"/>
    </row>
    <row r="494">
      <c r="A494" s="12"/>
      <c r="B494" s="12"/>
      <c r="C494" s="12"/>
      <c r="D494" s="12"/>
      <c r="H494" s="20"/>
      <c r="J494" s="20"/>
      <c r="K494" s="20"/>
      <c r="L494" s="20"/>
      <c r="M494" s="12"/>
      <c r="N494" s="12"/>
      <c r="O494" s="12"/>
      <c r="P494" s="12"/>
    </row>
    <row r="495">
      <c r="A495" s="12"/>
      <c r="B495" s="12"/>
      <c r="C495" s="12"/>
      <c r="D495" s="12"/>
      <c r="H495" s="20"/>
      <c r="J495" s="20"/>
      <c r="K495" s="20"/>
      <c r="L495" s="20"/>
      <c r="M495" s="12"/>
      <c r="N495" s="12"/>
      <c r="O495" s="12"/>
      <c r="P495" s="12"/>
    </row>
    <row r="496">
      <c r="A496" s="12"/>
      <c r="B496" s="12"/>
      <c r="C496" s="12"/>
      <c r="D496" s="12"/>
      <c r="H496" s="20"/>
      <c r="J496" s="20"/>
      <c r="K496" s="20"/>
      <c r="L496" s="20"/>
      <c r="M496" s="12"/>
      <c r="N496" s="12"/>
      <c r="O496" s="12"/>
      <c r="P496" s="12"/>
    </row>
    <row r="497">
      <c r="A497" s="12"/>
      <c r="B497" s="12"/>
      <c r="C497" s="12"/>
      <c r="D497" s="12"/>
      <c r="H497" s="20"/>
      <c r="J497" s="20"/>
      <c r="K497" s="20"/>
      <c r="L497" s="20"/>
      <c r="M497" s="12"/>
      <c r="N497" s="12"/>
      <c r="O497" s="12"/>
      <c r="P497" s="12"/>
    </row>
    <row r="498">
      <c r="A498" s="12"/>
      <c r="B498" s="12"/>
      <c r="C498" s="12"/>
      <c r="D498" s="12"/>
      <c r="H498" s="20"/>
      <c r="J498" s="20"/>
      <c r="K498" s="20"/>
      <c r="L498" s="20"/>
      <c r="M498" s="12"/>
      <c r="N498" s="12"/>
      <c r="O498" s="12"/>
      <c r="P498" s="12"/>
    </row>
    <row r="499">
      <c r="A499" s="12"/>
      <c r="B499" s="12"/>
      <c r="C499" s="12"/>
      <c r="D499" s="12"/>
      <c r="H499" s="20"/>
      <c r="J499" s="20"/>
      <c r="K499" s="20"/>
      <c r="L499" s="20"/>
      <c r="M499" s="12"/>
      <c r="N499" s="12"/>
      <c r="O499" s="12"/>
      <c r="P499" s="12"/>
    </row>
    <row r="500">
      <c r="A500" s="12"/>
      <c r="B500" s="12"/>
      <c r="C500" s="12"/>
      <c r="D500" s="12"/>
      <c r="H500" s="20"/>
      <c r="J500" s="20"/>
      <c r="K500" s="20"/>
      <c r="L500" s="20"/>
      <c r="M500" s="12"/>
      <c r="N500" s="12"/>
      <c r="O500" s="12"/>
      <c r="P500" s="12"/>
    </row>
    <row r="501">
      <c r="A501" s="12"/>
      <c r="B501" s="12"/>
      <c r="C501" s="12"/>
      <c r="D501" s="12"/>
      <c r="H501" s="20"/>
      <c r="J501" s="20"/>
      <c r="K501" s="20"/>
      <c r="L501" s="20"/>
      <c r="M501" s="12"/>
      <c r="N501" s="12"/>
      <c r="O501" s="12"/>
      <c r="P501" s="12"/>
    </row>
    <row r="502">
      <c r="A502" s="12"/>
      <c r="B502" s="12"/>
      <c r="C502" s="12"/>
      <c r="D502" s="12"/>
      <c r="H502" s="20"/>
      <c r="J502" s="20"/>
      <c r="K502" s="20"/>
      <c r="L502" s="20"/>
      <c r="M502" s="12"/>
      <c r="N502" s="12"/>
      <c r="O502" s="12"/>
      <c r="P502" s="12"/>
    </row>
    <row r="503">
      <c r="A503" s="12"/>
      <c r="B503" s="12"/>
      <c r="C503" s="12"/>
      <c r="D503" s="12"/>
      <c r="H503" s="20"/>
      <c r="J503" s="20"/>
      <c r="K503" s="20"/>
      <c r="L503" s="20"/>
      <c r="M503" s="12"/>
      <c r="N503" s="12"/>
      <c r="O503" s="12"/>
      <c r="P503" s="12"/>
    </row>
    <row r="504">
      <c r="A504" s="12"/>
      <c r="B504" s="12"/>
      <c r="C504" s="12"/>
      <c r="D504" s="12"/>
      <c r="H504" s="20"/>
      <c r="J504" s="20"/>
      <c r="K504" s="20"/>
      <c r="L504" s="20"/>
      <c r="M504" s="12"/>
      <c r="N504" s="12"/>
      <c r="O504" s="12"/>
      <c r="P504" s="12"/>
    </row>
    <row r="505">
      <c r="A505" s="12"/>
      <c r="B505" s="12"/>
      <c r="C505" s="12"/>
      <c r="D505" s="12"/>
      <c r="H505" s="20"/>
      <c r="J505" s="20"/>
      <c r="K505" s="20"/>
      <c r="L505" s="20"/>
      <c r="M505" s="12"/>
      <c r="N505" s="12"/>
      <c r="O505" s="12"/>
      <c r="P505" s="12"/>
    </row>
    <row r="506">
      <c r="A506" s="12"/>
      <c r="B506" s="12"/>
      <c r="C506" s="12"/>
      <c r="D506" s="12"/>
      <c r="H506" s="20"/>
      <c r="J506" s="20"/>
      <c r="K506" s="20"/>
      <c r="L506" s="20"/>
      <c r="M506" s="12"/>
      <c r="N506" s="12"/>
      <c r="O506" s="12"/>
      <c r="P506" s="12"/>
    </row>
    <row r="507">
      <c r="A507" s="12"/>
      <c r="B507" s="12"/>
      <c r="C507" s="12"/>
      <c r="D507" s="12"/>
      <c r="H507" s="20"/>
      <c r="J507" s="20"/>
      <c r="K507" s="20"/>
      <c r="L507" s="20"/>
      <c r="M507" s="12"/>
      <c r="N507" s="12"/>
      <c r="O507" s="12"/>
      <c r="P507" s="12"/>
    </row>
    <row r="508">
      <c r="A508" s="12"/>
      <c r="B508" s="12"/>
      <c r="C508" s="12"/>
      <c r="D508" s="12"/>
      <c r="H508" s="20"/>
      <c r="J508" s="20"/>
      <c r="K508" s="20"/>
      <c r="L508" s="20"/>
      <c r="M508" s="12"/>
      <c r="N508" s="12"/>
      <c r="O508" s="12"/>
      <c r="P508" s="12"/>
    </row>
    <row r="509">
      <c r="A509" s="12"/>
      <c r="B509" s="12"/>
      <c r="C509" s="12"/>
      <c r="D509" s="12"/>
      <c r="H509" s="20"/>
      <c r="J509" s="20"/>
      <c r="K509" s="20"/>
      <c r="L509" s="20"/>
      <c r="M509" s="12"/>
      <c r="N509" s="12"/>
      <c r="O509" s="12"/>
      <c r="P509" s="12"/>
    </row>
    <row r="510">
      <c r="A510" s="12"/>
      <c r="B510" s="12"/>
      <c r="C510" s="12"/>
      <c r="D510" s="12"/>
      <c r="H510" s="20"/>
      <c r="J510" s="20"/>
      <c r="K510" s="20"/>
      <c r="L510" s="20"/>
      <c r="M510" s="12"/>
      <c r="N510" s="12"/>
      <c r="O510" s="12"/>
      <c r="P510" s="12"/>
    </row>
    <row r="511">
      <c r="A511" s="12"/>
      <c r="B511" s="12"/>
      <c r="C511" s="12"/>
      <c r="D511" s="12"/>
      <c r="H511" s="20"/>
      <c r="J511" s="20"/>
      <c r="K511" s="20"/>
      <c r="L511" s="20"/>
      <c r="M511" s="12"/>
      <c r="N511" s="12"/>
      <c r="O511" s="12"/>
      <c r="P511" s="12"/>
    </row>
    <row r="512">
      <c r="A512" s="12"/>
      <c r="B512" s="12"/>
      <c r="C512" s="12"/>
      <c r="D512" s="12"/>
      <c r="H512" s="20"/>
      <c r="J512" s="20"/>
      <c r="K512" s="20"/>
      <c r="L512" s="20"/>
      <c r="M512" s="12"/>
      <c r="N512" s="12"/>
      <c r="O512" s="12"/>
      <c r="P512" s="12"/>
    </row>
    <row r="513">
      <c r="A513" s="12"/>
      <c r="B513" s="12"/>
      <c r="C513" s="12"/>
      <c r="D513" s="12"/>
      <c r="H513" s="20"/>
      <c r="J513" s="20"/>
      <c r="K513" s="20"/>
      <c r="L513" s="20"/>
      <c r="M513" s="12"/>
      <c r="N513" s="12"/>
      <c r="O513" s="12"/>
      <c r="P513" s="12"/>
    </row>
    <row r="514">
      <c r="A514" s="12"/>
      <c r="B514" s="12"/>
      <c r="C514" s="12"/>
      <c r="D514" s="12"/>
      <c r="H514" s="20"/>
      <c r="J514" s="20"/>
      <c r="K514" s="20"/>
      <c r="L514" s="20"/>
      <c r="M514" s="12"/>
      <c r="N514" s="12"/>
      <c r="O514" s="12"/>
      <c r="P514" s="12"/>
    </row>
    <row r="515">
      <c r="A515" s="12"/>
      <c r="B515" s="12"/>
      <c r="C515" s="12"/>
      <c r="D515" s="12"/>
      <c r="H515" s="20"/>
      <c r="J515" s="20"/>
      <c r="K515" s="20"/>
      <c r="L515" s="20"/>
      <c r="M515" s="12"/>
      <c r="N515" s="12"/>
      <c r="O515" s="12"/>
      <c r="P515" s="12"/>
    </row>
    <row r="516">
      <c r="A516" s="12"/>
      <c r="B516" s="12"/>
      <c r="C516" s="12"/>
      <c r="D516" s="12"/>
      <c r="H516" s="20"/>
      <c r="J516" s="20"/>
      <c r="K516" s="20"/>
      <c r="L516" s="20"/>
      <c r="M516" s="12"/>
      <c r="N516" s="12"/>
      <c r="O516" s="12"/>
      <c r="P516" s="12"/>
    </row>
    <row r="517">
      <c r="A517" s="12"/>
      <c r="B517" s="12"/>
      <c r="C517" s="12"/>
      <c r="D517" s="12"/>
      <c r="H517" s="20"/>
      <c r="J517" s="20"/>
      <c r="K517" s="20"/>
      <c r="L517" s="20"/>
      <c r="M517" s="12"/>
      <c r="N517" s="12"/>
      <c r="O517" s="12"/>
      <c r="P517" s="12"/>
    </row>
    <row r="518">
      <c r="A518" s="12"/>
      <c r="B518" s="12"/>
      <c r="C518" s="12"/>
      <c r="D518" s="12"/>
      <c r="H518" s="20"/>
      <c r="J518" s="20"/>
      <c r="K518" s="20"/>
      <c r="L518" s="20"/>
      <c r="M518" s="12"/>
      <c r="N518" s="12"/>
      <c r="O518" s="12"/>
      <c r="P518" s="12"/>
    </row>
    <row r="519">
      <c r="A519" s="12"/>
      <c r="B519" s="12"/>
      <c r="C519" s="12"/>
      <c r="D519" s="12"/>
      <c r="H519" s="20"/>
      <c r="J519" s="20"/>
      <c r="K519" s="20"/>
      <c r="L519" s="20"/>
      <c r="M519" s="12"/>
      <c r="N519" s="12"/>
      <c r="O519" s="12"/>
      <c r="P519" s="12"/>
    </row>
    <row r="520">
      <c r="A520" s="12"/>
      <c r="B520" s="12"/>
      <c r="C520" s="12"/>
      <c r="D520" s="12"/>
      <c r="H520" s="20"/>
      <c r="J520" s="20"/>
      <c r="K520" s="20"/>
      <c r="L520" s="20"/>
      <c r="M520" s="12"/>
      <c r="N520" s="12"/>
      <c r="O520" s="12"/>
      <c r="P520" s="12"/>
    </row>
    <row r="521">
      <c r="A521" s="12"/>
      <c r="B521" s="12"/>
      <c r="C521" s="12"/>
      <c r="D521" s="12"/>
      <c r="H521" s="20"/>
      <c r="J521" s="20"/>
      <c r="K521" s="20"/>
      <c r="L521" s="20"/>
      <c r="M521" s="12"/>
      <c r="N521" s="12"/>
      <c r="O521" s="12"/>
      <c r="P521" s="12"/>
    </row>
    <row r="522">
      <c r="A522" s="12"/>
      <c r="B522" s="12"/>
      <c r="C522" s="12"/>
      <c r="D522" s="12"/>
      <c r="H522" s="20"/>
      <c r="J522" s="20"/>
      <c r="K522" s="20"/>
      <c r="L522" s="20"/>
      <c r="M522" s="12"/>
      <c r="N522" s="12"/>
      <c r="O522" s="12"/>
      <c r="P522" s="12"/>
    </row>
    <row r="523">
      <c r="A523" s="12"/>
      <c r="B523" s="12"/>
      <c r="C523" s="12"/>
      <c r="D523" s="12"/>
      <c r="H523" s="20"/>
      <c r="J523" s="20"/>
      <c r="K523" s="20"/>
      <c r="L523" s="20"/>
      <c r="M523" s="12"/>
      <c r="N523" s="12"/>
      <c r="O523" s="12"/>
      <c r="P523" s="12"/>
    </row>
    <row r="524">
      <c r="A524" s="12"/>
      <c r="B524" s="12"/>
      <c r="C524" s="12"/>
      <c r="D524" s="12"/>
      <c r="H524" s="20"/>
      <c r="J524" s="20"/>
      <c r="K524" s="20"/>
      <c r="L524" s="20"/>
      <c r="M524" s="12"/>
      <c r="N524" s="12"/>
      <c r="O524" s="12"/>
      <c r="P524" s="12"/>
    </row>
    <row r="525">
      <c r="A525" s="12"/>
      <c r="B525" s="12"/>
      <c r="C525" s="12"/>
      <c r="D525" s="12"/>
      <c r="H525" s="20"/>
      <c r="J525" s="20"/>
      <c r="K525" s="20"/>
      <c r="L525" s="20"/>
      <c r="M525" s="12"/>
      <c r="N525" s="12"/>
      <c r="O525" s="12"/>
      <c r="P525" s="12"/>
    </row>
    <row r="526">
      <c r="A526" s="12"/>
      <c r="B526" s="12"/>
      <c r="C526" s="12"/>
      <c r="D526" s="12"/>
      <c r="H526" s="20"/>
      <c r="J526" s="20"/>
      <c r="K526" s="20"/>
      <c r="L526" s="20"/>
      <c r="M526" s="12"/>
      <c r="N526" s="12"/>
      <c r="O526" s="12"/>
      <c r="P526" s="12"/>
    </row>
    <row r="527">
      <c r="A527" s="12"/>
      <c r="B527" s="12"/>
      <c r="C527" s="12"/>
      <c r="D527" s="12"/>
      <c r="H527" s="20"/>
      <c r="J527" s="20"/>
      <c r="K527" s="20"/>
      <c r="L527" s="20"/>
      <c r="M527" s="12"/>
      <c r="N527" s="12"/>
      <c r="O527" s="12"/>
      <c r="P527" s="12"/>
    </row>
    <row r="528">
      <c r="A528" s="12"/>
      <c r="B528" s="12"/>
      <c r="C528" s="12"/>
      <c r="D528" s="12"/>
      <c r="H528" s="20"/>
      <c r="J528" s="20"/>
      <c r="K528" s="20"/>
      <c r="L528" s="20"/>
      <c r="M528" s="12"/>
      <c r="N528" s="12"/>
      <c r="O528" s="12"/>
      <c r="P528" s="12"/>
    </row>
    <row r="529">
      <c r="A529" s="12"/>
      <c r="B529" s="12"/>
      <c r="C529" s="12"/>
      <c r="D529" s="12"/>
      <c r="H529" s="20"/>
      <c r="J529" s="20"/>
      <c r="K529" s="20"/>
      <c r="L529" s="20"/>
      <c r="M529" s="12"/>
      <c r="N529" s="12"/>
      <c r="O529" s="12"/>
      <c r="P529" s="12"/>
    </row>
    <row r="530">
      <c r="A530" s="12"/>
      <c r="B530" s="12"/>
      <c r="C530" s="12"/>
      <c r="D530" s="12"/>
      <c r="H530" s="20"/>
      <c r="J530" s="20"/>
      <c r="K530" s="20"/>
      <c r="L530" s="20"/>
      <c r="M530" s="12"/>
      <c r="N530" s="12"/>
      <c r="O530" s="12"/>
      <c r="P530" s="12"/>
    </row>
    <row r="531">
      <c r="A531" s="12"/>
      <c r="B531" s="12"/>
      <c r="C531" s="12"/>
      <c r="D531" s="12"/>
      <c r="H531" s="20"/>
      <c r="J531" s="20"/>
      <c r="K531" s="20"/>
      <c r="L531" s="20"/>
      <c r="M531" s="12"/>
      <c r="N531" s="12"/>
      <c r="O531" s="12"/>
      <c r="P531" s="12"/>
    </row>
    <row r="532">
      <c r="A532" s="12"/>
      <c r="B532" s="12"/>
      <c r="C532" s="12"/>
      <c r="D532" s="12"/>
      <c r="H532" s="20"/>
      <c r="J532" s="20"/>
      <c r="K532" s="20"/>
      <c r="L532" s="20"/>
      <c r="M532" s="12"/>
      <c r="N532" s="12"/>
      <c r="O532" s="12"/>
      <c r="P532" s="12"/>
    </row>
    <row r="533">
      <c r="A533" s="12"/>
      <c r="B533" s="12"/>
      <c r="C533" s="12"/>
      <c r="D533" s="12"/>
      <c r="H533" s="20"/>
      <c r="J533" s="20"/>
      <c r="K533" s="20"/>
      <c r="L533" s="20"/>
      <c r="M533" s="12"/>
      <c r="N533" s="12"/>
      <c r="O533" s="12"/>
      <c r="P533" s="12"/>
    </row>
    <row r="534">
      <c r="A534" s="12"/>
      <c r="B534" s="12"/>
      <c r="C534" s="12"/>
      <c r="D534" s="12"/>
      <c r="H534" s="20"/>
      <c r="J534" s="20"/>
      <c r="K534" s="20"/>
      <c r="L534" s="20"/>
      <c r="M534" s="12"/>
      <c r="N534" s="12"/>
      <c r="O534" s="12"/>
      <c r="P534" s="12"/>
    </row>
    <row r="535">
      <c r="A535" s="12"/>
      <c r="B535" s="12"/>
      <c r="C535" s="12"/>
      <c r="D535" s="12"/>
      <c r="H535" s="20"/>
      <c r="J535" s="20"/>
      <c r="K535" s="20"/>
      <c r="L535" s="20"/>
      <c r="M535" s="12"/>
      <c r="N535" s="12"/>
      <c r="O535" s="12"/>
      <c r="P535" s="12"/>
    </row>
    <row r="536">
      <c r="A536" s="12"/>
      <c r="B536" s="12"/>
      <c r="C536" s="12"/>
      <c r="D536" s="12"/>
      <c r="H536" s="20"/>
      <c r="J536" s="20"/>
      <c r="K536" s="20"/>
      <c r="L536" s="20"/>
      <c r="M536" s="12"/>
      <c r="N536" s="12"/>
      <c r="O536" s="12"/>
      <c r="P536" s="12"/>
    </row>
    <row r="537">
      <c r="A537" s="12"/>
      <c r="B537" s="12"/>
      <c r="C537" s="12"/>
      <c r="D537" s="12"/>
      <c r="H537" s="20"/>
      <c r="J537" s="20"/>
      <c r="K537" s="20"/>
      <c r="L537" s="20"/>
      <c r="M537" s="12"/>
      <c r="N537" s="12"/>
      <c r="O537" s="12"/>
      <c r="P537" s="12"/>
    </row>
    <row r="538">
      <c r="A538" s="12"/>
      <c r="B538" s="12"/>
      <c r="C538" s="12"/>
      <c r="D538" s="12"/>
      <c r="H538" s="20"/>
      <c r="J538" s="20"/>
      <c r="K538" s="20"/>
      <c r="L538" s="20"/>
      <c r="M538" s="12"/>
      <c r="N538" s="12"/>
      <c r="O538" s="12"/>
      <c r="P538" s="12"/>
    </row>
    <row r="539">
      <c r="A539" s="12"/>
      <c r="B539" s="12"/>
      <c r="C539" s="12"/>
      <c r="D539" s="12"/>
      <c r="H539" s="20"/>
      <c r="J539" s="20"/>
      <c r="K539" s="20"/>
      <c r="L539" s="20"/>
      <c r="M539" s="12"/>
      <c r="N539" s="12"/>
      <c r="O539" s="12"/>
      <c r="P539" s="12"/>
    </row>
    <row r="540">
      <c r="A540" s="12"/>
      <c r="B540" s="12"/>
      <c r="C540" s="12"/>
      <c r="D540" s="12"/>
      <c r="H540" s="20"/>
      <c r="J540" s="20"/>
      <c r="K540" s="20"/>
      <c r="L540" s="20"/>
      <c r="M540" s="12"/>
      <c r="N540" s="12"/>
      <c r="O540" s="12"/>
      <c r="P540" s="12"/>
    </row>
    <row r="541">
      <c r="A541" s="12"/>
      <c r="B541" s="12"/>
      <c r="C541" s="12"/>
      <c r="D541" s="12"/>
      <c r="H541" s="20"/>
      <c r="J541" s="20"/>
      <c r="K541" s="20"/>
      <c r="L541" s="20"/>
      <c r="M541" s="12"/>
      <c r="N541" s="12"/>
      <c r="O541" s="12"/>
      <c r="P541" s="12"/>
    </row>
    <row r="542">
      <c r="A542" s="12"/>
      <c r="B542" s="12"/>
      <c r="C542" s="12"/>
      <c r="D542" s="12"/>
      <c r="H542" s="20"/>
      <c r="J542" s="20"/>
      <c r="K542" s="20"/>
      <c r="L542" s="20"/>
      <c r="M542" s="12"/>
      <c r="N542" s="12"/>
      <c r="O542" s="12"/>
      <c r="P542" s="12"/>
    </row>
    <row r="543">
      <c r="A543" s="12"/>
      <c r="B543" s="12"/>
      <c r="C543" s="12"/>
      <c r="D543" s="12"/>
      <c r="H543" s="20"/>
      <c r="J543" s="20"/>
      <c r="K543" s="20"/>
      <c r="L543" s="20"/>
      <c r="M543" s="12"/>
      <c r="N543" s="12"/>
      <c r="O543" s="12"/>
      <c r="P543" s="12"/>
    </row>
    <row r="544">
      <c r="A544" s="12"/>
      <c r="B544" s="12"/>
      <c r="C544" s="12"/>
      <c r="D544" s="12"/>
      <c r="H544" s="20"/>
      <c r="J544" s="20"/>
      <c r="K544" s="20"/>
      <c r="L544" s="20"/>
      <c r="M544" s="12"/>
      <c r="N544" s="12"/>
      <c r="O544" s="12"/>
      <c r="P544" s="12"/>
    </row>
    <row r="545">
      <c r="A545" s="12"/>
      <c r="B545" s="12"/>
      <c r="C545" s="12"/>
      <c r="D545" s="12"/>
      <c r="H545" s="20"/>
      <c r="J545" s="20"/>
      <c r="K545" s="20"/>
      <c r="L545" s="20"/>
      <c r="M545" s="12"/>
      <c r="N545" s="12"/>
      <c r="O545" s="12"/>
      <c r="P545" s="12"/>
    </row>
    <row r="546">
      <c r="A546" s="12"/>
      <c r="B546" s="12"/>
      <c r="C546" s="12"/>
      <c r="D546" s="12"/>
      <c r="H546" s="20"/>
      <c r="J546" s="20"/>
      <c r="K546" s="20"/>
      <c r="L546" s="20"/>
      <c r="M546" s="12"/>
      <c r="N546" s="12"/>
      <c r="O546" s="12"/>
      <c r="P546" s="12"/>
    </row>
    <row r="547">
      <c r="A547" s="12"/>
      <c r="B547" s="12"/>
      <c r="C547" s="12"/>
      <c r="D547" s="12"/>
      <c r="H547" s="20"/>
      <c r="J547" s="20"/>
      <c r="K547" s="20"/>
      <c r="L547" s="20"/>
      <c r="M547" s="12"/>
      <c r="N547" s="12"/>
      <c r="O547" s="12"/>
      <c r="P547" s="12"/>
    </row>
    <row r="548">
      <c r="A548" s="12"/>
      <c r="B548" s="12"/>
      <c r="C548" s="12"/>
      <c r="D548" s="12"/>
      <c r="H548" s="20"/>
      <c r="J548" s="20"/>
      <c r="K548" s="20"/>
      <c r="L548" s="20"/>
      <c r="M548" s="12"/>
      <c r="N548" s="12"/>
      <c r="O548" s="12"/>
      <c r="P548" s="12"/>
    </row>
    <row r="549">
      <c r="A549" s="12"/>
      <c r="B549" s="12"/>
      <c r="C549" s="12"/>
      <c r="D549" s="12"/>
      <c r="H549" s="20"/>
      <c r="J549" s="20"/>
      <c r="K549" s="20"/>
      <c r="L549" s="20"/>
      <c r="M549" s="12"/>
      <c r="N549" s="12"/>
      <c r="O549" s="12"/>
      <c r="P549" s="12"/>
    </row>
    <row r="550">
      <c r="A550" s="12"/>
      <c r="B550" s="12"/>
      <c r="C550" s="12"/>
      <c r="D550" s="12"/>
      <c r="H550" s="20"/>
      <c r="J550" s="20"/>
      <c r="K550" s="20"/>
      <c r="L550" s="20"/>
      <c r="M550" s="12"/>
      <c r="N550" s="12"/>
      <c r="O550" s="12"/>
      <c r="P550" s="12"/>
    </row>
    <row r="551">
      <c r="A551" s="12"/>
      <c r="B551" s="12"/>
      <c r="C551" s="12"/>
      <c r="D551" s="12"/>
      <c r="H551" s="20"/>
      <c r="J551" s="20"/>
      <c r="K551" s="20"/>
      <c r="L551" s="20"/>
      <c r="M551" s="12"/>
      <c r="N551" s="12"/>
      <c r="O551" s="12"/>
      <c r="P551" s="12"/>
    </row>
    <row r="552">
      <c r="A552" s="12"/>
      <c r="B552" s="12"/>
      <c r="C552" s="12"/>
      <c r="D552" s="12"/>
      <c r="H552" s="20"/>
      <c r="J552" s="20"/>
      <c r="K552" s="20"/>
      <c r="L552" s="20"/>
      <c r="M552" s="12"/>
      <c r="N552" s="12"/>
      <c r="O552" s="12"/>
      <c r="P552" s="12"/>
    </row>
    <row r="553">
      <c r="A553" s="12"/>
      <c r="B553" s="12"/>
      <c r="C553" s="12"/>
      <c r="D553" s="12"/>
      <c r="H553" s="20"/>
      <c r="J553" s="20"/>
      <c r="K553" s="20"/>
      <c r="L553" s="20"/>
      <c r="M553" s="12"/>
      <c r="N553" s="12"/>
      <c r="O553" s="12"/>
      <c r="P553" s="12"/>
    </row>
    <row r="554">
      <c r="A554" s="12"/>
      <c r="B554" s="12"/>
      <c r="C554" s="12"/>
      <c r="D554" s="12"/>
      <c r="H554" s="20"/>
      <c r="J554" s="20"/>
      <c r="K554" s="20"/>
      <c r="L554" s="20"/>
      <c r="M554" s="12"/>
      <c r="N554" s="12"/>
      <c r="O554" s="12"/>
      <c r="P554" s="12"/>
    </row>
    <row r="555">
      <c r="A555" s="12"/>
      <c r="B555" s="12"/>
      <c r="C555" s="12"/>
      <c r="D555" s="12"/>
      <c r="H555" s="20"/>
      <c r="J555" s="20"/>
      <c r="K555" s="20"/>
      <c r="L555" s="20"/>
      <c r="M555" s="12"/>
      <c r="N555" s="12"/>
      <c r="O555" s="12"/>
      <c r="P555" s="12"/>
    </row>
    <row r="556">
      <c r="A556" s="12"/>
      <c r="B556" s="12"/>
      <c r="C556" s="12"/>
      <c r="D556" s="12"/>
      <c r="H556" s="20"/>
      <c r="J556" s="20"/>
      <c r="K556" s="20"/>
      <c r="L556" s="20"/>
      <c r="M556" s="12"/>
      <c r="N556" s="12"/>
      <c r="O556" s="12"/>
      <c r="P556" s="12"/>
    </row>
    <row r="557">
      <c r="A557" s="12"/>
      <c r="B557" s="12"/>
      <c r="C557" s="12"/>
      <c r="D557" s="12"/>
      <c r="H557" s="20"/>
      <c r="J557" s="20"/>
      <c r="K557" s="20"/>
      <c r="L557" s="20"/>
      <c r="M557" s="12"/>
      <c r="N557" s="12"/>
      <c r="O557" s="12"/>
      <c r="P557" s="12"/>
    </row>
    <row r="558">
      <c r="A558" s="12"/>
      <c r="B558" s="12"/>
      <c r="C558" s="12"/>
      <c r="D558" s="12"/>
      <c r="H558" s="20"/>
      <c r="J558" s="20"/>
      <c r="K558" s="20"/>
      <c r="L558" s="20"/>
      <c r="M558" s="12"/>
      <c r="N558" s="12"/>
      <c r="O558" s="12"/>
      <c r="P558" s="12"/>
    </row>
    <row r="559">
      <c r="A559" s="12"/>
      <c r="B559" s="12"/>
      <c r="C559" s="12"/>
      <c r="D559" s="12"/>
      <c r="H559" s="20"/>
      <c r="J559" s="20"/>
      <c r="K559" s="20"/>
      <c r="L559" s="20"/>
      <c r="M559" s="12"/>
      <c r="N559" s="12"/>
      <c r="O559" s="12"/>
      <c r="P559" s="12"/>
    </row>
    <row r="560">
      <c r="A560" s="12"/>
      <c r="B560" s="12"/>
      <c r="C560" s="12"/>
      <c r="D560" s="12"/>
      <c r="H560" s="20"/>
      <c r="J560" s="20"/>
      <c r="K560" s="20"/>
      <c r="L560" s="20"/>
      <c r="M560" s="12"/>
      <c r="N560" s="12"/>
      <c r="O560" s="12"/>
      <c r="P560" s="12"/>
    </row>
    <row r="561">
      <c r="A561" s="12"/>
      <c r="B561" s="12"/>
      <c r="C561" s="12"/>
      <c r="D561" s="12"/>
      <c r="H561" s="20"/>
      <c r="J561" s="20"/>
      <c r="K561" s="20"/>
      <c r="L561" s="20"/>
      <c r="M561" s="12"/>
      <c r="N561" s="12"/>
      <c r="O561" s="12"/>
      <c r="P561" s="12"/>
    </row>
    <row r="562">
      <c r="A562" s="12"/>
      <c r="B562" s="12"/>
      <c r="C562" s="12"/>
      <c r="D562" s="12"/>
      <c r="H562" s="20"/>
      <c r="J562" s="20"/>
      <c r="K562" s="20"/>
      <c r="L562" s="20"/>
      <c r="M562" s="12"/>
      <c r="N562" s="12"/>
      <c r="O562" s="12"/>
      <c r="P562" s="12"/>
    </row>
    <row r="563">
      <c r="A563" s="12"/>
      <c r="B563" s="12"/>
      <c r="C563" s="12"/>
      <c r="D563" s="12"/>
      <c r="H563" s="20"/>
      <c r="J563" s="20"/>
      <c r="K563" s="20"/>
      <c r="L563" s="20"/>
      <c r="M563" s="12"/>
      <c r="N563" s="12"/>
      <c r="O563" s="12"/>
      <c r="P563" s="12"/>
    </row>
    <row r="564">
      <c r="A564" s="12"/>
      <c r="B564" s="12"/>
      <c r="C564" s="12"/>
      <c r="D564" s="12"/>
      <c r="H564" s="20"/>
      <c r="J564" s="20"/>
      <c r="K564" s="20"/>
      <c r="L564" s="20"/>
      <c r="M564" s="12"/>
      <c r="N564" s="12"/>
      <c r="O564" s="12"/>
      <c r="P564" s="12"/>
    </row>
    <row r="565">
      <c r="A565" s="12"/>
      <c r="B565" s="12"/>
      <c r="C565" s="12"/>
      <c r="D565" s="12"/>
      <c r="H565" s="20"/>
      <c r="J565" s="20"/>
      <c r="K565" s="20"/>
      <c r="L565" s="20"/>
      <c r="M565" s="12"/>
      <c r="N565" s="12"/>
      <c r="O565" s="12"/>
      <c r="P565" s="12"/>
    </row>
    <row r="566">
      <c r="A566" s="12"/>
      <c r="B566" s="12"/>
      <c r="C566" s="12"/>
      <c r="D566" s="12"/>
      <c r="H566" s="20"/>
      <c r="J566" s="20"/>
      <c r="K566" s="20"/>
      <c r="L566" s="20"/>
      <c r="M566" s="12"/>
      <c r="N566" s="12"/>
      <c r="O566" s="12"/>
      <c r="P566" s="12"/>
    </row>
    <row r="567">
      <c r="A567" s="12"/>
      <c r="B567" s="12"/>
      <c r="C567" s="12"/>
      <c r="D567" s="12"/>
      <c r="H567" s="20"/>
      <c r="J567" s="20"/>
      <c r="K567" s="20"/>
      <c r="L567" s="20"/>
      <c r="M567" s="12"/>
      <c r="N567" s="12"/>
      <c r="O567" s="12"/>
      <c r="P567" s="12"/>
    </row>
    <row r="568">
      <c r="A568" s="12"/>
      <c r="B568" s="12"/>
      <c r="C568" s="12"/>
      <c r="D568" s="12"/>
      <c r="H568" s="20"/>
      <c r="J568" s="20"/>
      <c r="K568" s="20"/>
      <c r="L568" s="20"/>
      <c r="M568" s="12"/>
      <c r="N568" s="12"/>
      <c r="O568" s="12"/>
      <c r="P568" s="12"/>
    </row>
    <row r="569">
      <c r="A569" s="12"/>
      <c r="B569" s="12"/>
      <c r="C569" s="12"/>
      <c r="D569" s="12"/>
      <c r="H569" s="20"/>
      <c r="J569" s="20"/>
      <c r="K569" s="20"/>
      <c r="L569" s="20"/>
      <c r="M569" s="12"/>
      <c r="N569" s="12"/>
      <c r="O569" s="12"/>
      <c r="P569" s="12"/>
    </row>
    <row r="570">
      <c r="A570" s="12"/>
      <c r="B570" s="12"/>
      <c r="C570" s="12"/>
      <c r="D570" s="12"/>
      <c r="H570" s="20"/>
      <c r="J570" s="20"/>
      <c r="K570" s="20"/>
      <c r="L570" s="20"/>
      <c r="M570" s="12"/>
      <c r="N570" s="12"/>
      <c r="O570" s="12"/>
      <c r="P570" s="12"/>
    </row>
    <row r="571">
      <c r="A571" s="12"/>
      <c r="B571" s="12"/>
      <c r="C571" s="12"/>
      <c r="D571" s="12"/>
      <c r="H571" s="20"/>
      <c r="J571" s="20"/>
      <c r="K571" s="20"/>
      <c r="L571" s="20"/>
      <c r="M571" s="12"/>
      <c r="N571" s="12"/>
      <c r="O571" s="12"/>
      <c r="P571" s="12"/>
    </row>
    <row r="572">
      <c r="A572" s="12"/>
      <c r="B572" s="12"/>
      <c r="C572" s="12"/>
      <c r="D572" s="12"/>
      <c r="H572" s="20"/>
      <c r="J572" s="20"/>
      <c r="K572" s="20"/>
      <c r="L572" s="20"/>
      <c r="M572" s="12"/>
      <c r="N572" s="12"/>
      <c r="O572" s="12"/>
      <c r="P572" s="12"/>
    </row>
    <row r="573">
      <c r="A573" s="12"/>
      <c r="B573" s="12"/>
      <c r="C573" s="12"/>
      <c r="D573" s="12"/>
      <c r="H573" s="20"/>
      <c r="J573" s="20"/>
      <c r="K573" s="20"/>
      <c r="L573" s="20"/>
      <c r="M573" s="12"/>
      <c r="N573" s="12"/>
      <c r="O573" s="12"/>
      <c r="P573" s="12"/>
    </row>
    <row r="574">
      <c r="A574" s="12"/>
      <c r="B574" s="12"/>
      <c r="C574" s="12"/>
      <c r="D574" s="12"/>
      <c r="H574" s="20"/>
      <c r="J574" s="20"/>
      <c r="K574" s="20"/>
      <c r="L574" s="20"/>
      <c r="M574" s="12"/>
      <c r="N574" s="12"/>
      <c r="O574" s="12"/>
      <c r="P574" s="12"/>
    </row>
    <row r="575">
      <c r="A575" s="12"/>
      <c r="B575" s="12"/>
      <c r="C575" s="12"/>
      <c r="D575" s="12"/>
      <c r="H575" s="20"/>
      <c r="J575" s="20"/>
      <c r="K575" s="20"/>
      <c r="L575" s="20"/>
      <c r="M575" s="12"/>
      <c r="N575" s="12"/>
      <c r="O575" s="12"/>
      <c r="P575" s="12"/>
    </row>
    <row r="576">
      <c r="A576" s="12"/>
      <c r="B576" s="12"/>
      <c r="C576" s="12"/>
      <c r="D576" s="12"/>
      <c r="H576" s="20"/>
      <c r="J576" s="20"/>
      <c r="K576" s="20"/>
      <c r="L576" s="20"/>
      <c r="M576" s="12"/>
      <c r="N576" s="12"/>
      <c r="O576" s="12"/>
      <c r="P576" s="12"/>
    </row>
    <row r="577">
      <c r="A577" s="12"/>
      <c r="B577" s="12"/>
      <c r="C577" s="12"/>
      <c r="D577" s="12"/>
      <c r="H577" s="20"/>
      <c r="J577" s="20"/>
      <c r="K577" s="20"/>
      <c r="L577" s="20"/>
      <c r="M577" s="12"/>
      <c r="N577" s="12"/>
      <c r="O577" s="12"/>
      <c r="P577" s="12"/>
    </row>
    <row r="578">
      <c r="A578" s="12"/>
      <c r="B578" s="12"/>
      <c r="C578" s="12"/>
      <c r="D578" s="12"/>
      <c r="H578" s="20"/>
      <c r="J578" s="20"/>
      <c r="K578" s="20"/>
      <c r="L578" s="20"/>
      <c r="M578" s="12"/>
      <c r="N578" s="12"/>
      <c r="O578" s="12"/>
      <c r="P578" s="12"/>
    </row>
    <row r="579">
      <c r="A579" s="12"/>
      <c r="B579" s="12"/>
      <c r="C579" s="12"/>
      <c r="D579" s="12"/>
      <c r="H579" s="20"/>
      <c r="J579" s="20"/>
      <c r="K579" s="20"/>
      <c r="L579" s="20"/>
      <c r="M579" s="12"/>
      <c r="N579" s="12"/>
      <c r="O579" s="12"/>
      <c r="P579" s="12"/>
    </row>
    <row r="580">
      <c r="A580" s="12"/>
      <c r="B580" s="12"/>
      <c r="C580" s="12"/>
      <c r="D580" s="12"/>
      <c r="H580" s="20"/>
      <c r="J580" s="20"/>
      <c r="K580" s="20"/>
      <c r="L580" s="20"/>
      <c r="M580" s="12"/>
      <c r="N580" s="12"/>
      <c r="O580" s="12"/>
      <c r="P580" s="12"/>
    </row>
    <row r="581">
      <c r="A581" s="12"/>
      <c r="B581" s="12"/>
      <c r="C581" s="12"/>
      <c r="D581" s="12"/>
      <c r="H581" s="20"/>
      <c r="J581" s="20"/>
      <c r="K581" s="20"/>
      <c r="L581" s="20"/>
      <c r="M581" s="12"/>
      <c r="N581" s="12"/>
      <c r="O581" s="12"/>
      <c r="P581" s="12"/>
    </row>
    <row r="582">
      <c r="A582" s="12"/>
      <c r="B582" s="12"/>
      <c r="C582" s="12"/>
      <c r="D582" s="12"/>
      <c r="H582" s="20"/>
      <c r="J582" s="20"/>
      <c r="K582" s="20"/>
      <c r="L582" s="20"/>
      <c r="M582" s="12"/>
      <c r="N582" s="12"/>
      <c r="O582" s="12"/>
      <c r="P582" s="12"/>
    </row>
    <row r="583">
      <c r="A583" s="12"/>
      <c r="B583" s="12"/>
      <c r="C583" s="12"/>
      <c r="D583" s="12"/>
      <c r="H583" s="20"/>
      <c r="J583" s="20"/>
      <c r="K583" s="20"/>
      <c r="L583" s="20"/>
      <c r="M583" s="12"/>
      <c r="N583" s="12"/>
      <c r="O583" s="12"/>
      <c r="P583" s="12"/>
    </row>
    <row r="584">
      <c r="A584" s="12"/>
      <c r="B584" s="12"/>
      <c r="C584" s="12"/>
      <c r="D584" s="12"/>
      <c r="H584" s="20"/>
      <c r="J584" s="20"/>
      <c r="K584" s="20"/>
      <c r="L584" s="20"/>
      <c r="M584" s="12"/>
      <c r="N584" s="12"/>
      <c r="O584" s="12"/>
      <c r="P584" s="12"/>
    </row>
    <row r="585">
      <c r="A585" s="12"/>
      <c r="B585" s="12"/>
      <c r="C585" s="12"/>
      <c r="D585" s="12"/>
      <c r="H585" s="20"/>
      <c r="J585" s="20"/>
      <c r="K585" s="20"/>
      <c r="L585" s="20"/>
      <c r="M585" s="12"/>
      <c r="N585" s="12"/>
      <c r="O585" s="12"/>
      <c r="P585" s="12"/>
    </row>
    <row r="586">
      <c r="A586" s="12"/>
      <c r="B586" s="12"/>
      <c r="C586" s="12"/>
      <c r="D586" s="12"/>
      <c r="H586" s="20"/>
      <c r="J586" s="20"/>
      <c r="K586" s="20"/>
      <c r="L586" s="20"/>
      <c r="M586" s="12"/>
      <c r="N586" s="12"/>
      <c r="O586" s="12"/>
      <c r="P586" s="12"/>
    </row>
    <row r="587">
      <c r="A587" s="12"/>
      <c r="B587" s="12"/>
      <c r="C587" s="12"/>
      <c r="D587" s="12"/>
      <c r="H587" s="20"/>
      <c r="J587" s="20"/>
      <c r="K587" s="20"/>
      <c r="L587" s="20"/>
      <c r="M587" s="12"/>
      <c r="N587" s="12"/>
      <c r="O587" s="12"/>
      <c r="P587" s="12"/>
    </row>
    <row r="588">
      <c r="A588" s="12"/>
      <c r="B588" s="12"/>
      <c r="C588" s="12"/>
      <c r="D588" s="12"/>
      <c r="H588" s="20"/>
      <c r="J588" s="20"/>
      <c r="K588" s="20"/>
      <c r="L588" s="20"/>
      <c r="M588" s="12"/>
      <c r="N588" s="12"/>
      <c r="O588" s="12"/>
      <c r="P588" s="12"/>
    </row>
    <row r="589">
      <c r="A589" s="12"/>
      <c r="B589" s="12"/>
      <c r="C589" s="12"/>
      <c r="D589" s="12"/>
      <c r="H589" s="20"/>
      <c r="J589" s="20"/>
      <c r="K589" s="20"/>
      <c r="L589" s="20"/>
      <c r="M589" s="12"/>
      <c r="N589" s="12"/>
      <c r="O589" s="12"/>
      <c r="P589" s="12"/>
    </row>
    <row r="590">
      <c r="A590" s="12"/>
      <c r="B590" s="12"/>
      <c r="C590" s="12"/>
      <c r="D590" s="12"/>
      <c r="H590" s="20"/>
      <c r="J590" s="20"/>
      <c r="K590" s="20"/>
      <c r="L590" s="20"/>
      <c r="M590" s="12"/>
      <c r="N590" s="12"/>
      <c r="O590" s="12"/>
      <c r="P590" s="12"/>
    </row>
    <row r="591">
      <c r="A591" s="12"/>
      <c r="B591" s="12"/>
      <c r="C591" s="12"/>
      <c r="D591" s="12"/>
      <c r="H591" s="20"/>
      <c r="J591" s="20"/>
      <c r="K591" s="20"/>
      <c r="L591" s="20"/>
      <c r="M591" s="12"/>
      <c r="N591" s="12"/>
      <c r="O591" s="12"/>
      <c r="P591" s="12"/>
    </row>
    <row r="592">
      <c r="A592" s="12"/>
      <c r="B592" s="12"/>
      <c r="C592" s="12"/>
      <c r="D592" s="12"/>
      <c r="H592" s="20"/>
      <c r="J592" s="20"/>
      <c r="K592" s="20"/>
      <c r="L592" s="20"/>
      <c r="M592" s="12"/>
      <c r="N592" s="12"/>
      <c r="O592" s="12"/>
      <c r="P592" s="12"/>
    </row>
    <row r="593">
      <c r="A593" s="12"/>
      <c r="B593" s="12"/>
      <c r="C593" s="12"/>
      <c r="D593" s="12"/>
      <c r="H593" s="20"/>
      <c r="J593" s="20"/>
      <c r="K593" s="20"/>
      <c r="L593" s="20"/>
      <c r="M593" s="12"/>
      <c r="N593" s="12"/>
      <c r="O593" s="12"/>
      <c r="P593" s="12"/>
    </row>
    <row r="594">
      <c r="A594" s="12"/>
      <c r="B594" s="12"/>
      <c r="C594" s="12"/>
      <c r="D594" s="12"/>
      <c r="H594" s="20"/>
      <c r="J594" s="20"/>
      <c r="K594" s="20"/>
      <c r="L594" s="20"/>
      <c r="M594" s="12"/>
      <c r="N594" s="12"/>
      <c r="O594" s="12"/>
      <c r="P594" s="12"/>
    </row>
    <row r="595">
      <c r="A595" s="12"/>
      <c r="B595" s="12"/>
      <c r="C595" s="12"/>
      <c r="D595" s="12"/>
      <c r="H595" s="20"/>
      <c r="J595" s="20"/>
      <c r="K595" s="20"/>
      <c r="L595" s="20"/>
      <c r="M595" s="12"/>
      <c r="N595" s="12"/>
      <c r="O595" s="12"/>
      <c r="P595" s="12"/>
    </row>
    <row r="596">
      <c r="A596" s="12"/>
      <c r="B596" s="12"/>
      <c r="C596" s="12"/>
      <c r="D596" s="12"/>
      <c r="H596" s="20"/>
      <c r="J596" s="20"/>
      <c r="K596" s="20"/>
      <c r="L596" s="20"/>
      <c r="M596" s="12"/>
      <c r="N596" s="12"/>
      <c r="O596" s="12"/>
      <c r="P596" s="12"/>
    </row>
    <row r="597">
      <c r="A597" s="12"/>
      <c r="B597" s="12"/>
      <c r="C597" s="12"/>
      <c r="D597" s="12"/>
      <c r="H597" s="20"/>
      <c r="J597" s="20"/>
      <c r="K597" s="20"/>
      <c r="L597" s="20"/>
      <c r="M597" s="12"/>
      <c r="N597" s="12"/>
      <c r="O597" s="12"/>
      <c r="P597" s="12"/>
    </row>
    <row r="598">
      <c r="A598" s="12"/>
      <c r="B598" s="12"/>
      <c r="C598" s="12"/>
      <c r="D598" s="12"/>
      <c r="H598" s="20"/>
      <c r="J598" s="20"/>
      <c r="K598" s="20"/>
      <c r="L598" s="20"/>
      <c r="M598" s="12"/>
      <c r="N598" s="12"/>
      <c r="O598" s="12"/>
      <c r="P598" s="12"/>
    </row>
    <row r="599">
      <c r="A599" s="12"/>
      <c r="B599" s="12"/>
      <c r="C599" s="12"/>
      <c r="D599" s="12"/>
      <c r="H599" s="20"/>
      <c r="J599" s="20"/>
      <c r="K599" s="20"/>
      <c r="L599" s="20"/>
      <c r="M599" s="12"/>
      <c r="N599" s="12"/>
      <c r="O599" s="12"/>
      <c r="P599" s="12"/>
    </row>
    <row r="600">
      <c r="A600" s="12"/>
      <c r="B600" s="12"/>
      <c r="C600" s="12"/>
      <c r="D600" s="12"/>
      <c r="H600" s="20"/>
      <c r="J600" s="20"/>
      <c r="K600" s="20"/>
      <c r="L600" s="20"/>
      <c r="M600" s="12"/>
      <c r="N600" s="12"/>
      <c r="O600" s="12"/>
      <c r="P600" s="12"/>
    </row>
    <row r="601">
      <c r="A601" s="12"/>
      <c r="B601" s="12"/>
      <c r="C601" s="12"/>
      <c r="D601" s="12"/>
      <c r="H601" s="20"/>
      <c r="J601" s="20"/>
      <c r="K601" s="20"/>
      <c r="L601" s="20"/>
      <c r="M601" s="12"/>
      <c r="N601" s="12"/>
      <c r="O601" s="12"/>
      <c r="P601" s="12"/>
    </row>
    <row r="602">
      <c r="A602" s="12"/>
      <c r="B602" s="12"/>
      <c r="C602" s="12"/>
      <c r="D602" s="12"/>
      <c r="H602" s="20"/>
      <c r="J602" s="20"/>
      <c r="K602" s="20"/>
      <c r="L602" s="20"/>
      <c r="M602" s="12"/>
      <c r="N602" s="12"/>
      <c r="O602" s="12"/>
      <c r="P602" s="12"/>
    </row>
    <row r="603">
      <c r="A603" s="12"/>
      <c r="B603" s="12"/>
      <c r="C603" s="12"/>
      <c r="D603" s="12"/>
      <c r="H603" s="20"/>
      <c r="J603" s="20"/>
      <c r="K603" s="20"/>
      <c r="L603" s="20"/>
      <c r="M603" s="12"/>
      <c r="N603" s="12"/>
      <c r="O603" s="12"/>
      <c r="P603" s="12"/>
    </row>
    <row r="604">
      <c r="A604" s="12"/>
      <c r="B604" s="12"/>
      <c r="C604" s="12"/>
      <c r="D604" s="12"/>
      <c r="H604" s="20"/>
      <c r="J604" s="20"/>
      <c r="K604" s="20"/>
      <c r="L604" s="20"/>
      <c r="M604" s="12"/>
      <c r="N604" s="12"/>
      <c r="O604" s="12"/>
      <c r="P604" s="12"/>
    </row>
    <row r="605">
      <c r="A605" s="12"/>
      <c r="B605" s="12"/>
      <c r="C605" s="12"/>
      <c r="D605" s="12"/>
      <c r="H605" s="20"/>
      <c r="J605" s="20"/>
      <c r="K605" s="20"/>
      <c r="L605" s="20"/>
      <c r="M605" s="12"/>
      <c r="N605" s="12"/>
      <c r="O605" s="12"/>
      <c r="P605" s="12"/>
    </row>
    <row r="606">
      <c r="A606" s="12"/>
      <c r="B606" s="12"/>
      <c r="C606" s="12"/>
      <c r="D606" s="12"/>
      <c r="H606" s="20"/>
      <c r="J606" s="20"/>
      <c r="K606" s="20"/>
      <c r="L606" s="20"/>
      <c r="M606" s="12"/>
      <c r="N606" s="12"/>
      <c r="O606" s="12"/>
      <c r="P606" s="12"/>
    </row>
    <row r="607">
      <c r="A607" s="12"/>
      <c r="B607" s="12"/>
      <c r="C607" s="12"/>
      <c r="D607" s="12"/>
      <c r="H607" s="20"/>
      <c r="J607" s="20"/>
      <c r="K607" s="20"/>
      <c r="L607" s="20"/>
      <c r="M607" s="12"/>
      <c r="N607" s="12"/>
      <c r="O607" s="12"/>
      <c r="P607" s="12"/>
    </row>
    <row r="608">
      <c r="A608" s="12"/>
      <c r="B608" s="12"/>
      <c r="C608" s="12"/>
      <c r="D608" s="12"/>
      <c r="H608" s="20"/>
      <c r="J608" s="20"/>
      <c r="K608" s="20"/>
      <c r="L608" s="20"/>
      <c r="M608" s="12"/>
      <c r="N608" s="12"/>
      <c r="O608" s="12"/>
      <c r="P608" s="12"/>
    </row>
    <row r="609">
      <c r="A609" s="12"/>
      <c r="B609" s="12"/>
      <c r="C609" s="12"/>
      <c r="D609" s="12"/>
      <c r="H609" s="20"/>
      <c r="J609" s="20"/>
      <c r="K609" s="20"/>
      <c r="L609" s="20"/>
      <c r="M609" s="12"/>
      <c r="N609" s="12"/>
      <c r="O609" s="12"/>
      <c r="P609" s="12"/>
    </row>
    <row r="610">
      <c r="A610" s="12"/>
      <c r="B610" s="12"/>
      <c r="C610" s="12"/>
      <c r="D610" s="12"/>
      <c r="H610" s="20"/>
      <c r="J610" s="20"/>
      <c r="K610" s="20"/>
      <c r="L610" s="20"/>
      <c r="M610" s="12"/>
      <c r="N610" s="12"/>
      <c r="O610" s="12"/>
      <c r="P610" s="12"/>
    </row>
    <row r="611">
      <c r="A611" s="12"/>
      <c r="B611" s="12"/>
      <c r="C611" s="12"/>
      <c r="D611" s="12"/>
      <c r="H611" s="20"/>
      <c r="J611" s="20"/>
      <c r="K611" s="20"/>
      <c r="L611" s="20"/>
      <c r="M611" s="12"/>
      <c r="N611" s="12"/>
      <c r="O611" s="12"/>
      <c r="P611" s="12"/>
    </row>
    <row r="612">
      <c r="A612" s="12"/>
      <c r="B612" s="12"/>
      <c r="C612" s="12"/>
      <c r="D612" s="12"/>
      <c r="H612" s="20"/>
      <c r="J612" s="20"/>
      <c r="K612" s="20"/>
      <c r="L612" s="20"/>
      <c r="M612" s="12"/>
      <c r="N612" s="12"/>
      <c r="O612" s="12"/>
      <c r="P612" s="12"/>
    </row>
    <row r="613">
      <c r="A613" s="12"/>
      <c r="B613" s="12"/>
      <c r="C613" s="12"/>
      <c r="D613" s="12"/>
      <c r="H613" s="20"/>
      <c r="J613" s="20"/>
      <c r="K613" s="20"/>
      <c r="L613" s="20"/>
      <c r="M613" s="12"/>
      <c r="N613" s="12"/>
      <c r="O613" s="12"/>
      <c r="P613" s="12"/>
    </row>
    <row r="614">
      <c r="A614" s="12"/>
      <c r="B614" s="12"/>
      <c r="C614" s="12"/>
      <c r="D614" s="12"/>
      <c r="H614" s="20"/>
      <c r="J614" s="20"/>
      <c r="K614" s="20"/>
      <c r="L614" s="20"/>
      <c r="M614" s="12"/>
      <c r="N614" s="12"/>
      <c r="O614" s="12"/>
      <c r="P614" s="12"/>
    </row>
    <row r="615">
      <c r="A615" s="12"/>
      <c r="B615" s="12"/>
      <c r="C615" s="12"/>
      <c r="D615" s="12"/>
      <c r="H615" s="20"/>
      <c r="J615" s="20"/>
      <c r="K615" s="20"/>
      <c r="L615" s="20"/>
      <c r="M615" s="12"/>
      <c r="N615" s="12"/>
      <c r="O615" s="12"/>
      <c r="P615" s="12"/>
    </row>
    <row r="616">
      <c r="A616" s="12"/>
      <c r="B616" s="12"/>
      <c r="C616" s="12"/>
      <c r="D616" s="12"/>
      <c r="H616" s="20"/>
      <c r="J616" s="20"/>
      <c r="K616" s="20"/>
      <c r="L616" s="20"/>
      <c r="M616" s="12"/>
      <c r="N616" s="12"/>
      <c r="O616" s="12"/>
      <c r="P616" s="12"/>
    </row>
    <row r="617">
      <c r="A617" s="12"/>
      <c r="B617" s="12"/>
      <c r="C617" s="12"/>
      <c r="D617" s="12"/>
      <c r="H617" s="20"/>
      <c r="J617" s="20"/>
      <c r="K617" s="20"/>
      <c r="L617" s="20"/>
      <c r="M617" s="12"/>
      <c r="N617" s="12"/>
      <c r="O617" s="12"/>
      <c r="P617" s="12"/>
    </row>
    <row r="618">
      <c r="A618" s="12"/>
      <c r="B618" s="12"/>
      <c r="C618" s="12"/>
      <c r="D618" s="12"/>
      <c r="H618" s="20"/>
      <c r="J618" s="20"/>
      <c r="K618" s="20"/>
      <c r="L618" s="20"/>
      <c r="M618" s="12"/>
      <c r="N618" s="12"/>
      <c r="O618" s="12"/>
      <c r="P618" s="12"/>
    </row>
    <row r="619">
      <c r="A619" s="12"/>
      <c r="B619" s="12"/>
      <c r="C619" s="12"/>
      <c r="D619" s="12"/>
      <c r="H619" s="20"/>
      <c r="J619" s="20"/>
      <c r="K619" s="20"/>
      <c r="L619" s="20"/>
      <c r="M619" s="12"/>
      <c r="N619" s="12"/>
      <c r="O619" s="12"/>
      <c r="P619" s="12"/>
    </row>
    <row r="620">
      <c r="A620" s="12"/>
      <c r="B620" s="12"/>
      <c r="C620" s="12"/>
      <c r="D620" s="12"/>
      <c r="H620" s="20"/>
      <c r="J620" s="20"/>
      <c r="K620" s="20"/>
      <c r="L620" s="20"/>
      <c r="M620" s="12"/>
      <c r="N620" s="12"/>
      <c r="O620" s="12"/>
      <c r="P620" s="12"/>
    </row>
    <row r="621">
      <c r="A621" s="12"/>
      <c r="B621" s="12"/>
      <c r="C621" s="12"/>
      <c r="D621" s="12"/>
      <c r="H621" s="20"/>
      <c r="J621" s="20"/>
      <c r="K621" s="20"/>
      <c r="L621" s="20"/>
      <c r="M621" s="12"/>
      <c r="N621" s="12"/>
      <c r="O621" s="12"/>
      <c r="P621" s="12"/>
    </row>
    <row r="622">
      <c r="A622" s="12"/>
      <c r="B622" s="12"/>
      <c r="C622" s="12"/>
      <c r="D622" s="12"/>
      <c r="H622" s="20"/>
      <c r="J622" s="20"/>
      <c r="K622" s="20"/>
      <c r="L622" s="20"/>
      <c r="M622" s="12"/>
      <c r="N622" s="12"/>
      <c r="O622" s="12"/>
      <c r="P622" s="12"/>
    </row>
    <row r="623">
      <c r="A623" s="12"/>
      <c r="B623" s="12"/>
      <c r="C623" s="12"/>
      <c r="D623" s="12"/>
      <c r="H623" s="20"/>
      <c r="J623" s="20"/>
      <c r="K623" s="20"/>
      <c r="L623" s="20"/>
      <c r="M623" s="12"/>
      <c r="N623" s="12"/>
      <c r="O623" s="12"/>
      <c r="P623" s="12"/>
    </row>
    <row r="624">
      <c r="A624" s="12"/>
      <c r="B624" s="12"/>
      <c r="C624" s="12"/>
      <c r="D624" s="12"/>
      <c r="H624" s="20"/>
      <c r="J624" s="20"/>
      <c r="K624" s="20"/>
      <c r="L624" s="20"/>
      <c r="M624" s="12"/>
      <c r="N624" s="12"/>
      <c r="O624" s="12"/>
      <c r="P624" s="12"/>
    </row>
    <row r="625">
      <c r="A625" s="12"/>
      <c r="B625" s="12"/>
      <c r="C625" s="12"/>
      <c r="D625" s="12"/>
      <c r="H625" s="20"/>
      <c r="J625" s="20"/>
      <c r="K625" s="20"/>
      <c r="L625" s="20"/>
      <c r="M625" s="12"/>
      <c r="N625" s="12"/>
      <c r="O625" s="12"/>
      <c r="P625" s="12"/>
    </row>
    <row r="626">
      <c r="A626" s="12"/>
      <c r="B626" s="12"/>
      <c r="C626" s="12"/>
      <c r="D626" s="12"/>
      <c r="H626" s="20"/>
      <c r="J626" s="20"/>
      <c r="K626" s="20"/>
      <c r="L626" s="20"/>
      <c r="M626" s="12"/>
      <c r="N626" s="12"/>
      <c r="O626" s="12"/>
      <c r="P626" s="12"/>
    </row>
    <row r="627">
      <c r="A627" s="12"/>
      <c r="B627" s="12"/>
      <c r="C627" s="12"/>
      <c r="D627" s="12"/>
      <c r="H627" s="20"/>
      <c r="J627" s="20"/>
      <c r="K627" s="20"/>
      <c r="L627" s="20"/>
      <c r="M627" s="12"/>
      <c r="N627" s="12"/>
      <c r="O627" s="12"/>
      <c r="P627" s="12"/>
    </row>
    <row r="628">
      <c r="A628" s="12"/>
      <c r="B628" s="12"/>
      <c r="C628" s="12"/>
      <c r="D628" s="12"/>
      <c r="H628" s="20"/>
      <c r="J628" s="20"/>
      <c r="K628" s="20"/>
      <c r="L628" s="20"/>
      <c r="M628" s="12"/>
      <c r="N628" s="12"/>
      <c r="O628" s="12"/>
      <c r="P628" s="12"/>
    </row>
    <row r="629">
      <c r="A629" s="12"/>
      <c r="B629" s="12"/>
      <c r="C629" s="12"/>
      <c r="D629" s="12"/>
      <c r="H629" s="20"/>
      <c r="J629" s="20"/>
      <c r="K629" s="20"/>
      <c r="L629" s="20"/>
      <c r="M629" s="12"/>
      <c r="N629" s="12"/>
      <c r="O629" s="12"/>
      <c r="P629" s="12"/>
    </row>
    <row r="630">
      <c r="A630" s="12"/>
      <c r="B630" s="12"/>
      <c r="C630" s="12"/>
      <c r="D630" s="12"/>
      <c r="H630" s="20"/>
      <c r="J630" s="20"/>
      <c r="K630" s="20"/>
      <c r="L630" s="20"/>
      <c r="M630" s="12"/>
      <c r="N630" s="12"/>
      <c r="O630" s="12"/>
      <c r="P630" s="12"/>
    </row>
    <row r="631">
      <c r="A631" s="12"/>
      <c r="B631" s="12"/>
      <c r="C631" s="12"/>
      <c r="D631" s="12"/>
      <c r="H631" s="20"/>
      <c r="J631" s="20"/>
      <c r="K631" s="20"/>
      <c r="L631" s="20"/>
      <c r="M631" s="12"/>
      <c r="N631" s="12"/>
      <c r="O631" s="12"/>
      <c r="P631" s="12"/>
    </row>
    <row r="632">
      <c r="A632" s="12"/>
      <c r="B632" s="12"/>
      <c r="C632" s="12"/>
      <c r="D632" s="12"/>
      <c r="H632" s="20"/>
      <c r="J632" s="20"/>
      <c r="K632" s="20"/>
      <c r="L632" s="20"/>
      <c r="M632" s="12"/>
      <c r="N632" s="12"/>
      <c r="O632" s="12"/>
      <c r="P632" s="12"/>
    </row>
    <row r="633">
      <c r="A633" s="12"/>
      <c r="B633" s="12"/>
      <c r="C633" s="12"/>
      <c r="D633" s="12"/>
      <c r="H633" s="20"/>
      <c r="J633" s="20"/>
      <c r="K633" s="20"/>
      <c r="L633" s="20"/>
      <c r="M633" s="12"/>
      <c r="N633" s="12"/>
      <c r="O633" s="12"/>
      <c r="P633" s="12"/>
    </row>
    <row r="634">
      <c r="A634" s="12"/>
      <c r="B634" s="12"/>
      <c r="C634" s="12"/>
      <c r="D634" s="12"/>
      <c r="H634" s="20"/>
      <c r="J634" s="20"/>
      <c r="K634" s="20"/>
      <c r="L634" s="20"/>
      <c r="M634" s="12"/>
      <c r="N634" s="12"/>
      <c r="O634" s="12"/>
      <c r="P634" s="12"/>
    </row>
    <row r="635">
      <c r="A635" s="12"/>
      <c r="B635" s="12"/>
      <c r="C635" s="12"/>
      <c r="D635" s="12"/>
      <c r="H635" s="20"/>
      <c r="J635" s="20"/>
      <c r="K635" s="20"/>
      <c r="L635" s="20"/>
      <c r="M635" s="12"/>
      <c r="N635" s="12"/>
      <c r="O635" s="12"/>
      <c r="P635" s="12"/>
    </row>
    <row r="636">
      <c r="A636" s="12"/>
      <c r="B636" s="12"/>
      <c r="C636" s="12"/>
      <c r="D636" s="12"/>
      <c r="H636" s="20"/>
      <c r="J636" s="20"/>
      <c r="K636" s="20"/>
      <c r="L636" s="20"/>
      <c r="M636" s="12"/>
      <c r="N636" s="12"/>
      <c r="O636" s="12"/>
      <c r="P636" s="12"/>
    </row>
    <row r="637">
      <c r="A637" s="12"/>
      <c r="B637" s="12"/>
      <c r="C637" s="12"/>
      <c r="D637" s="12"/>
      <c r="H637" s="20"/>
      <c r="J637" s="20"/>
      <c r="K637" s="20"/>
      <c r="L637" s="20"/>
      <c r="M637" s="12"/>
      <c r="N637" s="12"/>
      <c r="O637" s="12"/>
      <c r="P637" s="12"/>
    </row>
    <row r="638">
      <c r="A638" s="12"/>
      <c r="B638" s="12"/>
      <c r="C638" s="12"/>
      <c r="D638" s="12"/>
      <c r="H638" s="20"/>
      <c r="J638" s="20"/>
      <c r="K638" s="20"/>
      <c r="L638" s="20"/>
      <c r="M638" s="12"/>
      <c r="N638" s="12"/>
      <c r="O638" s="12"/>
      <c r="P638" s="12"/>
    </row>
    <row r="639">
      <c r="A639" s="12"/>
      <c r="B639" s="12"/>
      <c r="C639" s="12"/>
      <c r="D639" s="12"/>
      <c r="H639" s="20"/>
      <c r="J639" s="20"/>
      <c r="K639" s="20"/>
      <c r="L639" s="20"/>
      <c r="M639" s="12"/>
      <c r="N639" s="12"/>
      <c r="O639" s="12"/>
      <c r="P639" s="12"/>
    </row>
    <row r="640">
      <c r="A640" s="12"/>
      <c r="B640" s="12"/>
      <c r="C640" s="12"/>
      <c r="D640" s="12"/>
      <c r="H640" s="20"/>
      <c r="J640" s="20"/>
      <c r="K640" s="20"/>
      <c r="L640" s="20"/>
      <c r="M640" s="12"/>
      <c r="N640" s="12"/>
      <c r="O640" s="12"/>
      <c r="P640" s="12"/>
    </row>
    <row r="641">
      <c r="A641" s="12"/>
      <c r="B641" s="12"/>
      <c r="C641" s="12"/>
      <c r="D641" s="12"/>
      <c r="H641" s="20"/>
      <c r="J641" s="20"/>
      <c r="K641" s="20"/>
      <c r="L641" s="20"/>
      <c r="M641" s="12"/>
      <c r="N641" s="12"/>
      <c r="O641" s="12"/>
      <c r="P641" s="12"/>
    </row>
    <row r="642">
      <c r="A642" s="12"/>
      <c r="B642" s="12"/>
      <c r="C642" s="12"/>
      <c r="D642" s="12"/>
      <c r="H642" s="20"/>
      <c r="J642" s="20"/>
      <c r="K642" s="20"/>
      <c r="L642" s="20"/>
      <c r="M642" s="12"/>
      <c r="N642" s="12"/>
      <c r="O642" s="12"/>
      <c r="P642" s="12"/>
    </row>
    <row r="643">
      <c r="A643" s="12"/>
      <c r="B643" s="12"/>
      <c r="C643" s="12"/>
      <c r="D643" s="12"/>
      <c r="H643" s="20"/>
      <c r="J643" s="20"/>
      <c r="K643" s="20"/>
      <c r="L643" s="20"/>
      <c r="M643" s="12"/>
      <c r="N643" s="12"/>
      <c r="O643" s="12"/>
      <c r="P643" s="12"/>
    </row>
    <row r="644">
      <c r="A644" s="12"/>
      <c r="B644" s="12"/>
      <c r="C644" s="12"/>
      <c r="D644" s="12"/>
      <c r="H644" s="20"/>
      <c r="J644" s="20"/>
      <c r="K644" s="20"/>
      <c r="L644" s="20"/>
      <c r="M644" s="12"/>
      <c r="N644" s="12"/>
      <c r="O644" s="12"/>
      <c r="P644" s="12"/>
    </row>
    <row r="645">
      <c r="A645" s="12"/>
      <c r="B645" s="12"/>
      <c r="C645" s="12"/>
      <c r="D645" s="12"/>
      <c r="H645" s="20"/>
      <c r="J645" s="20"/>
      <c r="K645" s="20"/>
      <c r="L645" s="20"/>
      <c r="M645" s="12"/>
      <c r="N645" s="12"/>
      <c r="O645" s="12"/>
      <c r="P645" s="12"/>
    </row>
    <row r="646">
      <c r="A646" s="12"/>
      <c r="B646" s="12"/>
      <c r="C646" s="12"/>
      <c r="D646" s="12"/>
      <c r="H646" s="20"/>
      <c r="J646" s="20"/>
      <c r="K646" s="20"/>
      <c r="L646" s="20"/>
      <c r="M646" s="12"/>
      <c r="N646" s="12"/>
      <c r="O646" s="12"/>
      <c r="P646" s="12"/>
    </row>
    <row r="647">
      <c r="A647" s="12"/>
      <c r="B647" s="12"/>
      <c r="C647" s="12"/>
      <c r="D647" s="12"/>
      <c r="H647" s="20"/>
      <c r="J647" s="20"/>
      <c r="K647" s="20"/>
      <c r="L647" s="20"/>
      <c r="M647" s="12"/>
      <c r="N647" s="12"/>
      <c r="O647" s="12"/>
      <c r="P647" s="12"/>
    </row>
    <row r="648">
      <c r="A648" s="12"/>
      <c r="B648" s="12"/>
      <c r="C648" s="12"/>
      <c r="D648" s="12"/>
      <c r="H648" s="20"/>
      <c r="J648" s="20"/>
      <c r="K648" s="20"/>
      <c r="L648" s="20"/>
      <c r="M648" s="12"/>
      <c r="N648" s="12"/>
      <c r="O648" s="12"/>
      <c r="P648" s="12"/>
    </row>
    <row r="649">
      <c r="A649" s="12"/>
      <c r="B649" s="12"/>
      <c r="C649" s="12"/>
      <c r="D649" s="12"/>
      <c r="H649" s="20"/>
      <c r="J649" s="20"/>
      <c r="K649" s="20"/>
      <c r="L649" s="20"/>
      <c r="M649" s="12"/>
      <c r="N649" s="12"/>
      <c r="O649" s="12"/>
      <c r="P649" s="12"/>
    </row>
    <row r="650">
      <c r="A650" s="12"/>
      <c r="B650" s="12"/>
      <c r="C650" s="12"/>
      <c r="D650" s="12"/>
      <c r="H650" s="20"/>
      <c r="J650" s="20"/>
      <c r="K650" s="20"/>
      <c r="L650" s="20"/>
      <c r="M650" s="12"/>
      <c r="N650" s="12"/>
      <c r="O650" s="12"/>
      <c r="P650" s="12"/>
    </row>
    <row r="651">
      <c r="A651" s="12"/>
      <c r="B651" s="12"/>
      <c r="C651" s="12"/>
      <c r="D651" s="12"/>
      <c r="H651" s="20"/>
      <c r="J651" s="20"/>
      <c r="K651" s="20"/>
      <c r="L651" s="20"/>
      <c r="M651" s="12"/>
      <c r="N651" s="12"/>
      <c r="O651" s="12"/>
      <c r="P651" s="12"/>
    </row>
    <row r="652">
      <c r="A652" s="12"/>
      <c r="B652" s="12"/>
      <c r="C652" s="12"/>
      <c r="D652" s="12"/>
      <c r="H652" s="20"/>
      <c r="J652" s="20"/>
      <c r="K652" s="20"/>
      <c r="L652" s="20"/>
      <c r="M652" s="12"/>
      <c r="N652" s="12"/>
      <c r="O652" s="12"/>
      <c r="P652" s="12"/>
    </row>
    <row r="653">
      <c r="A653" s="12"/>
      <c r="B653" s="12"/>
      <c r="C653" s="12"/>
      <c r="D653" s="12"/>
      <c r="H653" s="20"/>
      <c r="J653" s="20"/>
      <c r="K653" s="20"/>
      <c r="L653" s="20"/>
      <c r="M653" s="12"/>
      <c r="N653" s="12"/>
      <c r="O653" s="12"/>
      <c r="P653" s="12"/>
    </row>
    <row r="654">
      <c r="A654" s="12"/>
      <c r="B654" s="12"/>
      <c r="C654" s="12"/>
      <c r="D654" s="12"/>
      <c r="H654" s="20"/>
      <c r="J654" s="20"/>
      <c r="K654" s="20"/>
      <c r="L654" s="20"/>
      <c r="M654" s="12"/>
      <c r="N654" s="12"/>
      <c r="O654" s="12"/>
      <c r="P654" s="12"/>
    </row>
    <row r="655">
      <c r="A655" s="12"/>
      <c r="B655" s="12"/>
      <c r="C655" s="12"/>
      <c r="D655" s="12"/>
      <c r="H655" s="20"/>
      <c r="J655" s="20"/>
      <c r="K655" s="20"/>
      <c r="L655" s="20"/>
      <c r="M655" s="12"/>
      <c r="N655" s="12"/>
      <c r="O655" s="12"/>
      <c r="P655" s="12"/>
    </row>
    <row r="656">
      <c r="A656" s="12"/>
      <c r="B656" s="12"/>
      <c r="C656" s="12"/>
      <c r="D656" s="12"/>
      <c r="H656" s="20"/>
      <c r="J656" s="20"/>
      <c r="K656" s="20"/>
      <c r="L656" s="20"/>
      <c r="M656" s="12"/>
      <c r="N656" s="12"/>
      <c r="O656" s="12"/>
      <c r="P656" s="12"/>
    </row>
    <row r="657">
      <c r="A657" s="12"/>
      <c r="B657" s="12"/>
      <c r="C657" s="12"/>
      <c r="D657" s="12"/>
      <c r="H657" s="20"/>
      <c r="J657" s="20"/>
      <c r="K657" s="20"/>
      <c r="L657" s="20"/>
      <c r="M657" s="12"/>
      <c r="N657" s="12"/>
      <c r="O657" s="12"/>
      <c r="P657" s="12"/>
    </row>
    <row r="658">
      <c r="A658" s="12"/>
      <c r="B658" s="12"/>
      <c r="C658" s="12"/>
      <c r="D658" s="12"/>
      <c r="H658" s="20"/>
      <c r="J658" s="20"/>
      <c r="K658" s="20"/>
      <c r="L658" s="20"/>
      <c r="M658" s="12"/>
      <c r="N658" s="12"/>
      <c r="O658" s="12"/>
      <c r="P658" s="12"/>
    </row>
    <row r="659">
      <c r="A659" s="12"/>
      <c r="B659" s="12"/>
      <c r="C659" s="12"/>
      <c r="D659" s="12"/>
      <c r="H659" s="20"/>
      <c r="J659" s="20"/>
      <c r="K659" s="20"/>
      <c r="L659" s="20"/>
      <c r="M659" s="12"/>
      <c r="N659" s="12"/>
      <c r="O659" s="12"/>
      <c r="P659" s="12"/>
    </row>
    <row r="660">
      <c r="A660" s="12"/>
      <c r="B660" s="12"/>
      <c r="C660" s="12"/>
      <c r="D660" s="12"/>
      <c r="H660" s="20"/>
      <c r="J660" s="20"/>
      <c r="K660" s="20"/>
      <c r="L660" s="20"/>
      <c r="M660" s="12"/>
      <c r="N660" s="12"/>
      <c r="O660" s="12"/>
      <c r="P660" s="12"/>
    </row>
    <row r="661">
      <c r="A661" s="12"/>
      <c r="B661" s="12"/>
      <c r="C661" s="12"/>
      <c r="D661" s="12"/>
      <c r="H661" s="20"/>
      <c r="J661" s="20"/>
      <c r="K661" s="20"/>
      <c r="L661" s="20"/>
      <c r="M661" s="12"/>
      <c r="N661" s="12"/>
      <c r="O661" s="12"/>
      <c r="P661" s="12"/>
    </row>
    <row r="662">
      <c r="A662" s="12"/>
      <c r="B662" s="12"/>
      <c r="C662" s="12"/>
      <c r="D662" s="12"/>
      <c r="H662" s="20"/>
      <c r="J662" s="20"/>
      <c r="K662" s="20"/>
      <c r="L662" s="20"/>
      <c r="M662" s="12"/>
      <c r="N662" s="12"/>
      <c r="O662" s="12"/>
      <c r="P662" s="12"/>
    </row>
    <row r="663">
      <c r="A663" s="12"/>
      <c r="B663" s="12"/>
      <c r="C663" s="12"/>
      <c r="D663" s="12"/>
      <c r="H663" s="20"/>
      <c r="J663" s="20"/>
      <c r="K663" s="20"/>
      <c r="L663" s="20"/>
      <c r="M663" s="12"/>
      <c r="N663" s="12"/>
      <c r="O663" s="12"/>
      <c r="P663" s="12"/>
    </row>
    <row r="664">
      <c r="A664" s="12"/>
      <c r="B664" s="12"/>
      <c r="C664" s="12"/>
      <c r="D664" s="12"/>
      <c r="H664" s="20"/>
      <c r="J664" s="20"/>
      <c r="K664" s="20"/>
      <c r="L664" s="20"/>
      <c r="M664" s="12"/>
      <c r="N664" s="12"/>
      <c r="O664" s="12"/>
      <c r="P664" s="12"/>
    </row>
    <row r="665">
      <c r="A665" s="12"/>
      <c r="B665" s="12"/>
      <c r="C665" s="12"/>
      <c r="D665" s="12"/>
      <c r="H665" s="20"/>
      <c r="J665" s="20"/>
      <c r="K665" s="20"/>
      <c r="L665" s="20"/>
      <c r="M665" s="12"/>
      <c r="N665" s="12"/>
      <c r="O665" s="12"/>
      <c r="P665" s="12"/>
    </row>
    <row r="666">
      <c r="A666" s="12"/>
      <c r="B666" s="12"/>
      <c r="C666" s="12"/>
      <c r="D666" s="12"/>
      <c r="H666" s="20"/>
      <c r="J666" s="20"/>
      <c r="K666" s="20"/>
      <c r="L666" s="20"/>
      <c r="M666" s="12"/>
      <c r="N666" s="12"/>
      <c r="O666" s="12"/>
      <c r="P666" s="12"/>
    </row>
    <row r="667">
      <c r="A667" s="12"/>
      <c r="B667" s="12"/>
      <c r="C667" s="12"/>
      <c r="D667" s="12"/>
      <c r="H667" s="20"/>
      <c r="J667" s="20"/>
      <c r="K667" s="20"/>
      <c r="L667" s="20"/>
      <c r="M667" s="12"/>
      <c r="N667" s="12"/>
      <c r="O667" s="12"/>
      <c r="P667" s="12"/>
    </row>
    <row r="668">
      <c r="A668" s="12"/>
      <c r="B668" s="12"/>
      <c r="C668" s="12"/>
      <c r="D668" s="12"/>
      <c r="H668" s="20"/>
      <c r="J668" s="20"/>
      <c r="K668" s="20"/>
      <c r="L668" s="20"/>
      <c r="M668" s="12"/>
      <c r="N668" s="12"/>
      <c r="O668" s="12"/>
      <c r="P668" s="12"/>
    </row>
    <row r="669">
      <c r="A669" s="12"/>
      <c r="B669" s="12"/>
      <c r="C669" s="12"/>
      <c r="D669" s="12"/>
      <c r="H669" s="20"/>
      <c r="J669" s="20"/>
      <c r="K669" s="20"/>
      <c r="L669" s="20"/>
      <c r="M669" s="12"/>
      <c r="N669" s="12"/>
      <c r="O669" s="12"/>
      <c r="P669" s="12"/>
    </row>
    <row r="670">
      <c r="A670" s="12"/>
      <c r="B670" s="12"/>
      <c r="C670" s="12"/>
      <c r="D670" s="12"/>
      <c r="H670" s="20"/>
      <c r="J670" s="20"/>
      <c r="K670" s="20"/>
      <c r="L670" s="20"/>
      <c r="M670" s="12"/>
      <c r="N670" s="12"/>
      <c r="O670" s="12"/>
      <c r="P670" s="12"/>
    </row>
    <row r="671">
      <c r="A671" s="12"/>
      <c r="B671" s="12"/>
      <c r="C671" s="12"/>
      <c r="D671" s="12"/>
      <c r="H671" s="20"/>
      <c r="J671" s="20"/>
      <c r="K671" s="20"/>
      <c r="L671" s="20"/>
      <c r="M671" s="12"/>
      <c r="N671" s="12"/>
      <c r="O671" s="12"/>
      <c r="P671" s="12"/>
    </row>
    <row r="672">
      <c r="A672" s="12"/>
      <c r="B672" s="12"/>
      <c r="C672" s="12"/>
      <c r="D672" s="12"/>
      <c r="H672" s="20"/>
      <c r="J672" s="20"/>
      <c r="K672" s="20"/>
      <c r="L672" s="20"/>
      <c r="M672" s="12"/>
      <c r="N672" s="12"/>
      <c r="O672" s="12"/>
      <c r="P672" s="12"/>
    </row>
    <row r="673">
      <c r="A673" s="12"/>
      <c r="B673" s="12"/>
      <c r="C673" s="12"/>
      <c r="D673" s="12"/>
      <c r="H673" s="20"/>
      <c r="J673" s="20"/>
      <c r="K673" s="20"/>
      <c r="L673" s="20"/>
      <c r="M673" s="12"/>
      <c r="N673" s="12"/>
      <c r="O673" s="12"/>
      <c r="P673" s="12"/>
    </row>
    <row r="674">
      <c r="A674" s="12"/>
      <c r="B674" s="12"/>
      <c r="C674" s="12"/>
      <c r="D674" s="12"/>
      <c r="H674" s="20"/>
      <c r="J674" s="20"/>
      <c r="K674" s="20"/>
      <c r="L674" s="20"/>
      <c r="M674" s="12"/>
      <c r="N674" s="12"/>
      <c r="O674" s="12"/>
      <c r="P674" s="12"/>
    </row>
    <row r="675">
      <c r="A675" s="12"/>
      <c r="B675" s="12"/>
      <c r="C675" s="12"/>
      <c r="D675" s="12"/>
      <c r="H675" s="20"/>
      <c r="J675" s="20"/>
      <c r="K675" s="20"/>
      <c r="L675" s="20"/>
      <c r="M675" s="12"/>
      <c r="N675" s="12"/>
      <c r="O675" s="12"/>
      <c r="P675" s="12"/>
    </row>
    <row r="676">
      <c r="A676" s="12"/>
      <c r="B676" s="12"/>
      <c r="C676" s="12"/>
      <c r="D676" s="12"/>
      <c r="H676" s="20"/>
      <c r="J676" s="20"/>
      <c r="K676" s="20"/>
      <c r="L676" s="20"/>
      <c r="M676" s="12"/>
      <c r="N676" s="12"/>
      <c r="O676" s="12"/>
      <c r="P676" s="12"/>
    </row>
    <row r="677">
      <c r="A677" s="12"/>
      <c r="B677" s="12"/>
      <c r="C677" s="12"/>
      <c r="D677" s="12"/>
      <c r="H677" s="20"/>
      <c r="J677" s="20"/>
      <c r="K677" s="20"/>
      <c r="L677" s="20"/>
      <c r="M677" s="12"/>
      <c r="N677" s="12"/>
      <c r="O677" s="12"/>
      <c r="P677" s="12"/>
    </row>
    <row r="678">
      <c r="A678" s="12"/>
      <c r="B678" s="12"/>
      <c r="C678" s="12"/>
      <c r="D678" s="12"/>
      <c r="H678" s="20"/>
      <c r="J678" s="20"/>
      <c r="K678" s="20"/>
      <c r="L678" s="20"/>
      <c r="M678" s="12"/>
      <c r="N678" s="12"/>
      <c r="O678" s="12"/>
      <c r="P678" s="12"/>
    </row>
    <row r="679">
      <c r="A679" s="12"/>
      <c r="B679" s="12"/>
      <c r="C679" s="12"/>
      <c r="D679" s="12"/>
      <c r="H679" s="20"/>
      <c r="J679" s="20"/>
      <c r="K679" s="20"/>
      <c r="L679" s="20"/>
      <c r="M679" s="12"/>
      <c r="N679" s="12"/>
      <c r="O679" s="12"/>
      <c r="P679" s="12"/>
    </row>
    <row r="680">
      <c r="A680" s="12"/>
      <c r="B680" s="12"/>
      <c r="C680" s="12"/>
      <c r="D680" s="12"/>
      <c r="H680" s="20"/>
      <c r="J680" s="20"/>
      <c r="K680" s="20"/>
      <c r="L680" s="20"/>
      <c r="M680" s="12"/>
      <c r="N680" s="12"/>
      <c r="O680" s="12"/>
      <c r="P680" s="12"/>
    </row>
    <row r="681">
      <c r="A681" s="12"/>
      <c r="B681" s="12"/>
      <c r="C681" s="12"/>
      <c r="D681" s="12"/>
      <c r="H681" s="20"/>
      <c r="J681" s="20"/>
      <c r="K681" s="20"/>
      <c r="L681" s="20"/>
      <c r="M681" s="12"/>
      <c r="N681" s="12"/>
      <c r="O681" s="12"/>
      <c r="P681" s="12"/>
    </row>
    <row r="682">
      <c r="A682" s="12"/>
      <c r="B682" s="12"/>
      <c r="C682" s="12"/>
      <c r="D682" s="12"/>
      <c r="H682" s="20"/>
      <c r="J682" s="20"/>
      <c r="K682" s="20"/>
      <c r="L682" s="20"/>
      <c r="M682" s="12"/>
      <c r="N682" s="12"/>
      <c r="O682" s="12"/>
      <c r="P682" s="12"/>
    </row>
    <row r="683">
      <c r="A683" s="12"/>
      <c r="B683" s="12"/>
      <c r="C683" s="12"/>
      <c r="D683" s="12"/>
      <c r="H683" s="20"/>
      <c r="J683" s="20"/>
      <c r="K683" s="20"/>
      <c r="L683" s="20"/>
      <c r="M683" s="12"/>
      <c r="N683" s="12"/>
      <c r="O683" s="12"/>
      <c r="P683" s="12"/>
    </row>
    <row r="684">
      <c r="A684" s="12"/>
      <c r="B684" s="12"/>
      <c r="C684" s="12"/>
      <c r="D684" s="12"/>
      <c r="H684" s="20"/>
      <c r="J684" s="20"/>
      <c r="K684" s="20"/>
      <c r="L684" s="20"/>
      <c r="M684" s="12"/>
      <c r="N684" s="12"/>
      <c r="O684" s="12"/>
      <c r="P684" s="12"/>
    </row>
    <row r="685">
      <c r="A685" s="12"/>
      <c r="B685" s="12"/>
      <c r="C685" s="12"/>
      <c r="D685" s="12"/>
      <c r="H685" s="20"/>
      <c r="J685" s="20"/>
      <c r="K685" s="20"/>
      <c r="L685" s="20"/>
      <c r="M685" s="12"/>
      <c r="N685" s="12"/>
      <c r="O685" s="12"/>
      <c r="P685" s="12"/>
    </row>
    <row r="686">
      <c r="A686" s="12"/>
      <c r="B686" s="12"/>
      <c r="C686" s="12"/>
      <c r="D686" s="12"/>
      <c r="H686" s="20"/>
      <c r="J686" s="20"/>
      <c r="K686" s="20"/>
      <c r="L686" s="20"/>
      <c r="M686" s="12"/>
      <c r="N686" s="12"/>
      <c r="O686" s="12"/>
      <c r="P686" s="12"/>
    </row>
    <row r="687">
      <c r="A687" s="12"/>
      <c r="B687" s="12"/>
      <c r="C687" s="12"/>
      <c r="D687" s="12"/>
      <c r="H687" s="20"/>
      <c r="J687" s="20"/>
      <c r="K687" s="20"/>
      <c r="L687" s="20"/>
      <c r="M687" s="12"/>
      <c r="N687" s="12"/>
      <c r="O687" s="12"/>
      <c r="P687" s="12"/>
    </row>
    <row r="688">
      <c r="A688" s="12"/>
      <c r="B688" s="12"/>
      <c r="C688" s="12"/>
      <c r="D688" s="12"/>
      <c r="H688" s="20"/>
      <c r="J688" s="20"/>
      <c r="K688" s="20"/>
      <c r="L688" s="20"/>
      <c r="M688" s="12"/>
      <c r="N688" s="12"/>
      <c r="O688" s="12"/>
      <c r="P688" s="12"/>
    </row>
    <row r="689">
      <c r="A689" s="12"/>
      <c r="B689" s="12"/>
      <c r="C689" s="12"/>
      <c r="D689" s="12"/>
      <c r="H689" s="20"/>
      <c r="J689" s="20"/>
      <c r="K689" s="20"/>
      <c r="L689" s="20"/>
      <c r="M689" s="12"/>
      <c r="N689" s="12"/>
      <c r="O689" s="12"/>
      <c r="P689" s="12"/>
    </row>
    <row r="690">
      <c r="A690" s="12"/>
      <c r="B690" s="12"/>
      <c r="C690" s="12"/>
      <c r="D690" s="12"/>
      <c r="H690" s="20"/>
      <c r="J690" s="20"/>
      <c r="K690" s="20"/>
      <c r="L690" s="20"/>
      <c r="M690" s="12"/>
      <c r="N690" s="12"/>
      <c r="O690" s="12"/>
      <c r="P690" s="12"/>
    </row>
    <row r="691">
      <c r="A691" s="12"/>
      <c r="B691" s="12"/>
      <c r="C691" s="12"/>
      <c r="D691" s="12"/>
      <c r="H691" s="20"/>
      <c r="J691" s="20"/>
      <c r="K691" s="20"/>
      <c r="L691" s="20"/>
      <c r="M691" s="12"/>
      <c r="N691" s="12"/>
      <c r="O691" s="12"/>
      <c r="P691" s="12"/>
    </row>
    <row r="692">
      <c r="A692" s="12"/>
      <c r="B692" s="12"/>
      <c r="C692" s="12"/>
      <c r="D692" s="12"/>
      <c r="H692" s="20"/>
      <c r="J692" s="20"/>
      <c r="K692" s="20"/>
      <c r="L692" s="20"/>
      <c r="M692" s="12"/>
      <c r="N692" s="12"/>
      <c r="O692" s="12"/>
      <c r="P692" s="12"/>
    </row>
    <row r="693">
      <c r="A693" s="12"/>
      <c r="B693" s="12"/>
      <c r="C693" s="12"/>
      <c r="D693" s="12"/>
      <c r="H693" s="20"/>
      <c r="J693" s="20"/>
      <c r="K693" s="20"/>
      <c r="L693" s="20"/>
      <c r="M693" s="12"/>
      <c r="N693" s="12"/>
      <c r="O693" s="12"/>
      <c r="P693" s="12"/>
    </row>
    <row r="694">
      <c r="A694" s="12"/>
      <c r="B694" s="12"/>
      <c r="C694" s="12"/>
      <c r="D694" s="12"/>
      <c r="H694" s="20"/>
      <c r="J694" s="20"/>
      <c r="K694" s="20"/>
      <c r="L694" s="20"/>
      <c r="M694" s="12"/>
      <c r="N694" s="12"/>
      <c r="O694" s="12"/>
      <c r="P694" s="12"/>
    </row>
    <row r="695">
      <c r="A695" s="12"/>
      <c r="B695" s="12"/>
      <c r="C695" s="12"/>
      <c r="D695" s="12"/>
      <c r="H695" s="20"/>
      <c r="J695" s="20"/>
      <c r="K695" s="20"/>
      <c r="L695" s="20"/>
      <c r="M695" s="12"/>
      <c r="N695" s="12"/>
      <c r="O695" s="12"/>
      <c r="P695" s="12"/>
    </row>
    <row r="696">
      <c r="A696" s="12"/>
      <c r="B696" s="12"/>
      <c r="C696" s="12"/>
      <c r="D696" s="12"/>
      <c r="H696" s="20"/>
      <c r="J696" s="20"/>
      <c r="K696" s="20"/>
      <c r="L696" s="20"/>
      <c r="M696" s="12"/>
      <c r="N696" s="12"/>
      <c r="O696" s="12"/>
      <c r="P696" s="12"/>
    </row>
    <row r="697">
      <c r="A697" s="12"/>
      <c r="B697" s="12"/>
      <c r="C697" s="12"/>
      <c r="D697" s="12"/>
      <c r="H697" s="20"/>
      <c r="J697" s="20"/>
      <c r="K697" s="20"/>
      <c r="L697" s="20"/>
      <c r="M697" s="12"/>
      <c r="N697" s="12"/>
      <c r="O697" s="12"/>
      <c r="P697" s="12"/>
    </row>
    <row r="698">
      <c r="A698" s="12"/>
      <c r="B698" s="12"/>
      <c r="C698" s="12"/>
      <c r="D698" s="12"/>
      <c r="H698" s="20"/>
      <c r="J698" s="20"/>
      <c r="K698" s="20"/>
      <c r="L698" s="20"/>
      <c r="M698" s="12"/>
      <c r="N698" s="12"/>
      <c r="O698" s="12"/>
      <c r="P698" s="12"/>
    </row>
    <row r="699">
      <c r="A699" s="12"/>
      <c r="B699" s="12"/>
      <c r="C699" s="12"/>
      <c r="D699" s="12"/>
      <c r="H699" s="20"/>
      <c r="J699" s="20"/>
      <c r="K699" s="20"/>
      <c r="L699" s="20"/>
      <c r="M699" s="12"/>
      <c r="N699" s="12"/>
      <c r="O699" s="12"/>
      <c r="P699" s="12"/>
    </row>
    <row r="700">
      <c r="A700" s="12"/>
      <c r="B700" s="12"/>
      <c r="C700" s="12"/>
      <c r="D700" s="12"/>
      <c r="H700" s="20"/>
      <c r="J700" s="20"/>
      <c r="K700" s="20"/>
      <c r="L700" s="20"/>
      <c r="M700" s="12"/>
      <c r="N700" s="12"/>
      <c r="O700" s="12"/>
      <c r="P700" s="12"/>
    </row>
    <row r="701">
      <c r="A701" s="12"/>
      <c r="B701" s="12"/>
      <c r="C701" s="12"/>
      <c r="D701" s="12"/>
      <c r="H701" s="20"/>
      <c r="J701" s="20"/>
      <c r="K701" s="20"/>
      <c r="L701" s="20"/>
      <c r="M701" s="12"/>
      <c r="N701" s="12"/>
      <c r="O701" s="12"/>
      <c r="P701" s="12"/>
    </row>
    <row r="702">
      <c r="A702" s="12"/>
      <c r="B702" s="12"/>
      <c r="C702" s="12"/>
      <c r="D702" s="12"/>
      <c r="H702" s="20"/>
      <c r="J702" s="20"/>
      <c r="K702" s="20"/>
      <c r="L702" s="20"/>
      <c r="M702" s="12"/>
      <c r="N702" s="12"/>
      <c r="O702" s="12"/>
      <c r="P702" s="12"/>
    </row>
    <row r="703">
      <c r="A703" s="12"/>
      <c r="B703" s="12"/>
      <c r="C703" s="12"/>
      <c r="D703" s="12"/>
      <c r="H703" s="20"/>
      <c r="J703" s="20"/>
      <c r="K703" s="20"/>
      <c r="L703" s="20"/>
      <c r="M703" s="12"/>
      <c r="N703" s="12"/>
      <c r="O703" s="12"/>
      <c r="P703" s="12"/>
    </row>
    <row r="704">
      <c r="A704" s="12"/>
      <c r="B704" s="12"/>
      <c r="C704" s="12"/>
      <c r="D704" s="12"/>
      <c r="H704" s="20"/>
      <c r="J704" s="20"/>
      <c r="K704" s="20"/>
      <c r="L704" s="20"/>
      <c r="M704" s="12"/>
      <c r="N704" s="12"/>
      <c r="O704" s="12"/>
      <c r="P704" s="12"/>
    </row>
    <row r="705">
      <c r="A705" s="12"/>
      <c r="B705" s="12"/>
      <c r="C705" s="12"/>
      <c r="D705" s="12"/>
      <c r="H705" s="20"/>
      <c r="J705" s="20"/>
      <c r="K705" s="20"/>
      <c r="L705" s="20"/>
      <c r="M705" s="12"/>
      <c r="N705" s="12"/>
      <c r="O705" s="12"/>
      <c r="P705" s="12"/>
    </row>
    <row r="706">
      <c r="A706" s="12"/>
      <c r="B706" s="12"/>
      <c r="C706" s="12"/>
      <c r="D706" s="12"/>
      <c r="H706" s="20"/>
      <c r="J706" s="20"/>
      <c r="K706" s="20"/>
      <c r="L706" s="20"/>
      <c r="M706" s="12"/>
      <c r="N706" s="12"/>
      <c r="O706" s="12"/>
      <c r="P706" s="12"/>
    </row>
    <row r="707">
      <c r="A707" s="12"/>
      <c r="B707" s="12"/>
      <c r="C707" s="12"/>
      <c r="D707" s="12"/>
      <c r="H707" s="20"/>
      <c r="J707" s="20"/>
      <c r="K707" s="20"/>
      <c r="L707" s="20"/>
      <c r="M707" s="12"/>
      <c r="N707" s="12"/>
      <c r="O707" s="12"/>
      <c r="P707" s="12"/>
    </row>
    <row r="708">
      <c r="A708" s="12"/>
      <c r="B708" s="12"/>
      <c r="C708" s="12"/>
      <c r="D708" s="12"/>
      <c r="H708" s="20"/>
      <c r="J708" s="20"/>
      <c r="K708" s="20"/>
      <c r="L708" s="20"/>
      <c r="M708" s="12"/>
      <c r="N708" s="12"/>
      <c r="O708" s="12"/>
      <c r="P708" s="12"/>
    </row>
    <row r="709">
      <c r="A709" s="12"/>
      <c r="B709" s="12"/>
      <c r="C709" s="12"/>
      <c r="D709" s="12"/>
      <c r="H709" s="20"/>
      <c r="J709" s="20"/>
      <c r="K709" s="20"/>
      <c r="L709" s="20"/>
      <c r="M709" s="12"/>
      <c r="N709" s="12"/>
      <c r="O709" s="12"/>
      <c r="P709" s="12"/>
    </row>
    <row r="710">
      <c r="A710" s="12"/>
      <c r="B710" s="12"/>
      <c r="C710" s="12"/>
      <c r="D710" s="12"/>
      <c r="H710" s="20"/>
      <c r="J710" s="20"/>
      <c r="K710" s="20"/>
      <c r="L710" s="20"/>
      <c r="M710" s="12"/>
      <c r="N710" s="12"/>
      <c r="O710" s="12"/>
      <c r="P710" s="12"/>
    </row>
    <row r="711">
      <c r="A711" s="12"/>
      <c r="B711" s="12"/>
      <c r="C711" s="12"/>
      <c r="D711" s="12"/>
      <c r="H711" s="20"/>
      <c r="J711" s="20"/>
      <c r="K711" s="20"/>
      <c r="L711" s="20"/>
      <c r="M711" s="12"/>
      <c r="N711" s="12"/>
      <c r="O711" s="12"/>
      <c r="P711" s="12"/>
    </row>
    <row r="712">
      <c r="A712" s="12"/>
      <c r="B712" s="12"/>
      <c r="C712" s="12"/>
      <c r="D712" s="12"/>
      <c r="H712" s="20"/>
      <c r="J712" s="20"/>
      <c r="K712" s="20"/>
      <c r="L712" s="20"/>
      <c r="M712" s="12"/>
      <c r="N712" s="12"/>
      <c r="O712" s="12"/>
      <c r="P712" s="12"/>
    </row>
    <row r="713">
      <c r="A713" s="12"/>
      <c r="B713" s="12"/>
      <c r="C713" s="12"/>
      <c r="D713" s="12"/>
      <c r="H713" s="20"/>
      <c r="J713" s="20"/>
      <c r="K713" s="20"/>
      <c r="L713" s="20"/>
      <c r="M713" s="12"/>
      <c r="N713" s="12"/>
      <c r="O713" s="12"/>
      <c r="P713" s="12"/>
    </row>
    <row r="714">
      <c r="A714" s="12"/>
      <c r="B714" s="12"/>
      <c r="C714" s="12"/>
      <c r="D714" s="12"/>
      <c r="H714" s="20"/>
      <c r="J714" s="20"/>
      <c r="K714" s="20"/>
      <c r="L714" s="20"/>
      <c r="M714" s="12"/>
      <c r="N714" s="12"/>
      <c r="O714" s="12"/>
      <c r="P714" s="12"/>
    </row>
    <row r="715">
      <c r="A715" s="12"/>
      <c r="B715" s="12"/>
      <c r="C715" s="12"/>
      <c r="D715" s="12"/>
      <c r="H715" s="20"/>
      <c r="J715" s="20"/>
      <c r="K715" s="20"/>
      <c r="L715" s="20"/>
      <c r="M715" s="12"/>
      <c r="N715" s="12"/>
      <c r="O715" s="12"/>
      <c r="P715" s="12"/>
    </row>
    <row r="716">
      <c r="A716" s="12"/>
      <c r="B716" s="12"/>
      <c r="C716" s="12"/>
      <c r="D716" s="12"/>
      <c r="H716" s="20"/>
      <c r="J716" s="20"/>
      <c r="K716" s="20"/>
      <c r="L716" s="20"/>
      <c r="M716" s="12"/>
      <c r="N716" s="12"/>
      <c r="O716" s="12"/>
      <c r="P716" s="12"/>
    </row>
    <row r="717">
      <c r="A717" s="12"/>
      <c r="B717" s="12"/>
      <c r="C717" s="12"/>
      <c r="D717" s="12"/>
      <c r="H717" s="20"/>
      <c r="J717" s="20"/>
      <c r="K717" s="20"/>
      <c r="L717" s="20"/>
      <c r="M717" s="12"/>
      <c r="N717" s="12"/>
      <c r="O717" s="12"/>
      <c r="P717" s="12"/>
    </row>
    <row r="718">
      <c r="A718" s="12"/>
      <c r="B718" s="12"/>
      <c r="C718" s="12"/>
      <c r="D718" s="12"/>
      <c r="H718" s="20"/>
      <c r="J718" s="20"/>
      <c r="K718" s="20"/>
      <c r="L718" s="20"/>
      <c r="M718" s="12"/>
      <c r="N718" s="12"/>
      <c r="O718" s="12"/>
      <c r="P718" s="12"/>
    </row>
    <row r="719">
      <c r="A719" s="12"/>
      <c r="B719" s="12"/>
      <c r="C719" s="12"/>
      <c r="D719" s="12"/>
      <c r="H719" s="20"/>
      <c r="J719" s="20"/>
      <c r="K719" s="20"/>
      <c r="L719" s="20"/>
      <c r="M719" s="12"/>
      <c r="N719" s="12"/>
      <c r="O719" s="12"/>
      <c r="P719" s="12"/>
    </row>
    <row r="720">
      <c r="A720" s="12"/>
      <c r="B720" s="12"/>
      <c r="C720" s="12"/>
      <c r="D720" s="12"/>
      <c r="H720" s="20"/>
      <c r="J720" s="20"/>
      <c r="K720" s="20"/>
      <c r="L720" s="20"/>
      <c r="M720" s="12"/>
      <c r="N720" s="12"/>
      <c r="O720" s="12"/>
      <c r="P720" s="12"/>
    </row>
    <row r="721">
      <c r="A721" s="12"/>
      <c r="B721" s="12"/>
      <c r="C721" s="12"/>
      <c r="D721" s="12"/>
      <c r="H721" s="20"/>
      <c r="J721" s="20"/>
      <c r="K721" s="20"/>
      <c r="L721" s="20"/>
      <c r="M721" s="12"/>
      <c r="N721" s="12"/>
      <c r="O721" s="12"/>
      <c r="P721" s="12"/>
    </row>
    <row r="722">
      <c r="A722" s="12"/>
      <c r="B722" s="12"/>
      <c r="C722" s="12"/>
      <c r="D722" s="12"/>
      <c r="H722" s="20"/>
      <c r="J722" s="20"/>
      <c r="K722" s="20"/>
      <c r="L722" s="20"/>
      <c r="M722" s="12"/>
      <c r="N722" s="12"/>
      <c r="O722" s="12"/>
      <c r="P722" s="12"/>
    </row>
    <row r="723">
      <c r="A723" s="12"/>
      <c r="B723" s="12"/>
      <c r="C723" s="12"/>
      <c r="D723" s="12"/>
      <c r="H723" s="20"/>
      <c r="J723" s="20"/>
      <c r="K723" s="20"/>
      <c r="L723" s="20"/>
      <c r="M723" s="12"/>
      <c r="N723" s="12"/>
      <c r="O723" s="12"/>
      <c r="P723" s="12"/>
    </row>
    <row r="724">
      <c r="A724" s="12"/>
      <c r="B724" s="12"/>
      <c r="C724" s="12"/>
      <c r="D724" s="12"/>
      <c r="H724" s="20"/>
      <c r="J724" s="20"/>
      <c r="K724" s="20"/>
      <c r="L724" s="20"/>
      <c r="M724" s="12"/>
      <c r="N724" s="12"/>
      <c r="O724" s="12"/>
      <c r="P724" s="12"/>
    </row>
    <row r="725">
      <c r="A725" s="12"/>
      <c r="B725" s="12"/>
      <c r="C725" s="12"/>
      <c r="D725" s="12"/>
      <c r="H725" s="20"/>
      <c r="J725" s="20"/>
      <c r="K725" s="20"/>
      <c r="L725" s="20"/>
      <c r="M725" s="12"/>
      <c r="N725" s="12"/>
      <c r="O725" s="12"/>
      <c r="P725" s="12"/>
    </row>
    <row r="726">
      <c r="A726" s="12"/>
      <c r="B726" s="12"/>
      <c r="C726" s="12"/>
      <c r="D726" s="12"/>
      <c r="H726" s="20"/>
      <c r="J726" s="20"/>
      <c r="K726" s="20"/>
      <c r="L726" s="20"/>
      <c r="M726" s="12"/>
      <c r="N726" s="12"/>
      <c r="O726" s="12"/>
      <c r="P726" s="12"/>
    </row>
    <row r="727">
      <c r="A727" s="12"/>
      <c r="B727" s="12"/>
      <c r="C727" s="12"/>
      <c r="D727" s="12"/>
      <c r="H727" s="20"/>
      <c r="J727" s="20"/>
      <c r="K727" s="20"/>
      <c r="L727" s="20"/>
      <c r="M727" s="12"/>
      <c r="N727" s="12"/>
      <c r="O727" s="12"/>
      <c r="P727" s="12"/>
    </row>
    <row r="728">
      <c r="A728" s="12"/>
      <c r="B728" s="12"/>
      <c r="C728" s="12"/>
      <c r="D728" s="12"/>
      <c r="H728" s="20"/>
      <c r="J728" s="20"/>
      <c r="K728" s="20"/>
      <c r="L728" s="20"/>
      <c r="M728" s="12"/>
      <c r="N728" s="12"/>
      <c r="O728" s="12"/>
      <c r="P728" s="12"/>
    </row>
    <row r="729">
      <c r="A729" s="12"/>
      <c r="B729" s="12"/>
      <c r="C729" s="12"/>
      <c r="D729" s="12"/>
      <c r="H729" s="20"/>
      <c r="J729" s="20"/>
      <c r="K729" s="20"/>
      <c r="L729" s="20"/>
      <c r="M729" s="12"/>
      <c r="N729" s="12"/>
      <c r="O729" s="12"/>
      <c r="P729" s="12"/>
    </row>
    <row r="730">
      <c r="A730" s="12"/>
      <c r="B730" s="12"/>
      <c r="C730" s="12"/>
      <c r="D730" s="12"/>
      <c r="H730" s="20"/>
      <c r="J730" s="20"/>
      <c r="K730" s="20"/>
      <c r="L730" s="20"/>
      <c r="M730" s="12"/>
      <c r="N730" s="12"/>
      <c r="O730" s="12"/>
      <c r="P730" s="12"/>
    </row>
    <row r="731">
      <c r="A731" s="12"/>
      <c r="B731" s="12"/>
      <c r="C731" s="12"/>
      <c r="D731" s="12"/>
      <c r="H731" s="20"/>
      <c r="J731" s="20"/>
      <c r="K731" s="20"/>
      <c r="L731" s="20"/>
      <c r="M731" s="12"/>
      <c r="N731" s="12"/>
      <c r="O731" s="12"/>
      <c r="P731" s="12"/>
    </row>
    <row r="732">
      <c r="A732" s="12"/>
      <c r="B732" s="12"/>
      <c r="C732" s="12"/>
      <c r="D732" s="12"/>
      <c r="H732" s="20"/>
      <c r="J732" s="20"/>
      <c r="K732" s="20"/>
      <c r="L732" s="20"/>
      <c r="M732" s="12"/>
      <c r="N732" s="12"/>
      <c r="O732" s="12"/>
      <c r="P732" s="12"/>
    </row>
    <row r="733">
      <c r="A733" s="12"/>
      <c r="B733" s="12"/>
      <c r="C733" s="12"/>
      <c r="D733" s="12"/>
      <c r="H733" s="20"/>
      <c r="J733" s="20"/>
      <c r="K733" s="20"/>
      <c r="L733" s="20"/>
      <c r="M733" s="12"/>
      <c r="N733" s="12"/>
      <c r="O733" s="12"/>
      <c r="P733" s="12"/>
    </row>
    <row r="734">
      <c r="A734" s="12"/>
      <c r="B734" s="12"/>
      <c r="C734" s="12"/>
      <c r="D734" s="12"/>
      <c r="H734" s="20"/>
      <c r="J734" s="20"/>
      <c r="K734" s="20"/>
      <c r="L734" s="20"/>
      <c r="M734" s="12"/>
      <c r="N734" s="12"/>
      <c r="O734" s="12"/>
      <c r="P734" s="12"/>
    </row>
    <row r="735">
      <c r="A735" s="12"/>
      <c r="B735" s="12"/>
      <c r="C735" s="12"/>
      <c r="D735" s="12"/>
      <c r="H735" s="20"/>
      <c r="J735" s="20"/>
      <c r="K735" s="20"/>
      <c r="L735" s="20"/>
      <c r="M735" s="12"/>
      <c r="N735" s="12"/>
      <c r="O735" s="12"/>
      <c r="P735" s="12"/>
    </row>
    <row r="736">
      <c r="A736" s="12"/>
      <c r="B736" s="12"/>
      <c r="C736" s="12"/>
      <c r="D736" s="12"/>
      <c r="H736" s="20"/>
      <c r="J736" s="20"/>
      <c r="K736" s="20"/>
      <c r="L736" s="20"/>
      <c r="M736" s="12"/>
      <c r="N736" s="12"/>
      <c r="O736" s="12"/>
      <c r="P736" s="12"/>
    </row>
    <row r="737">
      <c r="A737" s="12"/>
      <c r="B737" s="12"/>
      <c r="C737" s="12"/>
      <c r="D737" s="12"/>
      <c r="H737" s="20"/>
      <c r="J737" s="20"/>
      <c r="K737" s="20"/>
      <c r="L737" s="20"/>
      <c r="M737" s="12"/>
      <c r="N737" s="12"/>
      <c r="O737" s="12"/>
      <c r="P737" s="12"/>
    </row>
    <row r="738">
      <c r="A738" s="12"/>
      <c r="B738" s="12"/>
      <c r="C738" s="12"/>
      <c r="D738" s="12"/>
      <c r="H738" s="20"/>
      <c r="J738" s="20"/>
      <c r="K738" s="20"/>
      <c r="L738" s="20"/>
      <c r="M738" s="12"/>
      <c r="N738" s="12"/>
      <c r="O738" s="12"/>
      <c r="P738" s="12"/>
    </row>
    <row r="739">
      <c r="A739" s="12"/>
      <c r="B739" s="12"/>
      <c r="C739" s="12"/>
      <c r="D739" s="12"/>
      <c r="H739" s="20"/>
      <c r="J739" s="20"/>
      <c r="K739" s="20"/>
      <c r="L739" s="20"/>
      <c r="M739" s="12"/>
      <c r="N739" s="12"/>
      <c r="O739" s="12"/>
      <c r="P739" s="12"/>
    </row>
    <row r="740">
      <c r="A740" s="12"/>
      <c r="B740" s="12"/>
      <c r="C740" s="12"/>
      <c r="D740" s="12"/>
      <c r="H740" s="20"/>
      <c r="J740" s="20"/>
      <c r="K740" s="20"/>
      <c r="L740" s="20"/>
      <c r="M740" s="12"/>
      <c r="N740" s="12"/>
      <c r="O740" s="12"/>
      <c r="P740" s="12"/>
    </row>
    <row r="741">
      <c r="A741" s="12"/>
      <c r="B741" s="12"/>
      <c r="C741" s="12"/>
      <c r="D741" s="12"/>
      <c r="H741" s="20"/>
      <c r="J741" s="20"/>
      <c r="K741" s="20"/>
      <c r="L741" s="20"/>
      <c r="M741" s="12"/>
      <c r="N741" s="12"/>
      <c r="O741" s="12"/>
      <c r="P741" s="12"/>
    </row>
    <row r="742">
      <c r="A742" s="12"/>
      <c r="B742" s="12"/>
      <c r="C742" s="12"/>
      <c r="D742" s="12"/>
      <c r="H742" s="20"/>
      <c r="J742" s="20"/>
      <c r="K742" s="20"/>
      <c r="L742" s="20"/>
      <c r="M742" s="12"/>
      <c r="N742" s="12"/>
      <c r="O742" s="12"/>
      <c r="P742" s="12"/>
    </row>
    <row r="743">
      <c r="A743" s="12"/>
      <c r="B743" s="12"/>
      <c r="C743" s="12"/>
      <c r="D743" s="12"/>
      <c r="H743" s="20"/>
      <c r="J743" s="20"/>
      <c r="K743" s="20"/>
      <c r="L743" s="20"/>
      <c r="M743" s="12"/>
      <c r="N743" s="12"/>
      <c r="O743" s="12"/>
      <c r="P743" s="12"/>
    </row>
    <row r="744">
      <c r="A744" s="12"/>
      <c r="B744" s="12"/>
      <c r="C744" s="12"/>
      <c r="D744" s="12"/>
      <c r="H744" s="20"/>
      <c r="J744" s="20"/>
      <c r="K744" s="20"/>
      <c r="L744" s="20"/>
      <c r="M744" s="12"/>
      <c r="N744" s="12"/>
      <c r="O744" s="12"/>
      <c r="P744" s="12"/>
    </row>
    <row r="745">
      <c r="A745" s="12"/>
      <c r="B745" s="12"/>
      <c r="C745" s="12"/>
      <c r="D745" s="12"/>
      <c r="H745" s="20"/>
      <c r="J745" s="20"/>
      <c r="K745" s="20"/>
      <c r="L745" s="20"/>
      <c r="M745" s="12"/>
      <c r="N745" s="12"/>
      <c r="O745" s="12"/>
      <c r="P745" s="12"/>
    </row>
    <row r="746">
      <c r="A746" s="12"/>
      <c r="B746" s="12"/>
      <c r="C746" s="12"/>
      <c r="D746" s="12"/>
      <c r="H746" s="20"/>
      <c r="J746" s="20"/>
      <c r="K746" s="20"/>
      <c r="L746" s="20"/>
      <c r="M746" s="12"/>
      <c r="N746" s="12"/>
      <c r="O746" s="12"/>
      <c r="P746" s="12"/>
    </row>
    <row r="747">
      <c r="A747" s="12"/>
      <c r="B747" s="12"/>
      <c r="C747" s="12"/>
      <c r="D747" s="12"/>
      <c r="H747" s="20"/>
      <c r="J747" s="20"/>
      <c r="K747" s="20"/>
      <c r="L747" s="20"/>
      <c r="M747" s="12"/>
      <c r="N747" s="12"/>
      <c r="O747" s="12"/>
      <c r="P747" s="12"/>
    </row>
    <row r="748">
      <c r="A748" s="12"/>
      <c r="B748" s="12"/>
      <c r="C748" s="12"/>
      <c r="D748" s="12"/>
      <c r="H748" s="20"/>
      <c r="J748" s="20"/>
      <c r="K748" s="20"/>
      <c r="L748" s="20"/>
      <c r="M748" s="12"/>
      <c r="N748" s="12"/>
      <c r="O748" s="12"/>
      <c r="P748" s="12"/>
    </row>
    <row r="749">
      <c r="A749" s="12"/>
      <c r="B749" s="12"/>
      <c r="C749" s="12"/>
      <c r="D749" s="12"/>
      <c r="H749" s="20"/>
      <c r="J749" s="20"/>
      <c r="K749" s="20"/>
      <c r="L749" s="20"/>
      <c r="M749" s="12"/>
      <c r="N749" s="12"/>
      <c r="O749" s="12"/>
      <c r="P749" s="12"/>
    </row>
    <row r="750">
      <c r="A750" s="12"/>
      <c r="B750" s="12"/>
      <c r="C750" s="12"/>
      <c r="D750" s="12"/>
      <c r="H750" s="20"/>
      <c r="J750" s="20"/>
      <c r="K750" s="20"/>
      <c r="L750" s="20"/>
      <c r="M750" s="12"/>
      <c r="N750" s="12"/>
      <c r="O750" s="12"/>
      <c r="P750" s="12"/>
    </row>
    <row r="751">
      <c r="A751" s="12"/>
      <c r="B751" s="12"/>
      <c r="C751" s="12"/>
      <c r="D751" s="12"/>
      <c r="H751" s="20"/>
      <c r="J751" s="20"/>
      <c r="K751" s="20"/>
      <c r="L751" s="20"/>
      <c r="M751" s="12"/>
      <c r="N751" s="12"/>
      <c r="O751" s="12"/>
      <c r="P751" s="12"/>
    </row>
    <row r="752">
      <c r="A752" s="12"/>
      <c r="B752" s="12"/>
      <c r="C752" s="12"/>
      <c r="D752" s="12"/>
      <c r="H752" s="20"/>
      <c r="J752" s="20"/>
      <c r="K752" s="20"/>
      <c r="L752" s="20"/>
      <c r="M752" s="12"/>
      <c r="N752" s="12"/>
      <c r="O752" s="12"/>
      <c r="P752" s="12"/>
    </row>
    <row r="753">
      <c r="A753" s="12"/>
      <c r="B753" s="12"/>
      <c r="C753" s="12"/>
      <c r="D753" s="12"/>
      <c r="H753" s="20"/>
      <c r="J753" s="20"/>
      <c r="K753" s="20"/>
      <c r="L753" s="20"/>
      <c r="M753" s="12"/>
      <c r="N753" s="12"/>
      <c r="O753" s="12"/>
      <c r="P753" s="12"/>
    </row>
    <row r="754">
      <c r="A754" s="12"/>
      <c r="B754" s="12"/>
      <c r="C754" s="12"/>
      <c r="D754" s="12"/>
      <c r="H754" s="20"/>
      <c r="J754" s="20"/>
      <c r="K754" s="20"/>
      <c r="L754" s="20"/>
      <c r="M754" s="12"/>
      <c r="N754" s="12"/>
      <c r="O754" s="12"/>
      <c r="P754" s="12"/>
    </row>
    <row r="755">
      <c r="A755" s="12"/>
      <c r="B755" s="12"/>
      <c r="C755" s="12"/>
      <c r="D755" s="12"/>
      <c r="H755" s="20"/>
      <c r="J755" s="20"/>
      <c r="K755" s="20"/>
      <c r="L755" s="20"/>
      <c r="M755" s="12"/>
      <c r="N755" s="12"/>
      <c r="O755" s="12"/>
      <c r="P755" s="12"/>
    </row>
    <row r="756">
      <c r="A756" s="12"/>
      <c r="B756" s="12"/>
      <c r="C756" s="12"/>
      <c r="D756" s="12"/>
      <c r="H756" s="20"/>
      <c r="J756" s="20"/>
      <c r="K756" s="20"/>
      <c r="L756" s="20"/>
      <c r="M756" s="12"/>
      <c r="N756" s="12"/>
      <c r="O756" s="12"/>
      <c r="P756" s="12"/>
    </row>
    <row r="757">
      <c r="A757" s="12"/>
      <c r="B757" s="12"/>
      <c r="C757" s="12"/>
      <c r="D757" s="12"/>
      <c r="H757" s="20"/>
      <c r="J757" s="20"/>
      <c r="K757" s="20"/>
      <c r="L757" s="20"/>
      <c r="M757" s="12"/>
      <c r="N757" s="12"/>
      <c r="O757" s="12"/>
      <c r="P757" s="12"/>
    </row>
    <row r="758">
      <c r="A758" s="12"/>
      <c r="B758" s="12"/>
      <c r="C758" s="12"/>
      <c r="D758" s="12"/>
      <c r="H758" s="20"/>
      <c r="J758" s="20"/>
      <c r="K758" s="20"/>
      <c r="L758" s="20"/>
      <c r="M758" s="12"/>
      <c r="N758" s="12"/>
      <c r="O758" s="12"/>
      <c r="P758" s="12"/>
    </row>
    <row r="759">
      <c r="A759" s="12"/>
      <c r="B759" s="12"/>
      <c r="C759" s="12"/>
      <c r="D759" s="12"/>
      <c r="H759" s="20"/>
      <c r="J759" s="20"/>
      <c r="K759" s="20"/>
      <c r="L759" s="20"/>
      <c r="M759" s="12"/>
      <c r="N759" s="12"/>
      <c r="O759" s="12"/>
      <c r="P759" s="12"/>
    </row>
    <row r="760">
      <c r="A760" s="12"/>
      <c r="B760" s="12"/>
      <c r="C760" s="12"/>
      <c r="D760" s="12"/>
      <c r="H760" s="20"/>
      <c r="J760" s="20"/>
      <c r="K760" s="20"/>
      <c r="L760" s="20"/>
      <c r="M760" s="12"/>
      <c r="N760" s="12"/>
      <c r="O760" s="12"/>
      <c r="P760" s="12"/>
    </row>
    <row r="761">
      <c r="A761" s="12"/>
      <c r="B761" s="12"/>
      <c r="C761" s="12"/>
      <c r="D761" s="12"/>
      <c r="H761" s="20"/>
      <c r="J761" s="20"/>
      <c r="K761" s="20"/>
      <c r="L761" s="20"/>
      <c r="M761" s="12"/>
      <c r="N761" s="12"/>
      <c r="O761" s="12"/>
      <c r="P761" s="12"/>
    </row>
    <row r="762">
      <c r="A762" s="12"/>
      <c r="B762" s="12"/>
      <c r="C762" s="12"/>
      <c r="D762" s="12"/>
      <c r="H762" s="20"/>
      <c r="J762" s="20"/>
      <c r="K762" s="20"/>
      <c r="L762" s="20"/>
      <c r="M762" s="12"/>
      <c r="N762" s="12"/>
      <c r="O762" s="12"/>
      <c r="P762" s="12"/>
    </row>
    <row r="763">
      <c r="A763" s="12"/>
      <c r="B763" s="12"/>
      <c r="C763" s="12"/>
      <c r="D763" s="12"/>
      <c r="H763" s="20"/>
      <c r="J763" s="20"/>
      <c r="K763" s="20"/>
      <c r="L763" s="20"/>
      <c r="M763" s="12"/>
      <c r="N763" s="12"/>
      <c r="O763" s="12"/>
      <c r="P763" s="12"/>
    </row>
    <row r="764">
      <c r="A764" s="12"/>
      <c r="B764" s="12"/>
      <c r="C764" s="12"/>
      <c r="D764" s="12"/>
      <c r="H764" s="20"/>
      <c r="J764" s="20"/>
      <c r="K764" s="20"/>
      <c r="L764" s="20"/>
      <c r="M764" s="12"/>
      <c r="N764" s="12"/>
      <c r="O764" s="12"/>
      <c r="P764" s="12"/>
    </row>
    <row r="765">
      <c r="A765" s="12"/>
      <c r="B765" s="12"/>
      <c r="C765" s="12"/>
      <c r="D765" s="12"/>
      <c r="H765" s="20"/>
      <c r="J765" s="20"/>
      <c r="K765" s="20"/>
      <c r="L765" s="20"/>
      <c r="M765" s="12"/>
      <c r="N765" s="12"/>
      <c r="O765" s="12"/>
      <c r="P765" s="12"/>
    </row>
    <row r="766">
      <c r="A766" s="12"/>
      <c r="B766" s="12"/>
      <c r="C766" s="12"/>
      <c r="D766" s="12"/>
      <c r="H766" s="20"/>
      <c r="J766" s="20"/>
      <c r="K766" s="20"/>
      <c r="L766" s="20"/>
      <c r="M766" s="12"/>
      <c r="N766" s="12"/>
      <c r="O766" s="12"/>
      <c r="P766" s="12"/>
    </row>
    <row r="767">
      <c r="A767" s="12"/>
      <c r="B767" s="12"/>
      <c r="C767" s="12"/>
      <c r="D767" s="12"/>
      <c r="H767" s="20"/>
      <c r="J767" s="20"/>
      <c r="K767" s="20"/>
      <c r="L767" s="20"/>
      <c r="M767" s="12"/>
      <c r="N767" s="12"/>
      <c r="O767" s="12"/>
      <c r="P767" s="12"/>
    </row>
    <row r="768">
      <c r="A768" s="12"/>
      <c r="B768" s="12"/>
      <c r="C768" s="12"/>
      <c r="D768" s="12"/>
      <c r="H768" s="20"/>
      <c r="J768" s="20"/>
      <c r="K768" s="20"/>
      <c r="L768" s="20"/>
      <c r="M768" s="12"/>
      <c r="N768" s="12"/>
      <c r="O768" s="12"/>
      <c r="P768" s="12"/>
    </row>
    <row r="769">
      <c r="A769" s="12"/>
      <c r="B769" s="12"/>
      <c r="C769" s="12"/>
      <c r="D769" s="12"/>
      <c r="H769" s="20"/>
      <c r="J769" s="20"/>
      <c r="K769" s="20"/>
      <c r="L769" s="20"/>
      <c r="M769" s="12"/>
      <c r="N769" s="12"/>
      <c r="O769" s="12"/>
      <c r="P769" s="12"/>
    </row>
    <row r="770">
      <c r="A770" s="12"/>
      <c r="B770" s="12"/>
      <c r="C770" s="12"/>
      <c r="D770" s="12"/>
      <c r="H770" s="20"/>
      <c r="J770" s="20"/>
      <c r="K770" s="20"/>
      <c r="L770" s="20"/>
      <c r="M770" s="12"/>
      <c r="N770" s="12"/>
      <c r="O770" s="12"/>
      <c r="P770" s="12"/>
    </row>
    <row r="771">
      <c r="A771" s="12"/>
      <c r="B771" s="12"/>
      <c r="C771" s="12"/>
      <c r="D771" s="12"/>
      <c r="H771" s="20"/>
      <c r="J771" s="20"/>
      <c r="K771" s="20"/>
      <c r="L771" s="20"/>
      <c r="M771" s="12"/>
      <c r="N771" s="12"/>
      <c r="O771" s="12"/>
      <c r="P771" s="12"/>
    </row>
    <row r="772">
      <c r="A772" s="12"/>
      <c r="B772" s="12"/>
      <c r="C772" s="12"/>
      <c r="D772" s="12"/>
      <c r="H772" s="20"/>
      <c r="J772" s="20"/>
      <c r="K772" s="20"/>
      <c r="L772" s="20"/>
      <c r="M772" s="12"/>
      <c r="N772" s="12"/>
      <c r="O772" s="12"/>
      <c r="P772" s="12"/>
    </row>
    <row r="773">
      <c r="A773" s="12"/>
      <c r="B773" s="12"/>
      <c r="C773" s="12"/>
      <c r="D773" s="12"/>
      <c r="H773" s="20"/>
      <c r="J773" s="20"/>
      <c r="K773" s="20"/>
      <c r="L773" s="20"/>
      <c r="M773" s="12"/>
      <c r="N773" s="12"/>
      <c r="O773" s="12"/>
      <c r="P773" s="12"/>
    </row>
    <row r="774">
      <c r="A774" s="12"/>
      <c r="B774" s="12"/>
      <c r="C774" s="12"/>
      <c r="D774" s="12"/>
      <c r="H774" s="20"/>
      <c r="J774" s="20"/>
      <c r="K774" s="20"/>
      <c r="L774" s="20"/>
      <c r="M774" s="12"/>
      <c r="N774" s="12"/>
      <c r="O774" s="12"/>
      <c r="P774" s="12"/>
    </row>
    <row r="775">
      <c r="A775" s="12"/>
      <c r="B775" s="12"/>
      <c r="C775" s="12"/>
      <c r="D775" s="12"/>
      <c r="H775" s="20"/>
      <c r="J775" s="20"/>
      <c r="K775" s="20"/>
      <c r="L775" s="20"/>
      <c r="M775" s="12"/>
      <c r="N775" s="12"/>
      <c r="O775" s="12"/>
      <c r="P775" s="12"/>
    </row>
    <row r="776">
      <c r="A776" s="12"/>
      <c r="B776" s="12"/>
      <c r="C776" s="12"/>
      <c r="D776" s="12"/>
      <c r="H776" s="20"/>
      <c r="J776" s="20"/>
      <c r="K776" s="20"/>
      <c r="L776" s="20"/>
      <c r="M776" s="12"/>
      <c r="N776" s="12"/>
      <c r="O776" s="12"/>
      <c r="P776" s="12"/>
    </row>
    <row r="777">
      <c r="A777" s="12"/>
      <c r="B777" s="12"/>
      <c r="C777" s="12"/>
      <c r="D777" s="12"/>
      <c r="H777" s="20"/>
      <c r="J777" s="20"/>
      <c r="K777" s="20"/>
      <c r="L777" s="20"/>
      <c r="M777" s="12"/>
      <c r="N777" s="12"/>
      <c r="O777" s="12"/>
      <c r="P777" s="12"/>
    </row>
    <row r="778">
      <c r="A778" s="12"/>
      <c r="B778" s="12"/>
      <c r="C778" s="12"/>
      <c r="D778" s="12"/>
      <c r="H778" s="20"/>
      <c r="J778" s="20"/>
      <c r="K778" s="20"/>
      <c r="L778" s="20"/>
      <c r="M778" s="12"/>
      <c r="N778" s="12"/>
      <c r="O778" s="12"/>
      <c r="P778" s="12"/>
    </row>
    <row r="779">
      <c r="A779" s="12"/>
      <c r="B779" s="12"/>
      <c r="C779" s="12"/>
      <c r="D779" s="12"/>
      <c r="H779" s="20"/>
      <c r="J779" s="20"/>
      <c r="K779" s="20"/>
      <c r="L779" s="20"/>
      <c r="M779" s="12"/>
      <c r="N779" s="12"/>
      <c r="O779" s="12"/>
      <c r="P779" s="12"/>
    </row>
    <row r="780">
      <c r="A780" s="12"/>
      <c r="B780" s="12"/>
      <c r="C780" s="12"/>
      <c r="D780" s="12"/>
      <c r="H780" s="20"/>
      <c r="J780" s="20"/>
      <c r="K780" s="20"/>
      <c r="L780" s="20"/>
      <c r="M780" s="12"/>
      <c r="N780" s="12"/>
      <c r="O780" s="12"/>
      <c r="P780" s="12"/>
    </row>
    <row r="781">
      <c r="A781" s="12"/>
      <c r="B781" s="12"/>
      <c r="C781" s="12"/>
      <c r="D781" s="12"/>
      <c r="H781" s="20"/>
      <c r="J781" s="20"/>
      <c r="K781" s="20"/>
      <c r="L781" s="20"/>
      <c r="M781" s="12"/>
      <c r="N781" s="12"/>
      <c r="O781" s="12"/>
      <c r="P781" s="12"/>
    </row>
    <row r="782">
      <c r="A782" s="12"/>
      <c r="B782" s="12"/>
      <c r="C782" s="12"/>
      <c r="D782" s="12"/>
      <c r="H782" s="20"/>
      <c r="J782" s="20"/>
      <c r="K782" s="20"/>
      <c r="L782" s="20"/>
      <c r="M782" s="12"/>
      <c r="N782" s="12"/>
      <c r="O782" s="12"/>
      <c r="P782" s="12"/>
    </row>
    <row r="783">
      <c r="A783" s="12"/>
      <c r="B783" s="12"/>
      <c r="C783" s="12"/>
      <c r="D783" s="12"/>
      <c r="H783" s="20"/>
      <c r="J783" s="20"/>
      <c r="K783" s="20"/>
      <c r="L783" s="20"/>
      <c r="M783" s="12"/>
      <c r="N783" s="12"/>
      <c r="O783" s="12"/>
      <c r="P783" s="12"/>
    </row>
    <row r="784">
      <c r="A784" s="12"/>
      <c r="B784" s="12"/>
      <c r="C784" s="12"/>
      <c r="D784" s="12"/>
      <c r="H784" s="20"/>
      <c r="J784" s="20"/>
      <c r="K784" s="20"/>
      <c r="L784" s="20"/>
      <c r="M784" s="12"/>
      <c r="N784" s="12"/>
      <c r="O784" s="12"/>
      <c r="P784" s="12"/>
    </row>
    <row r="785">
      <c r="A785" s="12"/>
      <c r="B785" s="12"/>
      <c r="C785" s="12"/>
      <c r="D785" s="12"/>
      <c r="H785" s="20"/>
      <c r="J785" s="20"/>
      <c r="K785" s="20"/>
      <c r="L785" s="20"/>
      <c r="M785" s="12"/>
      <c r="N785" s="12"/>
      <c r="O785" s="12"/>
      <c r="P785" s="12"/>
    </row>
    <row r="786">
      <c r="A786" s="12"/>
      <c r="B786" s="12"/>
      <c r="C786" s="12"/>
      <c r="D786" s="12"/>
      <c r="H786" s="20"/>
      <c r="J786" s="20"/>
      <c r="K786" s="20"/>
      <c r="L786" s="20"/>
      <c r="M786" s="12"/>
      <c r="N786" s="12"/>
      <c r="O786" s="12"/>
      <c r="P786" s="12"/>
    </row>
    <row r="787">
      <c r="A787" s="12"/>
      <c r="B787" s="12"/>
      <c r="C787" s="12"/>
      <c r="D787" s="12"/>
      <c r="H787" s="20"/>
      <c r="J787" s="20"/>
      <c r="K787" s="20"/>
      <c r="L787" s="20"/>
      <c r="M787" s="12"/>
      <c r="N787" s="12"/>
      <c r="O787" s="12"/>
      <c r="P787" s="12"/>
    </row>
    <row r="788">
      <c r="A788" s="12"/>
      <c r="B788" s="12"/>
      <c r="C788" s="12"/>
      <c r="D788" s="12"/>
      <c r="H788" s="20"/>
      <c r="J788" s="20"/>
      <c r="K788" s="20"/>
      <c r="L788" s="20"/>
      <c r="M788" s="12"/>
      <c r="N788" s="12"/>
      <c r="O788" s="12"/>
      <c r="P788" s="12"/>
    </row>
    <row r="789">
      <c r="A789" s="12"/>
      <c r="B789" s="12"/>
      <c r="C789" s="12"/>
      <c r="D789" s="12"/>
      <c r="H789" s="20"/>
      <c r="J789" s="20"/>
      <c r="K789" s="20"/>
      <c r="L789" s="20"/>
      <c r="M789" s="12"/>
      <c r="N789" s="12"/>
      <c r="O789" s="12"/>
      <c r="P789" s="12"/>
    </row>
    <row r="790">
      <c r="A790" s="12"/>
      <c r="B790" s="12"/>
      <c r="C790" s="12"/>
      <c r="D790" s="12"/>
      <c r="H790" s="20"/>
      <c r="J790" s="20"/>
      <c r="K790" s="20"/>
      <c r="L790" s="20"/>
      <c r="M790" s="12"/>
      <c r="N790" s="12"/>
      <c r="O790" s="12"/>
      <c r="P790" s="12"/>
    </row>
    <row r="791">
      <c r="A791" s="12"/>
      <c r="B791" s="12"/>
      <c r="C791" s="12"/>
      <c r="D791" s="12"/>
      <c r="H791" s="20"/>
      <c r="J791" s="20"/>
      <c r="K791" s="20"/>
      <c r="L791" s="20"/>
      <c r="M791" s="12"/>
      <c r="N791" s="12"/>
      <c r="O791" s="12"/>
      <c r="P791" s="12"/>
    </row>
    <row r="792">
      <c r="A792" s="12"/>
      <c r="B792" s="12"/>
      <c r="C792" s="12"/>
      <c r="D792" s="12"/>
      <c r="H792" s="20"/>
      <c r="J792" s="20"/>
      <c r="K792" s="20"/>
      <c r="L792" s="20"/>
      <c r="M792" s="12"/>
      <c r="N792" s="12"/>
      <c r="O792" s="12"/>
      <c r="P792" s="12"/>
    </row>
    <row r="793">
      <c r="A793" s="12"/>
      <c r="B793" s="12"/>
      <c r="C793" s="12"/>
      <c r="D793" s="12"/>
      <c r="H793" s="20"/>
      <c r="J793" s="20"/>
      <c r="K793" s="20"/>
      <c r="L793" s="20"/>
      <c r="M793" s="12"/>
      <c r="N793" s="12"/>
      <c r="O793" s="12"/>
      <c r="P793" s="12"/>
    </row>
    <row r="794">
      <c r="A794" s="12"/>
      <c r="B794" s="12"/>
      <c r="C794" s="12"/>
      <c r="D794" s="12"/>
      <c r="H794" s="20"/>
      <c r="J794" s="20"/>
      <c r="K794" s="20"/>
      <c r="L794" s="20"/>
      <c r="M794" s="12"/>
      <c r="N794" s="12"/>
      <c r="O794" s="12"/>
      <c r="P794" s="12"/>
    </row>
    <row r="795">
      <c r="A795" s="12"/>
      <c r="B795" s="12"/>
      <c r="C795" s="12"/>
      <c r="D795" s="12"/>
      <c r="H795" s="20"/>
      <c r="J795" s="20"/>
      <c r="K795" s="20"/>
      <c r="L795" s="20"/>
      <c r="M795" s="12"/>
      <c r="N795" s="12"/>
      <c r="O795" s="12"/>
      <c r="P795" s="12"/>
    </row>
    <row r="796">
      <c r="A796" s="12"/>
      <c r="B796" s="12"/>
      <c r="C796" s="12"/>
      <c r="D796" s="12"/>
      <c r="H796" s="20"/>
      <c r="J796" s="20"/>
      <c r="K796" s="20"/>
      <c r="L796" s="20"/>
      <c r="M796" s="12"/>
      <c r="N796" s="12"/>
      <c r="O796" s="12"/>
      <c r="P796" s="12"/>
    </row>
    <row r="797">
      <c r="A797" s="12"/>
      <c r="B797" s="12"/>
      <c r="C797" s="12"/>
      <c r="D797" s="12"/>
      <c r="H797" s="20"/>
      <c r="J797" s="20"/>
      <c r="K797" s="20"/>
      <c r="L797" s="20"/>
      <c r="M797" s="12"/>
      <c r="N797" s="12"/>
      <c r="O797" s="12"/>
      <c r="P797" s="12"/>
    </row>
    <row r="798">
      <c r="A798" s="12"/>
      <c r="B798" s="12"/>
      <c r="C798" s="12"/>
      <c r="D798" s="12"/>
      <c r="H798" s="20"/>
      <c r="J798" s="20"/>
      <c r="K798" s="20"/>
      <c r="L798" s="20"/>
      <c r="M798" s="12"/>
      <c r="N798" s="12"/>
      <c r="O798" s="12"/>
      <c r="P798" s="12"/>
    </row>
    <row r="799">
      <c r="A799" s="12"/>
      <c r="B799" s="12"/>
      <c r="C799" s="12"/>
      <c r="D799" s="12"/>
      <c r="H799" s="20"/>
      <c r="J799" s="20"/>
      <c r="K799" s="20"/>
      <c r="L799" s="20"/>
      <c r="M799" s="12"/>
      <c r="N799" s="12"/>
      <c r="O799" s="12"/>
      <c r="P799" s="12"/>
    </row>
    <row r="800">
      <c r="A800" s="12"/>
      <c r="B800" s="12"/>
      <c r="C800" s="12"/>
      <c r="D800" s="12"/>
      <c r="H800" s="20"/>
      <c r="J800" s="20"/>
      <c r="K800" s="20"/>
      <c r="L800" s="20"/>
      <c r="M800" s="12"/>
      <c r="N800" s="12"/>
      <c r="O800" s="12"/>
      <c r="P800" s="12"/>
    </row>
    <row r="801">
      <c r="A801" s="12"/>
      <c r="B801" s="12"/>
      <c r="C801" s="12"/>
      <c r="D801" s="12"/>
      <c r="H801" s="20"/>
      <c r="J801" s="20"/>
      <c r="K801" s="20"/>
      <c r="L801" s="20"/>
      <c r="M801" s="12"/>
      <c r="N801" s="12"/>
      <c r="O801" s="12"/>
      <c r="P801" s="12"/>
    </row>
    <row r="802">
      <c r="A802" s="12"/>
      <c r="B802" s="12"/>
      <c r="C802" s="12"/>
      <c r="D802" s="12"/>
      <c r="H802" s="20"/>
      <c r="J802" s="20"/>
      <c r="K802" s="20"/>
      <c r="L802" s="20"/>
      <c r="M802" s="12"/>
      <c r="N802" s="12"/>
      <c r="O802" s="12"/>
      <c r="P802" s="12"/>
    </row>
    <row r="803">
      <c r="A803" s="12"/>
      <c r="B803" s="12"/>
      <c r="C803" s="12"/>
      <c r="D803" s="12"/>
      <c r="H803" s="20"/>
      <c r="J803" s="20"/>
      <c r="K803" s="20"/>
      <c r="L803" s="20"/>
      <c r="M803" s="12"/>
      <c r="N803" s="12"/>
      <c r="O803" s="12"/>
      <c r="P803" s="12"/>
    </row>
    <row r="804">
      <c r="A804" s="12"/>
      <c r="B804" s="12"/>
      <c r="C804" s="12"/>
      <c r="D804" s="12"/>
      <c r="H804" s="20"/>
      <c r="J804" s="20"/>
      <c r="K804" s="20"/>
      <c r="L804" s="20"/>
      <c r="M804" s="12"/>
      <c r="N804" s="12"/>
      <c r="O804" s="12"/>
      <c r="P804" s="12"/>
    </row>
    <row r="805">
      <c r="A805" s="12"/>
      <c r="B805" s="12"/>
      <c r="C805" s="12"/>
      <c r="D805" s="12"/>
      <c r="H805" s="20"/>
      <c r="J805" s="20"/>
      <c r="K805" s="20"/>
      <c r="L805" s="20"/>
      <c r="M805" s="12"/>
      <c r="N805" s="12"/>
      <c r="O805" s="12"/>
      <c r="P805" s="12"/>
    </row>
    <row r="806">
      <c r="A806" s="12"/>
      <c r="B806" s="12"/>
      <c r="C806" s="12"/>
      <c r="D806" s="12"/>
      <c r="H806" s="20"/>
      <c r="J806" s="20"/>
      <c r="K806" s="20"/>
      <c r="L806" s="20"/>
      <c r="M806" s="12"/>
      <c r="N806" s="12"/>
      <c r="O806" s="12"/>
      <c r="P806" s="12"/>
    </row>
    <row r="807">
      <c r="A807" s="12"/>
      <c r="B807" s="12"/>
      <c r="C807" s="12"/>
      <c r="D807" s="12"/>
      <c r="H807" s="20"/>
      <c r="J807" s="20"/>
      <c r="K807" s="20"/>
      <c r="L807" s="20"/>
      <c r="M807" s="12"/>
      <c r="N807" s="12"/>
      <c r="O807" s="12"/>
      <c r="P807" s="12"/>
    </row>
    <row r="808">
      <c r="A808" s="12"/>
      <c r="B808" s="12"/>
      <c r="C808" s="12"/>
      <c r="D808" s="12"/>
      <c r="H808" s="20"/>
      <c r="J808" s="20"/>
      <c r="K808" s="20"/>
      <c r="L808" s="20"/>
      <c r="M808" s="12"/>
      <c r="N808" s="12"/>
      <c r="O808" s="12"/>
      <c r="P808" s="12"/>
    </row>
    <row r="809">
      <c r="A809" s="12"/>
      <c r="B809" s="12"/>
      <c r="C809" s="12"/>
      <c r="D809" s="12"/>
      <c r="H809" s="20"/>
      <c r="J809" s="20"/>
      <c r="K809" s="20"/>
      <c r="L809" s="20"/>
      <c r="M809" s="12"/>
      <c r="N809" s="12"/>
      <c r="O809" s="12"/>
      <c r="P809" s="12"/>
    </row>
    <row r="810">
      <c r="A810" s="12"/>
      <c r="B810" s="12"/>
      <c r="C810" s="12"/>
      <c r="D810" s="12"/>
      <c r="H810" s="20"/>
      <c r="J810" s="20"/>
      <c r="K810" s="20"/>
      <c r="L810" s="20"/>
      <c r="M810" s="12"/>
      <c r="N810" s="12"/>
      <c r="O810" s="12"/>
      <c r="P810" s="12"/>
    </row>
    <row r="811">
      <c r="A811" s="12"/>
      <c r="B811" s="12"/>
      <c r="C811" s="12"/>
      <c r="D811" s="12"/>
      <c r="H811" s="20"/>
      <c r="J811" s="20"/>
      <c r="K811" s="20"/>
      <c r="L811" s="20"/>
      <c r="M811" s="12"/>
      <c r="N811" s="12"/>
      <c r="O811" s="12"/>
      <c r="P811" s="12"/>
    </row>
    <row r="812">
      <c r="A812" s="12"/>
      <c r="B812" s="12"/>
      <c r="C812" s="12"/>
      <c r="D812" s="12"/>
      <c r="H812" s="20"/>
      <c r="J812" s="20"/>
      <c r="K812" s="20"/>
      <c r="L812" s="20"/>
      <c r="M812" s="12"/>
      <c r="N812" s="12"/>
      <c r="O812" s="12"/>
      <c r="P812" s="12"/>
    </row>
    <row r="813">
      <c r="A813" s="12"/>
      <c r="B813" s="12"/>
      <c r="C813" s="12"/>
      <c r="D813" s="12"/>
      <c r="H813" s="20"/>
      <c r="J813" s="20"/>
      <c r="K813" s="20"/>
      <c r="L813" s="20"/>
      <c r="M813" s="12"/>
      <c r="N813" s="12"/>
      <c r="O813" s="12"/>
      <c r="P813" s="12"/>
    </row>
    <row r="814">
      <c r="A814" s="12"/>
      <c r="B814" s="12"/>
      <c r="C814" s="12"/>
      <c r="D814" s="12"/>
      <c r="H814" s="20"/>
      <c r="J814" s="20"/>
      <c r="K814" s="20"/>
      <c r="L814" s="20"/>
      <c r="M814" s="12"/>
      <c r="N814" s="12"/>
      <c r="O814" s="12"/>
      <c r="P814" s="12"/>
    </row>
    <row r="815">
      <c r="A815" s="12"/>
      <c r="B815" s="12"/>
      <c r="C815" s="12"/>
      <c r="D815" s="12"/>
      <c r="H815" s="20"/>
      <c r="J815" s="20"/>
      <c r="K815" s="20"/>
      <c r="L815" s="20"/>
      <c r="M815" s="12"/>
      <c r="N815" s="12"/>
      <c r="O815" s="12"/>
      <c r="P815" s="12"/>
    </row>
    <row r="816">
      <c r="A816" s="12"/>
      <c r="B816" s="12"/>
      <c r="C816" s="12"/>
      <c r="D816" s="12"/>
      <c r="H816" s="20"/>
      <c r="J816" s="20"/>
      <c r="K816" s="20"/>
      <c r="L816" s="20"/>
      <c r="M816" s="12"/>
      <c r="N816" s="12"/>
      <c r="O816" s="12"/>
      <c r="P816" s="12"/>
    </row>
    <row r="817">
      <c r="A817" s="12"/>
      <c r="B817" s="12"/>
      <c r="C817" s="12"/>
      <c r="D817" s="12"/>
      <c r="H817" s="20"/>
      <c r="J817" s="20"/>
      <c r="K817" s="20"/>
      <c r="L817" s="20"/>
      <c r="M817" s="12"/>
      <c r="N817" s="12"/>
      <c r="O817" s="12"/>
      <c r="P817" s="12"/>
    </row>
    <row r="818">
      <c r="A818" s="12"/>
      <c r="B818" s="12"/>
      <c r="C818" s="12"/>
      <c r="D818" s="12"/>
      <c r="H818" s="20"/>
      <c r="J818" s="20"/>
      <c r="K818" s="20"/>
      <c r="L818" s="20"/>
      <c r="M818" s="12"/>
      <c r="N818" s="12"/>
      <c r="O818" s="12"/>
      <c r="P818" s="12"/>
    </row>
    <row r="819">
      <c r="A819" s="12"/>
      <c r="B819" s="12"/>
      <c r="C819" s="12"/>
      <c r="D819" s="12"/>
      <c r="H819" s="20"/>
      <c r="J819" s="20"/>
      <c r="K819" s="20"/>
      <c r="L819" s="20"/>
      <c r="M819" s="12"/>
      <c r="N819" s="12"/>
      <c r="O819" s="12"/>
      <c r="P819" s="12"/>
    </row>
    <row r="820">
      <c r="A820" s="12"/>
      <c r="B820" s="12"/>
      <c r="C820" s="12"/>
      <c r="D820" s="12"/>
      <c r="H820" s="20"/>
      <c r="J820" s="20"/>
      <c r="K820" s="20"/>
      <c r="L820" s="20"/>
      <c r="M820" s="12"/>
      <c r="N820" s="12"/>
      <c r="O820" s="12"/>
      <c r="P820" s="12"/>
    </row>
    <row r="821">
      <c r="A821" s="12"/>
      <c r="B821" s="12"/>
      <c r="C821" s="12"/>
      <c r="D821" s="12"/>
      <c r="H821" s="20"/>
      <c r="J821" s="20"/>
      <c r="K821" s="20"/>
      <c r="L821" s="20"/>
      <c r="M821" s="12"/>
      <c r="N821" s="12"/>
      <c r="O821" s="12"/>
      <c r="P821" s="12"/>
    </row>
    <row r="822">
      <c r="A822" s="12"/>
      <c r="B822" s="12"/>
      <c r="C822" s="12"/>
      <c r="D822" s="12"/>
      <c r="H822" s="20"/>
      <c r="J822" s="20"/>
      <c r="K822" s="20"/>
      <c r="L822" s="20"/>
      <c r="M822" s="12"/>
      <c r="N822" s="12"/>
      <c r="O822" s="12"/>
      <c r="P822" s="12"/>
    </row>
    <row r="823">
      <c r="A823" s="12"/>
      <c r="B823" s="12"/>
      <c r="C823" s="12"/>
      <c r="D823" s="12"/>
      <c r="H823" s="20"/>
      <c r="J823" s="20"/>
      <c r="K823" s="20"/>
      <c r="L823" s="20"/>
      <c r="M823" s="12"/>
      <c r="N823" s="12"/>
      <c r="O823" s="12"/>
      <c r="P823" s="12"/>
    </row>
    <row r="824">
      <c r="A824" s="12"/>
      <c r="B824" s="12"/>
      <c r="C824" s="12"/>
      <c r="D824" s="12"/>
      <c r="H824" s="20"/>
      <c r="J824" s="20"/>
      <c r="K824" s="20"/>
      <c r="L824" s="20"/>
      <c r="M824" s="12"/>
      <c r="N824" s="12"/>
      <c r="O824" s="12"/>
      <c r="P824" s="12"/>
    </row>
    <row r="825">
      <c r="A825" s="12"/>
      <c r="B825" s="12"/>
      <c r="C825" s="12"/>
      <c r="D825" s="12"/>
      <c r="H825" s="20"/>
      <c r="J825" s="20"/>
      <c r="K825" s="20"/>
      <c r="L825" s="20"/>
      <c r="M825" s="12"/>
      <c r="N825" s="12"/>
      <c r="O825" s="12"/>
      <c r="P825" s="12"/>
    </row>
    <row r="826">
      <c r="A826" s="12"/>
      <c r="B826" s="12"/>
      <c r="C826" s="12"/>
      <c r="D826" s="12"/>
      <c r="H826" s="20"/>
      <c r="J826" s="20"/>
      <c r="K826" s="20"/>
      <c r="L826" s="20"/>
      <c r="M826" s="12"/>
      <c r="N826" s="12"/>
      <c r="O826" s="12"/>
      <c r="P826" s="12"/>
    </row>
    <row r="827">
      <c r="A827" s="12"/>
      <c r="B827" s="12"/>
      <c r="C827" s="12"/>
      <c r="D827" s="12"/>
      <c r="H827" s="20"/>
      <c r="J827" s="20"/>
      <c r="K827" s="20"/>
      <c r="L827" s="20"/>
      <c r="M827" s="12"/>
      <c r="N827" s="12"/>
      <c r="O827" s="12"/>
      <c r="P827" s="12"/>
    </row>
    <row r="828">
      <c r="A828" s="12"/>
      <c r="B828" s="12"/>
      <c r="C828" s="12"/>
      <c r="D828" s="12"/>
      <c r="H828" s="20"/>
      <c r="J828" s="20"/>
      <c r="K828" s="20"/>
      <c r="L828" s="20"/>
      <c r="M828" s="12"/>
      <c r="N828" s="12"/>
      <c r="O828" s="12"/>
      <c r="P828" s="12"/>
    </row>
    <row r="829">
      <c r="A829" s="12"/>
      <c r="B829" s="12"/>
      <c r="C829" s="12"/>
      <c r="D829" s="12"/>
      <c r="H829" s="20"/>
      <c r="J829" s="20"/>
      <c r="K829" s="20"/>
      <c r="L829" s="20"/>
      <c r="M829" s="12"/>
      <c r="N829" s="12"/>
      <c r="O829" s="12"/>
      <c r="P829" s="12"/>
    </row>
    <row r="830">
      <c r="A830" s="12"/>
      <c r="B830" s="12"/>
      <c r="C830" s="12"/>
      <c r="D830" s="12"/>
      <c r="H830" s="20"/>
      <c r="J830" s="20"/>
      <c r="K830" s="20"/>
      <c r="L830" s="20"/>
      <c r="M830" s="12"/>
      <c r="N830" s="12"/>
      <c r="O830" s="12"/>
      <c r="P830" s="12"/>
    </row>
    <row r="831">
      <c r="A831" s="12"/>
      <c r="B831" s="12"/>
      <c r="C831" s="12"/>
      <c r="D831" s="12"/>
      <c r="H831" s="20"/>
      <c r="J831" s="20"/>
      <c r="K831" s="20"/>
      <c r="L831" s="20"/>
      <c r="M831" s="12"/>
      <c r="N831" s="12"/>
      <c r="O831" s="12"/>
      <c r="P831" s="12"/>
    </row>
    <row r="832">
      <c r="A832" s="12"/>
      <c r="B832" s="12"/>
      <c r="C832" s="12"/>
      <c r="D832" s="12"/>
      <c r="H832" s="20"/>
      <c r="J832" s="20"/>
      <c r="K832" s="20"/>
      <c r="L832" s="20"/>
      <c r="M832" s="12"/>
      <c r="N832" s="12"/>
      <c r="O832" s="12"/>
      <c r="P832" s="12"/>
    </row>
    <row r="833">
      <c r="A833" s="12"/>
      <c r="B833" s="12"/>
      <c r="C833" s="12"/>
      <c r="D833" s="12"/>
      <c r="H833" s="20"/>
      <c r="J833" s="20"/>
      <c r="K833" s="20"/>
      <c r="L833" s="20"/>
      <c r="M833" s="12"/>
      <c r="N833" s="12"/>
      <c r="O833" s="12"/>
      <c r="P833" s="12"/>
    </row>
    <row r="834">
      <c r="A834" s="12"/>
      <c r="B834" s="12"/>
      <c r="C834" s="12"/>
      <c r="D834" s="12"/>
      <c r="H834" s="20"/>
      <c r="J834" s="20"/>
      <c r="K834" s="20"/>
      <c r="L834" s="20"/>
      <c r="M834" s="12"/>
      <c r="N834" s="12"/>
      <c r="O834" s="12"/>
      <c r="P834" s="12"/>
    </row>
    <row r="835">
      <c r="A835" s="12"/>
      <c r="B835" s="12"/>
      <c r="C835" s="12"/>
      <c r="D835" s="12"/>
      <c r="H835" s="20"/>
      <c r="J835" s="20"/>
      <c r="K835" s="20"/>
      <c r="L835" s="20"/>
      <c r="M835" s="12"/>
      <c r="N835" s="12"/>
      <c r="O835" s="12"/>
      <c r="P835" s="12"/>
    </row>
    <row r="836">
      <c r="A836" s="12"/>
      <c r="B836" s="12"/>
      <c r="C836" s="12"/>
      <c r="D836" s="12"/>
      <c r="H836" s="20"/>
      <c r="J836" s="20"/>
      <c r="K836" s="20"/>
      <c r="L836" s="20"/>
      <c r="M836" s="12"/>
      <c r="N836" s="12"/>
      <c r="O836" s="12"/>
      <c r="P836" s="12"/>
    </row>
    <row r="837">
      <c r="A837" s="12"/>
      <c r="B837" s="12"/>
      <c r="C837" s="12"/>
      <c r="D837" s="12"/>
      <c r="H837" s="20"/>
      <c r="J837" s="20"/>
      <c r="K837" s="20"/>
      <c r="L837" s="20"/>
      <c r="M837" s="12"/>
      <c r="N837" s="12"/>
      <c r="O837" s="12"/>
      <c r="P837" s="12"/>
    </row>
    <row r="838">
      <c r="A838" s="12"/>
      <c r="B838" s="12"/>
      <c r="C838" s="12"/>
      <c r="D838" s="12"/>
      <c r="H838" s="20"/>
      <c r="J838" s="20"/>
      <c r="K838" s="20"/>
      <c r="L838" s="20"/>
      <c r="M838" s="12"/>
      <c r="N838" s="12"/>
      <c r="O838" s="12"/>
      <c r="P838" s="12"/>
    </row>
    <row r="839">
      <c r="A839" s="12"/>
      <c r="B839" s="12"/>
      <c r="C839" s="12"/>
      <c r="D839" s="12"/>
      <c r="H839" s="20"/>
      <c r="J839" s="20"/>
      <c r="K839" s="20"/>
      <c r="L839" s="20"/>
      <c r="M839" s="12"/>
      <c r="N839" s="12"/>
      <c r="O839" s="12"/>
      <c r="P839" s="12"/>
    </row>
    <row r="840">
      <c r="A840" s="12"/>
      <c r="B840" s="12"/>
      <c r="C840" s="12"/>
      <c r="D840" s="12"/>
      <c r="H840" s="20"/>
      <c r="J840" s="20"/>
      <c r="K840" s="20"/>
      <c r="L840" s="20"/>
      <c r="M840" s="12"/>
      <c r="N840" s="12"/>
      <c r="O840" s="12"/>
      <c r="P840" s="12"/>
    </row>
    <row r="841">
      <c r="A841" s="12"/>
      <c r="B841" s="12"/>
      <c r="C841" s="12"/>
      <c r="D841" s="12"/>
      <c r="H841" s="20"/>
      <c r="J841" s="20"/>
      <c r="K841" s="20"/>
      <c r="L841" s="20"/>
      <c r="M841" s="12"/>
      <c r="N841" s="12"/>
      <c r="O841" s="12"/>
      <c r="P841" s="12"/>
    </row>
    <row r="842">
      <c r="A842" s="12"/>
      <c r="B842" s="12"/>
      <c r="C842" s="12"/>
      <c r="D842" s="12"/>
      <c r="H842" s="20"/>
      <c r="J842" s="20"/>
      <c r="K842" s="20"/>
      <c r="L842" s="20"/>
      <c r="M842" s="12"/>
      <c r="N842" s="12"/>
      <c r="O842" s="12"/>
      <c r="P842" s="12"/>
    </row>
    <row r="843">
      <c r="A843" s="12"/>
      <c r="B843" s="12"/>
      <c r="C843" s="12"/>
      <c r="D843" s="12"/>
      <c r="H843" s="20"/>
      <c r="J843" s="20"/>
      <c r="K843" s="20"/>
      <c r="L843" s="20"/>
      <c r="M843" s="12"/>
      <c r="N843" s="12"/>
      <c r="O843" s="12"/>
      <c r="P843" s="12"/>
    </row>
    <row r="844">
      <c r="A844" s="12"/>
      <c r="B844" s="12"/>
      <c r="C844" s="12"/>
      <c r="D844" s="12"/>
      <c r="H844" s="20"/>
      <c r="J844" s="20"/>
      <c r="K844" s="20"/>
      <c r="L844" s="20"/>
      <c r="M844" s="12"/>
      <c r="N844" s="12"/>
      <c r="O844" s="12"/>
      <c r="P844" s="12"/>
    </row>
    <row r="845">
      <c r="A845" s="12"/>
      <c r="B845" s="12"/>
      <c r="C845" s="12"/>
      <c r="D845" s="12"/>
      <c r="H845" s="20"/>
      <c r="J845" s="20"/>
      <c r="K845" s="20"/>
      <c r="L845" s="20"/>
      <c r="M845" s="12"/>
      <c r="N845" s="12"/>
      <c r="O845" s="12"/>
      <c r="P845" s="12"/>
    </row>
    <row r="846">
      <c r="A846" s="12"/>
      <c r="B846" s="12"/>
      <c r="C846" s="12"/>
      <c r="D846" s="12"/>
      <c r="H846" s="20"/>
      <c r="J846" s="20"/>
      <c r="K846" s="20"/>
      <c r="L846" s="20"/>
      <c r="M846" s="12"/>
      <c r="N846" s="12"/>
      <c r="O846" s="12"/>
      <c r="P846" s="12"/>
    </row>
    <row r="847">
      <c r="A847" s="12"/>
      <c r="B847" s="12"/>
      <c r="C847" s="12"/>
      <c r="D847" s="12"/>
      <c r="H847" s="20"/>
      <c r="J847" s="20"/>
      <c r="K847" s="20"/>
      <c r="L847" s="20"/>
      <c r="M847" s="12"/>
      <c r="N847" s="12"/>
      <c r="O847" s="12"/>
      <c r="P847" s="12"/>
    </row>
    <row r="848">
      <c r="A848" s="12"/>
      <c r="B848" s="12"/>
      <c r="C848" s="12"/>
      <c r="D848" s="12"/>
      <c r="H848" s="20"/>
      <c r="J848" s="20"/>
      <c r="K848" s="20"/>
      <c r="L848" s="20"/>
      <c r="M848" s="12"/>
      <c r="N848" s="12"/>
      <c r="O848" s="12"/>
      <c r="P848" s="12"/>
    </row>
    <row r="849">
      <c r="A849" s="12"/>
      <c r="B849" s="12"/>
      <c r="C849" s="12"/>
      <c r="D849" s="12"/>
      <c r="H849" s="20"/>
      <c r="J849" s="20"/>
      <c r="K849" s="20"/>
      <c r="L849" s="20"/>
      <c r="M849" s="12"/>
      <c r="N849" s="12"/>
      <c r="O849" s="12"/>
      <c r="P849" s="12"/>
    </row>
    <row r="850">
      <c r="A850" s="12"/>
      <c r="B850" s="12"/>
      <c r="C850" s="12"/>
      <c r="D850" s="12"/>
      <c r="H850" s="20"/>
      <c r="J850" s="20"/>
      <c r="K850" s="20"/>
      <c r="L850" s="20"/>
      <c r="M850" s="12"/>
      <c r="N850" s="12"/>
      <c r="O850" s="12"/>
      <c r="P850" s="12"/>
    </row>
    <row r="851">
      <c r="A851" s="12"/>
      <c r="B851" s="12"/>
      <c r="C851" s="12"/>
      <c r="D851" s="12"/>
      <c r="H851" s="20"/>
      <c r="J851" s="20"/>
      <c r="K851" s="20"/>
      <c r="L851" s="20"/>
      <c r="M851" s="12"/>
      <c r="N851" s="12"/>
      <c r="O851" s="12"/>
      <c r="P851" s="12"/>
    </row>
    <row r="852">
      <c r="A852" s="12"/>
      <c r="B852" s="12"/>
      <c r="C852" s="12"/>
      <c r="D852" s="12"/>
      <c r="H852" s="20"/>
      <c r="J852" s="20"/>
      <c r="K852" s="20"/>
      <c r="L852" s="20"/>
      <c r="M852" s="12"/>
      <c r="N852" s="12"/>
      <c r="O852" s="12"/>
      <c r="P852" s="12"/>
    </row>
    <row r="853">
      <c r="A853" s="12"/>
      <c r="B853" s="12"/>
      <c r="C853" s="12"/>
      <c r="D853" s="12"/>
      <c r="H853" s="20"/>
      <c r="J853" s="20"/>
      <c r="K853" s="20"/>
      <c r="L853" s="20"/>
      <c r="M853" s="12"/>
      <c r="N853" s="12"/>
      <c r="O853" s="12"/>
      <c r="P853" s="12"/>
    </row>
    <row r="854">
      <c r="A854" s="12"/>
      <c r="B854" s="12"/>
      <c r="C854" s="12"/>
      <c r="D854" s="12"/>
      <c r="H854" s="20"/>
      <c r="J854" s="20"/>
      <c r="K854" s="20"/>
      <c r="L854" s="20"/>
      <c r="M854" s="12"/>
      <c r="N854" s="12"/>
      <c r="O854" s="12"/>
      <c r="P854" s="12"/>
    </row>
    <row r="855">
      <c r="A855" s="12"/>
      <c r="B855" s="12"/>
      <c r="C855" s="12"/>
      <c r="D855" s="12"/>
      <c r="H855" s="20"/>
      <c r="J855" s="20"/>
      <c r="K855" s="20"/>
      <c r="L855" s="20"/>
      <c r="M855" s="12"/>
      <c r="N855" s="12"/>
      <c r="O855" s="12"/>
      <c r="P855" s="12"/>
    </row>
    <row r="856">
      <c r="A856" s="12"/>
      <c r="B856" s="12"/>
      <c r="C856" s="12"/>
      <c r="D856" s="12"/>
      <c r="H856" s="20"/>
      <c r="J856" s="20"/>
      <c r="K856" s="20"/>
      <c r="L856" s="20"/>
      <c r="M856" s="12"/>
      <c r="N856" s="12"/>
      <c r="O856" s="12"/>
      <c r="P856" s="12"/>
    </row>
    <row r="857">
      <c r="A857" s="12"/>
      <c r="B857" s="12"/>
      <c r="C857" s="12"/>
      <c r="D857" s="12"/>
      <c r="H857" s="20"/>
      <c r="J857" s="20"/>
      <c r="K857" s="20"/>
      <c r="L857" s="20"/>
      <c r="M857" s="12"/>
      <c r="N857" s="12"/>
      <c r="O857" s="12"/>
      <c r="P857" s="12"/>
    </row>
    <row r="858">
      <c r="A858" s="12"/>
      <c r="B858" s="12"/>
      <c r="C858" s="12"/>
      <c r="D858" s="12"/>
      <c r="H858" s="20"/>
      <c r="J858" s="20"/>
      <c r="K858" s="20"/>
      <c r="L858" s="20"/>
      <c r="M858" s="12"/>
      <c r="N858" s="12"/>
      <c r="O858" s="12"/>
      <c r="P858" s="12"/>
    </row>
    <row r="859">
      <c r="A859" s="12"/>
      <c r="B859" s="12"/>
      <c r="C859" s="12"/>
      <c r="D859" s="12"/>
      <c r="H859" s="20"/>
      <c r="J859" s="20"/>
      <c r="K859" s="20"/>
      <c r="L859" s="20"/>
      <c r="M859" s="12"/>
      <c r="N859" s="12"/>
      <c r="O859" s="12"/>
      <c r="P859" s="12"/>
    </row>
    <row r="860">
      <c r="A860" s="12"/>
      <c r="B860" s="12"/>
      <c r="C860" s="12"/>
      <c r="D860" s="12"/>
      <c r="H860" s="20"/>
      <c r="J860" s="20"/>
      <c r="K860" s="20"/>
      <c r="L860" s="20"/>
      <c r="M860" s="12"/>
      <c r="N860" s="12"/>
      <c r="O860" s="12"/>
      <c r="P860" s="12"/>
    </row>
    <row r="861">
      <c r="A861" s="12"/>
      <c r="B861" s="12"/>
      <c r="C861" s="12"/>
      <c r="D861" s="12"/>
      <c r="H861" s="20"/>
      <c r="J861" s="20"/>
      <c r="K861" s="20"/>
      <c r="L861" s="20"/>
      <c r="M861" s="12"/>
      <c r="N861" s="12"/>
      <c r="O861" s="12"/>
      <c r="P861" s="12"/>
    </row>
    <row r="862">
      <c r="A862" s="12"/>
      <c r="B862" s="12"/>
      <c r="C862" s="12"/>
      <c r="D862" s="12"/>
      <c r="H862" s="20"/>
      <c r="J862" s="20"/>
      <c r="K862" s="20"/>
      <c r="L862" s="20"/>
      <c r="M862" s="12"/>
      <c r="N862" s="12"/>
      <c r="O862" s="12"/>
      <c r="P862" s="12"/>
    </row>
    <row r="863">
      <c r="A863" s="12"/>
      <c r="B863" s="12"/>
      <c r="C863" s="12"/>
      <c r="D863" s="12"/>
      <c r="H863" s="20"/>
      <c r="J863" s="20"/>
      <c r="K863" s="20"/>
      <c r="L863" s="20"/>
      <c r="M863" s="12"/>
      <c r="N863" s="12"/>
      <c r="O863" s="12"/>
      <c r="P863" s="12"/>
    </row>
    <row r="864">
      <c r="A864" s="12"/>
      <c r="B864" s="12"/>
      <c r="C864" s="12"/>
      <c r="D864" s="12"/>
      <c r="H864" s="20"/>
      <c r="J864" s="20"/>
      <c r="K864" s="20"/>
      <c r="L864" s="20"/>
      <c r="M864" s="12"/>
      <c r="N864" s="12"/>
      <c r="O864" s="12"/>
      <c r="P864" s="12"/>
    </row>
    <row r="865">
      <c r="A865" s="12"/>
      <c r="B865" s="12"/>
      <c r="C865" s="12"/>
      <c r="D865" s="12"/>
      <c r="H865" s="20"/>
      <c r="J865" s="20"/>
      <c r="K865" s="20"/>
      <c r="L865" s="20"/>
      <c r="M865" s="12"/>
      <c r="N865" s="12"/>
      <c r="O865" s="12"/>
      <c r="P865" s="12"/>
    </row>
    <row r="866">
      <c r="A866" s="12"/>
      <c r="B866" s="12"/>
      <c r="C866" s="12"/>
      <c r="D866" s="12"/>
      <c r="H866" s="20"/>
      <c r="J866" s="20"/>
      <c r="K866" s="20"/>
      <c r="L866" s="20"/>
      <c r="M866" s="12"/>
      <c r="N866" s="12"/>
      <c r="O866" s="12"/>
      <c r="P866" s="12"/>
    </row>
    <row r="867">
      <c r="A867" s="12"/>
      <c r="B867" s="12"/>
      <c r="C867" s="12"/>
      <c r="D867" s="12"/>
      <c r="H867" s="20"/>
      <c r="J867" s="20"/>
      <c r="K867" s="20"/>
      <c r="L867" s="20"/>
      <c r="M867" s="12"/>
      <c r="N867" s="12"/>
      <c r="O867" s="12"/>
      <c r="P867" s="12"/>
    </row>
    <row r="868">
      <c r="A868" s="12"/>
      <c r="B868" s="12"/>
      <c r="C868" s="12"/>
      <c r="D868" s="12"/>
      <c r="H868" s="20"/>
      <c r="J868" s="20"/>
      <c r="K868" s="20"/>
      <c r="L868" s="20"/>
      <c r="M868" s="12"/>
      <c r="N868" s="12"/>
      <c r="O868" s="12"/>
      <c r="P868" s="12"/>
    </row>
    <row r="869">
      <c r="A869" s="12"/>
      <c r="B869" s="12"/>
      <c r="C869" s="12"/>
      <c r="D869" s="12"/>
      <c r="H869" s="20"/>
      <c r="J869" s="20"/>
      <c r="K869" s="20"/>
      <c r="L869" s="20"/>
      <c r="M869" s="12"/>
      <c r="N869" s="12"/>
      <c r="O869" s="12"/>
      <c r="P869" s="12"/>
    </row>
    <row r="870">
      <c r="A870" s="12"/>
      <c r="B870" s="12"/>
      <c r="C870" s="12"/>
      <c r="D870" s="12"/>
      <c r="H870" s="20"/>
      <c r="J870" s="20"/>
      <c r="K870" s="20"/>
      <c r="L870" s="20"/>
      <c r="M870" s="12"/>
      <c r="N870" s="12"/>
      <c r="O870" s="12"/>
      <c r="P870" s="12"/>
    </row>
    <row r="871">
      <c r="A871" s="12"/>
      <c r="B871" s="12"/>
      <c r="C871" s="12"/>
      <c r="D871" s="12"/>
      <c r="H871" s="20"/>
      <c r="J871" s="20"/>
      <c r="K871" s="20"/>
      <c r="L871" s="20"/>
      <c r="M871" s="12"/>
      <c r="N871" s="12"/>
      <c r="O871" s="12"/>
      <c r="P871" s="12"/>
    </row>
    <row r="872">
      <c r="A872" s="12"/>
      <c r="B872" s="12"/>
      <c r="C872" s="12"/>
      <c r="D872" s="12"/>
      <c r="H872" s="20"/>
      <c r="J872" s="20"/>
      <c r="K872" s="20"/>
      <c r="L872" s="20"/>
      <c r="M872" s="12"/>
      <c r="N872" s="12"/>
      <c r="O872" s="12"/>
      <c r="P872" s="12"/>
    </row>
    <row r="873">
      <c r="A873" s="12"/>
      <c r="B873" s="12"/>
      <c r="C873" s="12"/>
      <c r="D873" s="12"/>
      <c r="H873" s="20"/>
      <c r="J873" s="20"/>
      <c r="K873" s="20"/>
      <c r="L873" s="20"/>
      <c r="M873" s="12"/>
      <c r="N873" s="12"/>
      <c r="O873" s="12"/>
      <c r="P873" s="12"/>
    </row>
    <row r="874">
      <c r="A874" s="12"/>
      <c r="B874" s="12"/>
      <c r="C874" s="12"/>
      <c r="D874" s="12"/>
      <c r="H874" s="20"/>
      <c r="J874" s="20"/>
      <c r="K874" s="20"/>
      <c r="L874" s="20"/>
      <c r="M874" s="12"/>
      <c r="N874" s="12"/>
      <c r="O874" s="12"/>
      <c r="P874" s="12"/>
    </row>
    <row r="875">
      <c r="A875" s="12"/>
      <c r="B875" s="12"/>
      <c r="C875" s="12"/>
      <c r="D875" s="12"/>
      <c r="H875" s="20"/>
      <c r="J875" s="20"/>
      <c r="K875" s="20"/>
      <c r="L875" s="20"/>
      <c r="M875" s="12"/>
      <c r="N875" s="12"/>
      <c r="O875" s="12"/>
      <c r="P875" s="12"/>
    </row>
    <row r="876">
      <c r="A876" s="12"/>
      <c r="B876" s="12"/>
      <c r="C876" s="12"/>
      <c r="D876" s="12"/>
      <c r="H876" s="20"/>
      <c r="J876" s="20"/>
      <c r="K876" s="20"/>
      <c r="L876" s="20"/>
      <c r="M876" s="12"/>
      <c r="N876" s="12"/>
      <c r="O876" s="12"/>
      <c r="P876" s="12"/>
    </row>
    <row r="877">
      <c r="A877" s="12"/>
      <c r="B877" s="12"/>
      <c r="C877" s="12"/>
      <c r="D877" s="12"/>
      <c r="H877" s="20"/>
      <c r="J877" s="20"/>
      <c r="K877" s="20"/>
      <c r="L877" s="20"/>
      <c r="M877" s="12"/>
      <c r="N877" s="12"/>
      <c r="O877" s="12"/>
      <c r="P877" s="12"/>
    </row>
    <row r="878">
      <c r="A878" s="12"/>
      <c r="B878" s="12"/>
      <c r="C878" s="12"/>
      <c r="D878" s="12"/>
      <c r="H878" s="20"/>
      <c r="J878" s="20"/>
      <c r="K878" s="20"/>
      <c r="L878" s="20"/>
      <c r="M878" s="12"/>
      <c r="N878" s="12"/>
      <c r="O878" s="12"/>
      <c r="P878" s="12"/>
    </row>
    <row r="879">
      <c r="A879" s="12"/>
      <c r="B879" s="12"/>
      <c r="C879" s="12"/>
      <c r="D879" s="12"/>
      <c r="H879" s="20"/>
      <c r="J879" s="20"/>
      <c r="K879" s="20"/>
      <c r="L879" s="20"/>
      <c r="M879" s="12"/>
      <c r="N879" s="12"/>
      <c r="O879" s="12"/>
      <c r="P879" s="12"/>
    </row>
    <row r="880">
      <c r="A880" s="12"/>
      <c r="B880" s="12"/>
      <c r="C880" s="12"/>
      <c r="D880" s="12"/>
      <c r="H880" s="20"/>
      <c r="J880" s="20"/>
      <c r="K880" s="20"/>
      <c r="L880" s="20"/>
      <c r="M880" s="12"/>
      <c r="N880" s="12"/>
      <c r="O880" s="12"/>
      <c r="P880" s="12"/>
    </row>
    <row r="881">
      <c r="A881" s="12"/>
      <c r="B881" s="12"/>
      <c r="C881" s="12"/>
      <c r="D881" s="12"/>
      <c r="H881" s="20"/>
      <c r="J881" s="20"/>
      <c r="K881" s="20"/>
      <c r="L881" s="20"/>
      <c r="M881" s="12"/>
      <c r="N881" s="12"/>
      <c r="O881" s="12"/>
      <c r="P881" s="12"/>
    </row>
    <row r="882">
      <c r="A882" s="12"/>
      <c r="B882" s="12"/>
      <c r="C882" s="12"/>
      <c r="D882" s="12"/>
      <c r="H882" s="20"/>
      <c r="J882" s="20"/>
      <c r="K882" s="20"/>
      <c r="L882" s="20"/>
      <c r="M882" s="12"/>
      <c r="N882" s="12"/>
      <c r="O882" s="12"/>
      <c r="P882" s="12"/>
    </row>
    <row r="883">
      <c r="A883" s="12"/>
      <c r="B883" s="12"/>
      <c r="C883" s="12"/>
      <c r="D883" s="12"/>
      <c r="H883" s="20"/>
      <c r="J883" s="20"/>
      <c r="K883" s="20"/>
      <c r="L883" s="20"/>
      <c r="M883" s="12"/>
      <c r="N883" s="12"/>
      <c r="O883" s="12"/>
      <c r="P883" s="12"/>
    </row>
    <row r="884">
      <c r="A884" s="12"/>
      <c r="B884" s="12"/>
      <c r="C884" s="12"/>
      <c r="D884" s="12"/>
      <c r="H884" s="20"/>
      <c r="J884" s="20"/>
      <c r="K884" s="20"/>
      <c r="L884" s="20"/>
      <c r="M884" s="12"/>
      <c r="N884" s="12"/>
      <c r="O884" s="12"/>
      <c r="P884" s="12"/>
    </row>
    <row r="885">
      <c r="A885" s="12"/>
      <c r="B885" s="12"/>
      <c r="C885" s="12"/>
      <c r="D885" s="12"/>
      <c r="H885" s="20"/>
      <c r="J885" s="20"/>
      <c r="K885" s="20"/>
      <c r="L885" s="20"/>
      <c r="M885" s="12"/>
      <c r="N885" s="12"/>
      <c r="O885" s="12"/>
      <c r="P885" s="12"/>
    </row>
    <row r="886">
      <c r="A886" s="12"/>
      <c r="B886" s="12"/>
      <c r="C886" s="12"/>
      <c r="D886" s="12"/>
      <c r="H886" s="20"/>
      <c r="J886" s="20"/>
      <c r="K886" s="20"/>
      <c r="L886" s="20"/>
      <c r="M886" s="12"/>
      <c r="N886" s="12"/>
      <c r="O886" s="12"/>
      <c r="P886" s="12"/>
    </row>
    <row r="887">
      <c r="A887" s="12"/>
      <c r="B887" s="12"/>
      <c r="C887" s="12"/>
      <c r="D887" s="12"/>
      <c r="H887" s="20"/>
      <c r="J887" s="20"/>
      <c r="K887" s="20"/>
      <c r="L887" s="20"/>
      <c r="M887" s="12"/>
      <c r="N887" s="12"/>
      <c r="O887" s="12"/>
      <c r="P887" s="12"/>
    </row>
    <row r="888">
      <c r="A888" s="12"/>
      <c r="B888" s="12"/>
      <c r="C888" s="12"/>
      <c r="D888" s="12"/>
      <c r="H888" s="20"/>
      <c r="J888" s="20"/>
      <c r="K888" s="20"/>
      <c r="L888" s="20"/>
      <c r="M888" s="12"/>
      <c r="N888" s="12"/>
      <c r="O888" s="12"/>
      <c r="P888" s="12"/>
    </row>
    <row r="889">
      <c r="A889" s="12"/>
      <c r="B889" s="12"/>
      <c r="C889" s="12"/>
      <c r="D889" s="12"/>
      <c r="H889" s="20"/>
      <c r="J889" s="20"/>
      <c r="K889" s="20"/>
      <c r="L889" s="20"/>
      <c r="M889" s="12"/>
      <c r="N889" s="12"/>
      <c r="O889" s="12"/>
      <c r="P889" s="12"/>
    </row>
    <row r="890">
      <c r="A890" s="12"/>
      <c r="B890" s="12"/>
      <c r="C890" s="12"/>
      <c r="D890" s="12"/>
      <c r="H890" s="20"/>
      <c r="J890" s="20"/>
      <c r="K890" s="20"/>
      <c r="L890" s="20"/>
      <c r="M890" s="12"/>
      <c r="N890" s="12"/>
      <c r="O890" s="12"/>
      <c r="P890" s="12"/>
    </row>
    <row r="891">
      <c r="A891" s="12"/>
      <c r="B891" s="12"/>
      <c r="C891" s="12"/>
      <c r="D891" s="12"/>
      <c r="H891" s="20"/>
      <c r="J891" s="20"/>
      <c r="K891" s="20"/>
      <c r="L891" s="20"/>
      <c r="M891" s="12"/>
      <c r="N891" s="12"/>
      <c r="O891" s="12"/>
      <c r="P891" s="12"/>
    </row>
    <row r="892">
      <c r="A892" s="12"/>
      <c r="B892" s="12"/>
      <c r="C892" s="12"/>
      <c r="D892" s="12"/>
      <c r="H892" s="20"/>
      <c r="J892" s="20"/>
      <c r="K892" s="20"/>
      <c r="L892" s="20"/>
      <c r="M892" s="12"/>
      <c r="N892" s="12"/>
      <c r="O892" s="12"/>
      <c r="P892" s="12"/>
    </row>
    <row r="893">
      <c r="A893" s="12"/>
      <c r="B893" s="12"/>
      <c r="C893" s="12"/>
      <c r="D893" s="12"/>
      <c r="H893" s="20"/>
      <c r="J893" s="20"/>
      <c r="K893" s="20"/>
      <c r="L893" s="20"/>
      <c r="M893" s="12"/>
      <c r="N893" s="12"/>
      <c r="O893" s="12"/>
      <c r="P893" s="12"/>
    </row>
    <row r="894">
      <c r="A894" s="12"/>
      <c r="B894" s="12"/>
      <c r="C894" s="12"/>
      <c r="D894" s="12"/>
      <c r="H894" s="20"/>
      <c r="J894" s="20"/>
      <c r="K894" s="20"/>
      <c r="L894" s="20"/>
      <c r="M894" s="12"/>
      <c r="N894" s="12"/>
      <c r="O894" s="12"/>
      <c r="P894" s="12"/>
    </row>
    <row r="895">
      <c r="A895" s="12"/>
      <c r="B895" s="12"/>
      <c r="C895" s="12"/>
      <c r="D895" s="12"/>
      <c r="H895" s="20"/>
      <c r="J895" s="20"/>
      <c r="K895" s="20"/>
      <c r="L895" s="20"/>
      <c r="M895" s="12"/>
      <c r="N895" s="12"/>
      <c r="O895" s="12"/>
      <c r="P895" s="12"/>
    </row>
    <row r="896">
      <c r="A896" s="12"/>
      <c r="B896" s="12"/>
      <c r="C896" s="12"/>
      <c r="D896" s="12"/>
      <c r="H896" s="20"/>
      <c r="J896" s="20"/>
      <c r="K896" s="20"/>
      <c r="L896" s="20"/>
      <c r="M896" s="12"/>
      <c r="N896" s="12"/>
      <c r="O896" s="12"/>
      <c r="P896" s="12"/>
    </row>
    <row r="897">
      <c r="A897" s="12"/>
      <c r="B897" s="12"/>
      <c r="C897" s="12"/>
      <c r="D897" s="12"/>
      <c r="H897" s="20"/>
      <c r="J897" s="20"/>
      <c r="K897" s="20"/>
      <c r="L897" s="20"/>
      <c r="M897" s="12"/>
      <c r="N897" s="12"/>
      <c r="O897" s="12"/>
      <c r="P897" s="12"/>
    </row>
    <row r="898">
      <c r="A898" s="12"/>
      <c r="B898" s="12"/>
      <c r="C898" s="12"/>
      <c r="D898" s="12"/>
      <c r="H898" s="20"/>
      <c r="J898" s="20"/>
      <c r="K898" s="20"/>
      <c r="L898" s="20"/>
      <c r="M898" s="12"/>
      <c r="N898" s="12"/>
      <c r="O898" s="12"/>
      <c r="P898" s="12"/>
    </row>
    <row r="899">
      <c r="A899" s="12"/>
      <c r="B899" s="12"/>
      <c r="C899" s="12"/>
      <c r="D899" s="12"/>
      <c r="H899" s="20"/>
      <c r="J899" s="20"/>
      <c r="K899" s="20"/>
      <c r="L899" s="20"/>
      <c r="M899" s="12"/>
      <c r="N899" s="12"/>
      <c r="O899" s="12"/>
      <c r="P899" s="12"/>
    </row>
    <row r="900">
      <c r="A900" s="12"/>
      <c r="B900" s="12"/>
      <c r="C900" s="12"/>
      <c r="D900" s="12"/>
      <c r="H900" s="20"/>
      <c r="J900" s="20"/>
      <c r="K900" s="20"/>
      <c r="L900" s="20"/>
      <c r="M900" s="12"/>
      <c r="N900" s="12"/>
      <c r="O900" s="12"/>
      <c r="P900" s="12"/>
    </row>
    <row r="901">
      <c r="A901" s="12"/>
      <c r="B901" s="12"/>
      <c r="C901" s="12"/>
      <c r="D901" s="12"/>
      <c r="H901" s="20"/>
      <c r="J901" s="20"/>
      <c r="K901" s="20"/>
      <c r="L901" s="20"/>
      <c r="M901" s="12"/>
      <c r="N901" s="12"/>
      <c r="O901" s="12"/>
      <c r="P901" s="12"/>
    </row>
    <row r="902">
      <c r="A902" s="12"/>
      <c r="B902" s="12"/>
      <c r="C902" s="12"/>
      <c r="D902" s="12"/>
      <c r="H902" s="20"/>
      <c r="J902" s="20"/>
      <c r="K902" s="20"/>
      <c r="L902" s="20"/>
      <c r="M902" s="12"/>
      <c r="N902" s="12"/>
      <c r="O902" s="12"/>
      <c r="P902" s="12"/>
    </row>
    <row r="903">
      <c r="A903" s="12"/>
      <c r="B903" s="12"/>
      <c r="C903" s="12"/>
      <c r="D903" s="12"/>
      <c r="H903" s="20"/>
      <c r="J903" s="20"/>
      <c r="K903" s="20"/>
      <c r="L903" s="20"/>
      <c r="M903" s="12"/>
      <c r="N903" s="12"/>
      <c r="O903" s="12"/>
      <c r="P903" s="12"/>
    </row>
    <row r="904">
      <c r="A904" s="12"/>
      <c r="B904" s="12"/>
      <c r="C904" s="12"/>
      <c r="D904" s="12"/>
      <c r="H904" s="20"/>
      <c r="J904" s="20"/>
      <c r="K904" s="20"/>
      <c r="L904" s="20"/>
      <c r="M904" s="12"/>
      <c r="N904" s="12"/>
      <c r="O904" s="12"/>
      <c r="P904" s="12"/>
    </row>
    <row r="905">
      <c r="A905" s="12"/>
      <c r="B905" s="12"/>
      <c r="C905" s="12"/>
      <c r="D905" s="12"/>
      <c r="H905" s="20"/>
      <c r="J905" s="20"/>
      <c r="K905" s="20"/>
      <c r="L905" s="20"/>
      <c r="M905" s="12"/>
      <c r="N905" s="12"/>
      <c r="O905" s="12"/>
      <c r="P905" s="12"/>
    </row>
    <row r="906">
      <c r="A906" s="12"/>
      <c r="B906" s="12"/>
      <c r="C906" s="12"/>
      <c r="D906" s="12"/>
      <c r="H906" s="20"/>
      <c r="J906" s="20"/>
      <c r="K906" s="20"/>
      <c r="L906" s="20"/>
      <c r="M906" s="12"/>
      <c r="N906" s="12"/>
      <c r="O906" s="12"/>
      <c r="P906" s="12"/>
    </row>
    <row r="907">
      <c r="A907" s="12"/>
      <c r="B907" s="12"/>
      <c r="C907" s="12"/>
      <c r="D907" s="12"/>
      <c r="H907" s="20"/>
      <c r="J907" s="20"/>
      <c r="K907" s="20"/>
      <c r="L907" s="20"/>
      <c r="M907" s="12"/>
      <c r="N907" s="12"/>
      <c r="O907" s="12"/>
      <c r="P907" s="12"/>
    </row>
    <row r="908">
      <c r="A908" s="12"/>
      <c r="B908" s="12"/>
      <c r="C908" s="12"/>
      <c r="D908" s="12"/>
      <c r="H908" s="20"/>
      <c r="J908" s="20"/>
      <c r="K908" s="20"/>
      <c r="L908" s="20"/>
      <c r="M908" s="12"/>
      <c r="N908" s="12"/>
      <c r="O908" s="12"/>
      <c r="P908" s="12"/>
    </row>
    <row r="909">
      <c r="A909" s="12"/>
      <c r="B909" s="12"/>
      <c r="C909" s="12"/>
      <c r="D909" s="12"/>
      <c r="H909" s="20"/>
      <c r="J909" s="20"/>
      <c r="K909" s="20"/>
      <c r="L909" s="20"/>
      <c r="M909" s="12"/>
      <c r="N909" s="12"/>
      <c r="O909" s="12"/>
      <c r="P909" s="12"/>
    </row>
    <row r="910">
      <c r="A910" s="12"/>
      <c r="B910" s="12"/>
      <c r="C910" s="12"/>
      <c r="D910" s="12"/>
      <c r="H910" s="20"/>
      <c r="J910" s="20"/>
      <c r="K910" s="20"/>
      <c r="L910" s="20"/>
      <c r="M910" s="12"/>
      <c r="N910" s="12"/>
      <c r="O910" s="12"/>
      <c r="P910" s="12"/>
    </row>
    <row r="911">
      <c r="A911" s="12"/>
      <c r="B911" s="12"/>
      <c r="C911" s="12"/>
      <c r="D911" s="12"/>
      <c r="H911" s="20"/>
      <c r="J911" s="20"/>
      <c r="K911" s="20"/>
      <c r="L911" s="20"/>
      <c r="M911" s="12"/>
      <c r="N911" s="12"/>
      <c r="O911" s="12"/>
      <c r="P911" s="12"/>
    </row>
    <row r="912">
      <c r="A912" s="12"/>
      <c r="B912" s="12"/>
      <c r="C912" s="12"/>
      <c r="D912" s="12"/>
      <c r="H912" s="20"/>
      <c r="J912" s="20"/>
      <c r="K912" s="20"/>
      <c r="L912" s="20"/>
      <c r="M912" s="12"/>
      <c r="N912" s="12"/>
      <c r="O912" s="12"/>
      <c r="P912" s="12"/>
    </row>
    <row r="913">
      <c r="A913" s="12"/>
      <c r="B913" s="12"/>
      <c r="C913" s="12"/>
      <c r="D913" s="12"/>
      <c r="H913" s="20"/>
      <c r="J913" s="20"/>
      <c r="K913" s="20"/>
      <c r="L913" s="20"/>
      <c r="M913" s="12"/>
      <c r="N913" s="12"/>
      <c r="O913" s="12"/>
      <c r="P913" s="12"/>
    </row>
    <row r="914">
      <c r="A914" s="12"/>
      <c r="B914" s="12"/>
      <c r="C914" s="12"/>
      <c r="D914" s="12"/>
      <c r="H914" s="20"/>
      <c r="J914" s="20"/>
      <c r="K914" s="20"/>
      <c r="L914" s="20"/>
      <c r="M914" s="12"/>
      <c r="N914" s="12"/>
      <c r="O914" s="12"/>
      <c r="P914" s="12"/>
    </row>
    <row r="915">
      <c r="A915" s="12"/>
      <c r="B915" s="12"/>
      <c r="C915" s="12"/>
      <c r="D915" s="12"/>
      <c r="H915" s="20"/>
      <c r="J915" s="20"/>
      <c r="K915" s="20"/>
      <c r="L915" s="20"/>
      <c r="M915" s="12"/>
      <c r="N915" s="12"/>
      <c r="O915" s="12"/>
      <c r="P915" s="12"/>
    </row>
    <row r="916">
      <c r="A916" s="12"/>
      <c r="B916" s="12"/>
      <c r="C916" s="12"/>
      <c r="D916" s="12"/>
      <c r="H916" s="20"/>
      <c r="J916" s="20"/>
      <c r="K916" s="20"/>
      <c r="L916" s="20"/>
      <c r="M916" s="12"/>
      <c r="N916" s="12"/>
      <c r="O916" s="12"/>
      <c r="P916" s="12"/>
    </row>
    <row r="917">
      <c r="A917" s="12"/>
      <c r="B917" s="12"/>
      <c r="C917" s="12"/>
      <c r="D917" s="12"/>
      <c r="H917" s="20"/>
      <c r="J917" s="20"/>
      <c r="K917" s="20"/>
      <c r="L917" s="20"/>
      <c r="M917" s="12"/>
      <c r="N917" s="12"/>
      <c r="O917" s="12"/>
      <c r="P917" s="12"/>
    </row>
    <row r="918">
      <c r="A918" s="12"/>
      <c r="B918" s="12"/>
      <c r="C918" s="12"/>
      <c r="D918" s="12"/>
      <c r="H918" s="20"/>
      <c r="J918" s="20"/>
      <c r="K918" s="20"/>
      <c r="L918" s="20"/>
      <c r="M918" s="12"/>
      <c r="N918" s="12"/>
      <c r="O918" s="12"/>
      <c r="P918" s="12"/>
    </row>
    <row r="919">
      <c r="A919" s="12"/>
      <c r="B919" s="12"/>
      <c r="C919" s="12"/>
      <c r="D919" s="12"/>
      <c r="H919" s="20"/>
      <c r="J919" s="20"/>
      <c r="K919" s="20"/>
      <c r="L919" s="20"/>
      <c r="M919" s="12"/>
      <c r="N919" s="12"/>
      <c r="O919" s="12"/>
      <c r="P919" s="12"/>
    </row>
    <row r="920">
      <c r="A920" s="12"/>
      <c r="B920" s="12"/>
      <c r="C920" s="12"/>
      <c r="D920" s="12"/>
      <c r="H920" s="20"/>
      <c r="J920" s="20"/>
      <c r="K920" s="20"/>
      <c r="L920" s="20"/>
      <c r="M920" s="12"/>
      <c r="N920" s="12"/>
      <c r="O920" s="12"/>
      <c r="P920" s="12"/>
    </row>
    <row r="921">
      <c r="A921" s="12"/>
      <c r="B921" s="12"/>
      <c r="C921" s="12"/>
      <c r="D921" s="12"/>
      <c r="H921" s="20"/>
      <c r="J921" s="20"/>
      <c r="K921" s="20"/>
      <c r="L921" s="20"/>
      <c r="M921" s="12"/>
      <c r="N921" s="12"/>
      <c r="O921" s="12"/>
      <c r="P921" s="12"/>
    </row>
    <row r="922">
      <c r="A922" s="12"/>
      <c r="B922" s="12"/>
      <c r="C922" s="12"/>
      <c r="D922" s="12"/>
      <c r="H922" s="20"/>
      <c r="J922" s="20"/>
      <c r="K922" s="20"/>
      <c r="L922" s="20"/>
      <c r="M922" s="12"/>
      <c r="N922" s="12"/>
      <c r="O922" s="12"/>
      <c r="P922" s="12"/>
    </row>
    <row r="923">
      <c r="A923" s="12"/>
      <c r="B923" s="12"/>
      <c r="C923" s="12"/>
      <c r="D923" s="12"/>
      <c r="H923" s="20"/>
      <c r="J923" s="20"/>
      <c r="K923" s="20"/>
      <c r="L923" s="20"/>
      <c r="M923" s="12"/>
      <c r="N923" s="12"/>
      <c r="O923" s="12"/>
      <c r="P923" s="12"/>
    </row>
    <row r="924">
      <c r="A924" s="12"/>
      <c r="B924" s="12"/>
      <c r="C924" s="12"/>
      <c r="D924" s="12"/>
      <c r="H924" s="20"/>
      <c r="J924" s="20"/>
      <c r="K924" s="20"/>
      <c r="L924" s="20"/>
      <c r="M924" s="12"/>
      <c r="N924" s="12"/>
      <c r="O924" s="12"/>
      <c r="P924" s="12"/>
    </row>
    <row r="925">
      <c r="A925" s="12"/>
      <c r="B925" s="12"/>
      <c r="C925" s="12"/>
      <c r="D925" s="12"/>
      <c r="H925" s="20"/>
      <c r="J925" s="20"/>
      <c r="K925" s="20"/>
      <c r="L925" s="20"/>
      <c r="M925" s="12"/>
      <c r="N925" s="12"/>
      <c r="O925" s="12"/>
      <c r="P925" s="12"/>
    </row>
    <row r="926">
      <c r="A926" s="12"/>
      <c r="B926" s="12"/>
      <c r="C926" s="12"/>
      <c r="D926" s="12"/>
      <c r="H926" s="20"/>
      <c r="J926" s="20"/>
      <c r="K926" s="20"/>
      <c r="L926" s="20"/>
      <c r="M926" s="12"/>
      <c r="N926" s="12"/>
      <c r="O926" s="12"/>
      <c r="P926" s="12"/>
    </row>
    <row r="927">
      <c r="A927" s="12"/>
      <c r="B927" s="12"/>
      <c r="C927" s="12"/>
      <c r="D927" s="12"/>
      <c r="H927" s="20"/>
      <c r="J927" s="20"/>
      <c r="K927" s="20"/>
      <c r="L927" s="20"/>
      <c r="M927" s="12"/>
      <c r="N927" s="12"/>
      <c r="O927" s="12"/>
      <c r="P927" s="12"/>
    </row>
    <row r="928">
      <c r="A928" s="12"/>
      <c r="B928" s="12"/>
      <c r="C928" s="12"/>
      <c r="D928" s="12"/>
      <c r="H928" s="20"/>
      <c r="J928" s="20"/>
      <c r="K928" s="20"/>
      <c r="L928" s="20"/>
      <c r="M928" s="12"/>
      <c r="N928" s="12"/>
      <c r="O928" s="12"/>
      <c r="P928" s="12"/>
    </row>
    <row r="929">
      <c r="A929" s="12"/>
      <c r="B929" s="12"/>
      <c r="C929" s="12"/>
      <c r="D929" s="12"/>
      <c r="H929" s="20"/>
      <c r="J929" s="20"/>
      <c r="K929" s="20"/>
      <c r="L929" s="20"/>
      <c r="M929" s="12"/>
      <c r="N929" s="12"/>
      <c r="O929" s="12"/>
      <c r="P929" s="12"/>
    </row>
    <row r="930">
      <c r="A930" s="12"/>
      <c r="B930" s="12"/>
      <c r="C930" s="12"/>
      <c r="D930" s="12"/>
      <c r="H930" s="20"/>
      <c r="J930" s="20"/>
      <c r="K930" s="20"/>
      <c r="L930" s="20"/>
      <c r="M930" s="12"/>
      <c r="N930" s="12"/>
      <c r="O930" s="12"/>
      <c r="P930" s="12"/>
    </row>
    <row r="931">
      <c r="A931" s="12"/>
      <c r="B931" s="12"/>
      <c r="C931" s="12"/>
      <c r="D931" s="12"/>
      <c r="H931" s="20"/>
      <c r="J931" s="20"/>
      <c r="K931" s="20"/>
      <c r="L931" s="20"/>
      <c r="M931" s="12"/>
      <c r="N931" s="12"/>
      <c r="O931" s="12"/>
      <c r="P931" s="12"/>
    </row>
    <row r="932">
      <c r="A932" s="12"/>
      <c r="B932" s="12"/>
      <c r="C932" s="12"/>
      <c r="D932" s="12"/>
      <c r="H932" s="20"/>
      <c r="J932" s="20"/>
      <c r="K932" s="20"/>
      <c r="L932" s="20"/>
      <c r="M932" s="12"/>
      <c r="N932" s="12"/>
      <c r="O932" s="12"/>
      <c r="P932" s="12"/>
    </row>
    <row r="933">
      <c r="A933" s="12"/>
      <c r="B933" s="12"/>
      <c r="C933" s="12"/>
      <c r="D933" s="12"/>
      <c r="H933" s="20"/>
      <c r="J933" s="20"/>
      <c r="K933" s="20"/>
      <c r="L933" s="20"/>
      <c r="M933" s="12"/>
      <c r="N933" s="12"/>
      <c r="O933" s="12"/>
      <c r="P933" s="12"/>
    </row>
    <row r="934">
      <c r="A934" s="12"/>
      <c r="B934" s="12"/>
      <c r="C934" s="12"/>
      <c r="D934" s="12"/>
      <c r="H934" s="20"/>
      <c r="J934" s="20"/>
      <c r="K934" s="20"/>
      <c r="L934" s="20"/>
      <c r="M934" s="12"/>
      <c r="N934" s="12"/>
      <c r="O934" s="12"/>
      <c r="P934" s="12"/>
    </row>
    <row r="935">
      <c r="A935" s="12"/>
      <c r="B935" s="12"/>
      <c r="C935" s="12"/>
      <c r="D935" s="12"/>
      <c r="H935" s="20"/>
      <c r="J935" s="20"/>
      <c r="K935" s="20"/>
      <c r="L935" s="20"/>
      <c r="M935" s="12"/>
      <c r="N935" s="12"/>
      <c r="O935" s="12"/>
      <c r="P935" s="12"/>
    </row>
    <row r="936">
      <c r="A936" s="12"/>
      <c r="B936" s="12"/>
      <c r="C936" s="12"/>
      <c r="D936" s="12"/>
      <c r="H936" s="20"/>
      <c r="J936" s="20"/>
      <c r="K936" s="20"/>
      <c r="L936" s="20"/>
      <c r="M936" s="12"/>
      <c r="N936" s="12"/>
      <c r="O936" s="12"/>
      <c r="P936" s="12"/>
    </row>
    <row r="937">
      <c r="A937" s="12"/>
      <c r="B937" s="12"/>
      <c r="C937" s="12"/>
      <c r="D937" s="12"/>
      <c r="H937" s="20"/>
      <c r="J937" s="20"/>
      <c r="K937" s="20"/>
      <c r="L937" s="20"/>
      <c r="M937" s="12"/>
      <c r="N937" s="12"/>
      <c r="O937" s="12"/>
      <c r="P937" s="12"/>
    </row>
    <row r="938">
      <c r="A938" s="12"/>
      <c r="B938" s="12"/>
      <c r="C938" s="12"/>
      <c r="D938" s="12"/>
      <c r="H938" s="20"/>
      <c r="J938" s="20"/>
      <c r="K938" s="20"/>
      <c r="L938" s="20"/>
      <c r="M938" s="12"/>
      <c r="N938" s="12"/>
      <c r="O938" s="12"/>
      <c r="P938" s="12"/>
    </row>
    <row r="939">
      <c r="A939" s="12"/>
      <c r="B939" s="12"/>
      <c r="C939" s="12"/>
      <c r="D939" s="12"/>
      <c r="H939" s="20"/>
      <c r="J939" s="20"/>
      <c r="K939" s="20"/>
      <c r="L939" s="20"/>
      <c r="M939" s="12"/>
      <c r="N939" s="12"/>
      <c r="O939" s="12"/>
      <c r="P939" s="12"/>
    </row>
    <row r="940">
      <c r="A940" s="12"/>
      <c r="B940" s="12"/>
      <c r="C940" s="12"/>
      <c r="D940" s="12"/>
      <c r="H940" s="20"/>
      <c r="J940" s="20"/>
      <c r="K940" s="20"/>
      <c r="L940" s="20"/>
      <c r="M940" s="12"/>
      <c r="N940" s="12"/>
      <c r="O940" s="12"/>
      <c r="P940" s="12"/>
    </row>
    <row r="941">
      <c r="A941" s="12"/>
      <c r="B941" s="12"/>
      <c r="C941" s="12"/>
      <c r="D941" s="12"/>
      <c r="H941" s="20"/>
      <c r="J941" s="20"/>
      <c r="K941" s="20"/>
      <c r="L941" s="20"/>
      <c r="M941" s="12"/>
      <c r="N941" s="12"/>
      <c r="O941" s="12"/>
      <c r="P941" s="12"/>
    </row>
    <row r="942">
      <c r="A942" s="12"/>
      <c r="B942" s="12"/>
      <c r="C942" s="12"/>
      <c r="D942" s="12"/>
      <c r="H942" s="20"/>
      <c r="J942" s="20"/>
      <c r="K942" s="20"/>
      <c r="L942" s="20"/>
      <c r="M942" s="12"/>
      <c r="N942" s="12"/>
      <c r="O942" s="12"/>
      <c r="P942" s="12"/>
    </row>
    <row r="943">
      <c r="A943" s="12"/>
      <c r="B943" s="12"/>
      <c r="C943" s="12"/>
      <c r="D943" s="12"/>
      <c r="H943" s="20"/>
      <c r="J943" s="20"/>
      <c r="K943" s="20"/>
      <c r="L943" s="20"/>
      <c r="M943" s="12"/>
      <c r="N943" s="12"/>
      <c r="O943" s="12"/>
      <c r="P943" s="12"/>
    </row>
    <row r="944">
      <c r="A944" s="12"/>
      <c r="B944" s="12"/>
      <c r="C944" s="12"/>
      <c r="D944" s="12"/>
      <c r="H944" s="20"/>
      <c r="J944" s="20"/>
      <c r="K944" s="20"/>
      <c r="L944" s="20"/>
      <c r="M944" s="12"/>
      <c r="N944" s="12"/>
      <c r="O944" s="12"/>
      <c r="P944" s="12"/>
    </row>
    <row r="945">
      <c r="A945" s="12"/>
      <c r="B945" s="12"/>
      <c r="C945" s="12"/>
      <c r="D945" s="12"/>
      <c r="H945" s="20"/>
      <c r="J945" s="20"/>
      <c r="K945" s="20"/>
      <c r="L945" s="20"/>
      <c r="M945" s="12"/>
      <c r="N945" s="12"/>
      <c r="O945" s="12"/>
      <c r="P945" s="12"/>
    </row>
    <row r="946">
      <c r="A946" s="12"/>
      <c r="B946" s="12"/>
      <c r="C946" s="12"/>
      <c r="D946" s="12"/>
      <c r="H946" s="20"/>
      <c r="J946" s="20"/>
      <c r="K946" s="20"/>
      <c r="L946" s="20"/>
      <c r="M946" s="12"/>
      <c r="N946" s="12"/>
      <c r="O946" s="12"/>
      <c r="P946" s="12"/>
    </row>
    <row r="947">
      <c r="A947" s="12"/>
      <c r="B947" s="12"/>
      <c r="C947" s="12"/>
      <c r="D947" s="12"/>
      <c r="H947" s="20"/>
      <c r="J947" s="20"/>
      <c r="K947" s="20"/>
      <c r="L947" s="20"/>
      <c r="M947" s="12"/>
      <c r="N947" s="12"/>
      <c r="O947" s="12"/>
      <c r="P947" s="12"/>
    </row>
    <row r="948">
      <c r="A948" s="12"/>
      <c r="B948" s="12"/>
      <c r="C948" s="12"/>
      <c r="D948" s="12"/>
      <c r="H948" s="20"/>
      <c r="J948" s="20"/>
      <c r="K948" s="20"/>
      <c r="L948" s="20"/>
      <c r="M948" s="12"/>
      <c r="N948" s="12"/>
      <c r="O948" s="12"/>
      <c r="P948" s="12"/>
    </row>
    <row r="949">
      <c r="A949" s="12"/>
      <c r="B949" s="12"/>
      <c r="C949" s="12"/>
      <c r="D949" s="12"/>
      <c r="H949" s="20"/>
      <c r="J949" s="20"/>
      <c r="K949" s="20"/>
      <c r="L949" s="20"/>
      <c r="M949" s="12"/>
      <c r="N949" s="12"/>
      <c r="O949" s="12"/>
      <c r="P949" s="12"/>
    </row>
    <row r="950">
      <c r="A950" s="12"/>
      <c r="B950" s="12"/>
      <c r="C950" s="12"/>
      <c r="D950" s="12"/>
      <c r="H950" s="20"/>
      <c r="J950" s="20"/>
      <c r="K950" s="20"/>
      <c r="L950" s="20"/>
      <c r="M950" s="12"/>
      <c r="N950" s="12"/>
      <c r="O950" s="12"/>
      <c r="P950" s="12"/>
    </row>
    <row r="951">
      <c r="A951" s="12"/>
      <c r="B951" s="12"/>
      <c r="C951" s="12"/>
      <c r="D951" s="12"/>
      <c r="H951" s="20"/>
      <c r="J951" s="20"/>
      <c r="K951" s="20"/>
      <c r="L951" s="20"/>
      <c r="M951" s="12"/>
      <c r="N951" s="12"/>
      <c r="O951" s="12"/>
      <c r="P951" s="12"/>
    </row>
    <row r="952">
      <c r="A952" s="12"/>
      <c r="B952" s="12"/>
      <c r="C952" s="12"/>
      <c r="D952" s="12"/>
      <c r="H952" s="20"/>
      <c r="J952" s="20"/>
      <c r="K952" s="20"/>
      <c r="L952" s="20"/>
      <c r="M952" s="12"/>
      <c r="N952" s="12"/>
      <c r="O952" s="12"/>
      <c r="P952" s="12"/>
    </row>
    <row r="953">
      <c r="A953" s="12"/>
      <c r="B953" s="12"/>
      <c r="C953" s="12"/>
      <c r="D953" s="12"/>
      <c r="H953" s="20"/>
      <c r="J953" s="20"/>
      <c r="K953" s="20"/>
      <c r="L953" s="20"/>
      <c r="M953" s="12"/>
      <c r="N953" s="12"/>
      <c r="O953" s="12"/>
      <c r="P953" s="12"/>
    </row>
    <row r="954">
      <c r="A954" s="12"/>
      <c r="B954" s="12"/>
      <c r="C954" s="12"/>
      <c r="D954" s="12"/>
      <c r="H954" s="20"/>
      <c r="J954" s="20"/>
      <c r="K954" s="20"/>
      <c r="L954" s="20"/>
      <c r="M954" s="12"/>
      <c r="N954" s="12"/>
      <c r="O954" s="12"/>
      <c r="P954" s="12"/>
    </row>
    <row r="955">
      <c r="A955" s="12"/>
      <c r="B955" s="12"/>
      <c r="C955" s="12"/>
      <c r="D955" s="12"/>
      <c r="H955" s="20"/>
      <c r="J955" s="20"/>
      <c r="K955" s="20"/>
      <c r="L955" s="20"/>
      <c r="M955" s="12"/>
      <c r="N955" s="12"/>
      <c r="O955" s="12"/>
      <c r="P955" s="12"/>
    </row>
    <row r="956">
      <c r="A956" s="12"/>
      <c r="B956" s="12"/>
      <c r="C956" s="12"/>
      <c r="D956" s="12"/>
      <c r="H956" s="20"/>
      <c r="J956" s="20"/>
      <c r="K956" s="20"/>
      <c r="L956" s="20"/>
      <c r="M956" s="12"/>
      <c r="N956" s="12"/>
      <c r="O956" s="12"/>
      <c r="P956" s="12"/>
    </row>
    <row r="957">
      <c r="A957" s="12"/>
      <c r="B957" s="12"/>
      <c r="C957" s="12"/>
      <c r="D957" s="12"/>
      <c r="H957" s="20"/>
      <c r="J957" s="20"/>
      <c r="K957" s="20"/>
      <c r="L957" s="20"/>
      <c r="M957" s="12"/>
      <c r="N957" s="12"/>
      <c r="O957" s="12"/>
      <c r="P957" s="12"/>
    </row>
    <row r="958">
      <c r="A958" s="12"/>
      <c r="B958" s="12"/>
      <c r="C958" s="12"/>
      <c r="D958" s="12"/>
      <c r="H958" s="20"/>
      <c r="J958" s="20"/>
      <c r="K958" s="20"/>
      <c r="L958" s="20"/>
      <c r="M958" s="12"/>
      <c r="N958" s="12"/>
      <c r="O958" s="12"/>
      <c r="P958" s="12"/>
    </row>
    <row r="959">
      <c r="A959" s="12"/>
      <c r="B959" s="12"/>
      <c r="C959" s="12"/>
      <c r="D959" s="12"/>
      <c r="H959" s="20"/>
      <c r="J959" s="20"/>
      <c r="K959" s="20"/>
      <c r="L959" s="20"/>
      <c r="M959" s="12"/>
      <c r="N959" s="12"/>
      <c r="O959" s="12"/>
      <c r="P959" s="12"/>
    </row>
    <row r="960">
      <c r="A960" s="12"/>
      <c r="B960" s="12"/>
      <c r="C960" s="12"/>
      <c r="D960" s="12"/>
      <c r="H960" s="20"/>
      <c r="J960" s="20"/>
      <c r="K960" s="20"/>
      <c r="L960" s="20"/>
      <c r="M960" s="12"/>
      <c r="N960" s="12"/>
      <c r="O960" s="12"/>
      <c r="P960" s="12"/>
    </row>
    <row r="961">
      <c r="A961" s="12"/>
      <c r="B961" s="12"/>
      <c r="C961" s="12"/>
      <c r="D961" s="12"/>
      <c r="H961" s="20"/>
      <c r="J961" s="20"/>
      <c r="K961" s="20"/>
      <c r="L961" s="20"/>
      <c r="M961" s="12"/>
      <c r="N961" s="12"/>
      <c r="O961" s="12"/>
      <c r="P961" s="12"/>
    </row>
    <row r="962">
      <c r="A962" s="12"/>
      <c r="B962" s="12"/>
      <c r="C962" s="12"/>
      <c r="D962" s="12"/>
      <c r="H962" s="20"/>
      <c r="J962" s="20"/>
      <c r="K962" s="20"/>
      <c r="L962" s="20"/>
      <c r="M962" s="12"/>
      <c r="N962" s="12"/>
      <c r="O962" s="12"/>
      <c r="P962" s="12"/>
    </row>
    <row r="963">
      <c r="A963" s="12"/>
      <c r="B963" s="12"/>
      <c r="C963" s="12"/>
      <c r="D963" s="12"/>
      <c r="H963" s="20"/>
      <c r="J963" s="20"/>
      <c r="K963" s="20"/>
      <c r="L963" s="20"/>
      <c r="M963" s="12"/>
      <c r="N963" s="12"/>
      <c r="O963" s="12"/>
      <c r="P963" s="12"/>
    </row>
    <row r="964">
      <c r="A964" s="12"/>
      <c r="B964" s="12"/>
      <c r="C964" s="12"/>
      <c r="D964" s="12"/>
      <c r="H964" s="20"/>
      <c r="J964" s="20"/>
      <c r="K964" s="20"/>
      <c r="L964" s="20"/>
      <c r="M964" s="12"/>
      <c r="N964" s="12"/>
      <c r="O964" s="12"/>
      <c r="P964" s="12"/>
    </row>
    <row r="965">
      <c r="A965" s="12"/>
      <c r="B965" s="12"/>
      <c r="C965" s="12"/>
      <c r="D965" s="12"/>
      <c r="H965" s="20"/>
      <c r="J965" s="20"/>
      <c r="K965" s="20"/>
      <c r="L965" s="20"/>
      <c r="M965" s="12"/>
      <c r="N965" s="12"/>
      <c r="O965" s="12"/>
      <c r="P965" s="12"/>
    </row>
    <row r="966">
      <c r="A966" s="12"/>
      <c r="B966" s="12"/>
      <c r="C966" s="12"/>
      <c r="D966" s="12"/>
      <c r="H966" s="20"/>
      <c r="J966" s="20"/>
      <c r="K966" s="20"/>
      <c r="L966" s="20"/>
      <c r="M966" s="12"/>
      <c r="N966" s="12"/>
      <c r="O966" s="12"/>
      <c r="P966" s="12"/>
    </row>
    <row r="967">
      <c r="A967" s="12"/>
      <c r="B967" s="12"/>
      <c r="C967" s="12"/>
      <c r="D967" s="12"/>
      <c r="H967" s="20"/>
      <c r="J967" s="20"/>
      <c r="K967" s="20"/>
      <c r="L967" s="20"/>
      <c r="M967" s="12"/>
      <c r="N967" s="12"/>
      <c r="O967" s="12"/>
      <c r="P967" s="12"/>
    </row>
    <row r="968">
      <c r="A968" s="12"/>
      <c r="B968" s="12"/>
      <c r="C968" s="12"/>
      <c r="D968" s="12"/>
      <c r="H968" s="20"/>
      <c r="J968" s="20"/>
      <c r="K968" s="20"/>
      <c r="L968" s="20"/>
      <c r="M968" s="12"/>
      <c r="N968" s="12"/>
      <c r="O968" s="12"/>
      <c r="P968" s="12"/>
    </row>
    <row r="969">
      <c r="A969" s="12"/>
      <c r="B969" s="12"/>
      <c r="C969" s="12"/>
      <c r="D969" s="12"/>
      <c r="H969" s="20"/>
      <c r="J969" s="20"/>
      <c r="K969" s="20"/>
      <c r="L969" s="20"/>
      <c r="M969" s="12"/>
      <c r="N969" s="12"/>
      <c r="O969" s="12"/>
      <c r="P969" s="12"/>
    </row>
    <row r="970">
      <c r="A970" s="12"/>
      <c r="B970" s="12"/>
      <c r="C970" s="12"/>
      <c r="D970" s="12"/>
      <c r="H970" s="20"/>
      <c r="J970" s="20"/>
      <c r="K970" s="20"/>
      <c r="L970" s="20"/>
      <c r="M970" s="12"/>
      <c r="N970" s="12"/>
      <c r="O970" s="12"/>
      <c r="P970" s="12"/>
    </row>
    <row r="971">
      <c r="A971" s="12"/>
      <c r="B971" s="12"/>
      <c r="C971" s="12"/>
      <c r="D971" s="12"/>
      <c r="H971" s="20"/>
      <c r="J971" s="20"/>
      <c r="K971" s="20"/>
      <c r="L971" s="20"/>
      <c r="M971" s="12"/>
      <c r="N971" s="12"/>
      <c r="O971" s="12"/>
      <c r="P971" s="12"/>
    </row>
    <row r="972">
      <c r="A972" s="12"/>
      <c r="B972" s="12"/>
      <c r="C972" s="12"/>
      <c r="D972" s="12"/>
      <c r="H972" s="20"/>
      <c r="J972" s="20"/>
      <c r="K972" s="20"/>
      <c r="L972" s="20"/>
      <c r="M972" s="12"/>
      <c r="N972" s="12"/>
      <c r="O972" s="12"/>
      <c r="P972" s="12"/>
    </row>
    <row r="973">
      <c r="A973" s="12"/>
      <c r="B973" s="12"/>
      <c r="C973" s="12"/>
      <c r="D973" s="12"/>
      <c r="H973" s="20"/>
      <c r="J973" s="20"/>
      <c r="K973" s="20"/>
      <c r="L973" s="20"/>
      <c r="M973" s="12"/>
      <c r="N973" s="12"/>
      <c r="O973" s="12"/>
      <c r="P973" s="12"/>
    </row>
    <row r="974">
      <c r="A974" s="12"/>
      <c r="B974" s="12"/>
      <c r="C974" s="12"/>
      <c r="D974" s="12"/>
      <c r="H974" s="20"/>
      <c r="J974" s="20"/>
      <c r="K974" s="20"/>
      <c r="L974" s="20"/>
      <c r="M974" s="12"/>
      <c r="N974" s="12"/>
      <c r="O974" s="12"/>
      <c r="P974" s="12"/>
    </row>
    <row r="975">
      <c r="A975" s="12"/>
      <c r="B975" s="12"/>
      <c r="C975" s="12"/>
      <c r="D975" s="12"/>
      <c r="H975" s="20"/>
      <c r="J975" s="20"/>
      <c r="K975" s="20"/>
      <c r="L975" s="20"/>
      <c r="M975" s="12"/>
      <c r="N975" s="12"/>
      <c r="O975" s="12"/>
      <c r="P975" s="12"/>
    </row>
    <row r="976">
      <c r="A976" s="12"/>
      <c r="B976" s="12"/>
      <c r="C976" s="12"/>
      <c r="D976" s="12"/>
      <c r="H976" s="20"/>
      <c r="J976" s="20"/>
      <c r="K976" s="20"/>
      <c r="L976" s="20"/>
      <c r="M976" s="12"/>
      <c r="N976" s="12"/>
      <c r="O976" s="12"/>
      <c r="P976" s="12"/>
    </row>
    <row r="977">
      <c r="A977" s="12"/>
      <c r="B977" s="12"/>
      <c r="C977" s="12"/>
      <c r="D977" s="12"/>
      <c r="H977" s="20"/>
      <c r="J977" s="20"/>
      <c r="K977" s="20"/>
      <c r="L977" s="20"/>
      <c r="M977" s="12"/>
      <c r="N977" s="12"/>
      <c r="O977" s="12"/>
      <c r="P977" s="12"/>
    </row>
    <row r="978">
      <c r="A978" s="12"/>
      <c r="B978" s="12"/>
      <c r="C978" s="12"/>
      <c r="D978" s="12"/>
      <c r="H978" s="20"/>
      <c r="J978" s="20"/>
      <c r="K978" s="20"/>
      <c r="L978" s="20"/>
      <c r="M978" s="12"/>
      <c r="N978" s="12"/>
      <c r="O978" s="12"/>
      <c r="P978" s="12"/>
    </row>
    <row r="979">
      <c r="A979" s="12"/>
      <c r="B979" s="12"/>
      <c r="C979" s="12"/>
      <c r="D979" s="12"/>
      <c r="H979" s="20"/>
      <c r="J979" s="20"/>
      <c r="K979" s="20"/>
      <c r="L979" s="20"/>
      <c r="M979" s="12"/>
      <c r="N979" s="12"/>
      <c r="O979" s="12"/>
      <c r="P979" s="12"/>
    </row>
    <row r="980">
      <c r="A980" s="12"/>
      <c r="B980" s="12"/>
      <c r="C980" s="12"/>
      <c r="D980" s="12"/>
      <c r="H980" s="20"/>
      <c r="J980" s="20"/>
      <c r="K980" s="20"/>
      <c r="L980" s="20"/>
      <c r="M980" s="12"/>
      <c r="N980" s="12"/>
      <c r="O980" s="12"/>
      <c r="P980" s="12"/>
    </row>
    <row r="981">
      <c r="A981" s="12"/>
      <c r="B981" s="12"/>
      <c r="C981" s="12"/>
      <c r="D981" s="12"/>
      <c r="H981" s="20"/>
      <c r="J981" s="20"/>
      <c r="K981" s="20"/>
      <c r="L981" s="20"/>
      <c r="M981" s="12"/>
      <c r="N981" s="12"/>
      <c r="O981" s="12"/>
      <c r="P981" s="12"/>
    </row>
    <row r="982">
      <c r="A982" s="12"/>
      <c r="B982" s="12"/>
      <c r="C982" s="12"/>
      <c r="D982" s="12"/>
      <c r="H982" s="20"/>
      <c r="J982" s="20"/>
      <c r="K982" s="20"/>
      <c r="L982" s="20"/>
      <c r="M982" s="12"/>
      <c r="N982" s="12"/>
      <c r="O982" s="12"/>
      <c r="P982" s="12"/>
    </row>
    <row r="983">
      <c r="A983" s="12"/>
      <c r="B983" s="12"/>
      <c r="C983" s="12"/>
      <c r="D983" s="12"/>
      <c r="H983" s="20"/>
      <c r="J983" s="20"/>
      <c r="K983" s="20"/>
      <c r="L983" s="20"/>
      <c r="M983" s="12"/>
      <c r="N983" s="12"/>
      <c r="O983" s="12"/>
      <c r="P983" s="12"/>
    </row>
    <row r="984">
      <c r="A984" s="12"/>
      <c r="B984" s="12"/>
      <c r="C984" s="12"/>
      <c r="D984" s="12"/>
      <c r="H984" s="20"/>
      <c r="J984" s="20"/>
      <c r="K984" s="20"/>
      <c r="L984" s="20"/>
      <c r="M984" s="12"/>
      <c r="N984" s="12"/>
      <c r="O984" s="12"/>
      <c r="P984" s="12"/>
    </row>
    <row r="985">
      <c r="A985" s="12"/>
      <c r="B985" s="12"/>
      <c r="C985" s="12"/>
      <c r="D985" s="12"/>
      <c r="H985" s="20"/>
      <c r="J985" s="20"/>
      <c r="K985" s="20"/>
      <c r="L985" s="20"/>
      <c r="M985" s="12"/>
      <c r="N985" s="12"/>
      <c r="O985" s="12"/>
      <c r="P985" s="12"/>
    </row>
    <row r="986">
      <c r="A986" s="12"/>
      <c r="B986" s="12"/>
      <c r="C986" s="12"/>
      <c r="D986" s="12"/>
      <c r="H986" s="20"/>
      <c r="J986" s="20"/>
      <c r="K986" s="20"/>
      <c r="L986" s="20"/>
      <c r="M986" s="12"/>
      <c r="N986" s="12"/>
      <c r="O986" s="12"/>
      <c r="P986" s="12"/>
    </row>
    <row r="987">
      <c r="A987" s="12"/>
      <c r="B987" s="12"/>
      <c r="C987" s="12"/>
      <c r="D987" s="12"/>
      <c r="H987" s="20"/>
      <c r="J987" s="20"/>
      <c r="K987" s="20"/>
      <c r="L987" s="20"/>
      <c r="M987" s="12"/>
      <c r="N987" s="12"/>
      <c r="O987" s="12"/>
      <c r="P987" s="12"/>
    </row>
    <row r="988">
      <c r="A988" s="12"/>
      <c r="B988" s="12"/>
      <c r="C988" s="12"/>
      <c r="D988" s="12"/>
      <c r="H988" s="20"/>
      <c r="J988" s="20"/>
      <c r="K988" s="20"/>
      <c r="L988" s="20"/>
      <c r="M988" s="12"/>
      <c r="N988" s="12"/>
      <c r="O988" s="12"/>
      <c r="P988" s="12"/>
    </row>
    <row r="989">
      <c r="A989" s="12"/>
      <c r="B989" s="12"/>
      <c r="C989" s="12"/>
      <c r="D989" s="12"/>
      <c r="H989" s="20"/>
      <c r="J989" s="20"/>
      <c r="K989" s="20"/>
      <c r="L989" s="20"/>
      <c r="M989" s="12"/>
      <c r="N989" s="12"/>
      <c r="O989" s="12"/>
      <c r="P989" s="12"/>
    </row>
    <row r="990">
      <c r="A990" s="12"/>
      <c r="B990" s="12"/>
      <c r="C990" s="12"/>
      <c r="D990" s="12"/>
      <c r="H990" s="20"/>
      <c r="J990" s="20"/>
      <c r="K990" s="20"/>
      <c r="L990" s="20"/>
      <c r="M990" s="12"/>
      <c r="N990" s="12"/>
      <c r="O990" s="12"/>
      <c r="P990" s="12"/>
    </row>
    <row r="991">
      <c r="A991" s="12"/>
      <c r="B991" s="12"/>
      <c r="C991" s="12"/>
      <c r="D991" s="12"/>
      <c r="H991" s="20"/>
      <c r="J991" s="20"/>
      <c r="K991" s="20"/>
      <c r="L991" s="20"/>
      <c r="M991" s="12"/>
      <c r="N991" s="12"/>
      <c r="O991" s="12"/>
      <c r="P991" s="12"/>
    </row>
    <row r="992">
      <c r="A992" s="12"/>
      <c r="B992" s="12"/>
      <c r="C992" s="12"/>
      <c r="D992" s="12"/>
      <c r="H992" s="20"/>
      <c r="J992" s="20"/>
      <c r="K992" s="20"/>
      <c r="L992" s="20"/>
      <c r="M992" s="12"/>
      <c r="N992" s="12"/>
      <c r="O992" s="12"/>
      <c r="P992" s="12"/>
    </row>
    <row r="993">
      <c r="A993" s="12"/>
      <c r="B993" s="12"/>
      <c r="C993" s="12"/>
      <c r="D993" s="12"/>
      <c r="H993" s="20"/>
      <c r="J993" s="20"/>
      <c r="K993" s="20"/>
      <c r="L993" s="20"/>
      <c r="M993" s="12"/>
      <c r="N993" s="12"/>
      <c r="O993" s="12"/>
      <c r="P993" s="12"/>
    </row>
    <row r="994">
      <c r="A994" s="12"/>
      <c r="B994" s="12"/>
      <c r="C994" s="12"/>
      <c r="D994" s="12"/>
      <c r="H994" s="20"/>
      <c r="J994" s="20"/>
      <c r="K994" s="20"/>
      <c r="L994" s="20"/>
      <c r="M994" s="12"/>
      <c r="N994" s="12"/>
      <c r="O994" s="12"/>
      <c r="P994" s="12"/>
    </row>
    <row r="995">
      <c r="A995" s="12"/>
      <c r="B995" s="12"/>
      <c r="C995" s="12"/>
      <c r="D995" s="12"/>
      <c r="H995" s="20"/>
      <c r="J995" s="20"/>
      <c r="K995" s="20"/>
      <c r="L995" s="20"/>
      <c r="M995" s="12"/>
      <c r="N995" s="12"/>
      <c r="O995" s="12"/>
      <c r="P995" s="12"/>
    </row>
    <row r="996">
      <c r="A996" s="12"/>
      <c r="B996" s="12"/>
      <c r="C996" s="12"/>
      <c r="D996" s="12"/>
      <c r="H996" s="20"/>
      <c r="J996" s="20"/>
      <c r="K996" s="20"/>
      <c r="L996" s="20"/>
      <c r="M996" s="12"/>
      <c r="N996" s="12"/>
      <c r="O996" s="12"/>
      <c r="P996" s="12"/>
    </row>
    <row r="997">
      <c r="A997" s="12"/>
      <c r="B997" s="12"/>
      <c r="C997" s="12"/>
      <c r="D997" s="12"/>
      <c r="H997" s="20"/>
      <c r="J997" s="20"/>
      <c r="K997" s="20"/>
      <c r="L997" s="20"/>
      <c r="M997" s="12"/>
      <c r="N997" s="12"/>
      <c r="O997" s="12"/>
      <c r="P997" s="12"/>
    </row>
    <row r="998">
      <c r="A998" s="12"/>
      <c r="B998" s="12"/>
      <c r="C998" s="12"/>
      <c r="D998" s="12"/>
      <c r="H998" s="20"/>
      <c r="J998" s="20"/>
      <c r="K998" s="20"/>
      <c r="L998" s="20"/>
      <c r="M998" s="12"/>
      <c r="N998" s="12"/>
      <c r="O998" s="12"/>
      <c r="P998" s="12"/>
    </row>
    <row r="999">
      <c r="A999" s="12"/>
      <c r="B999" s="12"/>
      <c r="C999" s="12"/>
      <c r="D999" s="12"/>
      <c r="H999" s="20"/>
      <c r="J999" s="20"/>
      <c r="K999" s="20"/>
      <c r="L999" s="20"/>
      <c r="M999" s="12"/>
      <c r="N999" s="12"/>
      <c r="O999" s="12"/>
      <c r="P999" s="12"/>
    </row>
    <row r="1000">
      <c r="A1000" s="12"/>
      <c r="B1000" s="12"/>
      <c r="C1000" s="12"/>
      <c r="D1000" s="12"/>
      <c r="H1000" s="20"/>
      <c r="J1000" s="20"/>
      <c r="K1000" s="20"/>
      <c r="L1000" s="20"/>
      <c r="M1000" s="12"/>
      <c r="N1000" s="12"/>
      <c r="O1000" s="12"/>
      <c r="P1000" s="12"/>
    </row>
    <row r="1001">
      <c r="A1001" s="12"/>
      <c r="B1001" s="12"/>
      <c r="C1001" s="12"/>
      <c r="D1001" s="12"/>
      <c r="H1001" s="20"/>
      <c r="J1001" s="20"/>
      <c r="K1001" s="20"/>
      <c r="L1001" s="20"/>
      <c r="M1001" s="12"/>
      <c r="N1001" s="12"/>
      <c r="O1001" s="12"/>
      <c r="P1001" s="12"/>
    </row>
    <row r="1002">
      <c r="A1002" s="12"/>
      <c r="B1002" s="12"/>
      <c r="C1002" s="12"/>
      <c r="D1002" s="12"/>
      <c r="H1002" s="20"/>
      <c r="J1002" s="20"/>
      <c r="K1002" s="20"/>
      <c r="L1002" s="20"/>
      <c r="M1002" s="12"/>
      <c r="N1002" s="12"/>
      <c r="O1002" s="12"/>
      <c r="P1002" s="12"/>
    </row>
    <row r="1003">
      <c r="A1003" s="12"/>
      <c r="B1003" s="12"/>
      <c r="C1003" s="12"/>
      <c r="D1003" s="12"/>
      <c r="H1003" s="20"/>
      <c r="J1003" s="20"/>
      <c r="K1003" s="20"/>
      <c r="L1003" s="20"/>
      <c r="M1003" s="12"/>
      <c r="N1003" s="12"/>
      <c r="O1003" s="12"/>
      <c r="P1003" s="12"/>
    </row>
    <row r="1004">
      <c r="A1004" s="12"/>
      <c r="B1004" s="12"/>
      <c r="C1004" s="12"/>
      <c r="D1004" s="12"/>
      <c r="H1004" s="20"/>
      <c r="J1004" s="20"/>
      <c r="K1004" s="20"/>
      <c r="L1004" s="20"/>
      <c r="M1004" s="12"/>
      <c r="N1004" s="12"/>
      <c r="O1004" s="12"/>
      <c r="P1004" s="12"/>
    </row>
    <row r="1005">
      <c r="A1005" s="12"/>
      <c r="B1005" s="12"/>
      <c r="C1005" s="12"/>
      <c r="D1005" s="12"/>
      <c r="H1005" s="20"/>
      <c r="J1005" s="20"/>
      <c r="K1005" s="20"/>
      <c r="L1005" s="20"/>
      <c r="M1005" s="12"/>
      <c r="N1005" s="12"/>
      <c r="O1005" s="12"/>
      <c r="P1005" s="12"/>
    </row>
    <row r="1006">
      <c r="A1006" s="12"/>
      <c r="B1006" s="12"/>
      <c r="C1006" s="12"/>
      <c r="D1006" s="12"/>
      <c r="H1006" s="20"/>
      <c r="J1006" s="20"/>
      <c r="K1006" s="20"/>
      <c r="L1006" s="20"/>
      <c r="M1006" s="12"/>
      <c r="N1006" s="12"/>
      <c r="O1006" s="12"/>
      <c r="P1006" s="12"/>
    </row>
    <row r="1007">
      <c r="A1007" s="12"/>
      <c r="B1007" s="12"/>
      <c r="C1007" s="12"/>
      <c r="D1007" s="12"/>
      <c r="H1007" s="20"/>
      <c r="J1007" s="20"/>
      <c r="K1007" s="20"/>
      <c r="L1007" s="20"/>
      <c r="M1007" s="12"/>
      <c r="N1007" s="12"/>
      <c r="O1007" s="12"/>
      <c r="P1007" s="12"/>
    </row>
    <row r="1008">
      <c r="A1008" s="12"/>
      <c r="B1008" s="12"/>
      <c r="C1008" s="12"/>
      <c r="D1008" s="12"/>
      <c r="H1008" s="20"/>
      <c r="J1008" s="20"/>
      <c r="K1008" s="20"/>
      <c r="L1008" s="20"/>
      <c r="M1008" s="12"/>
      <c r="N1008" s="12"/>
      <c r="O1008" s="12"/>
      <c r="P1008" s="12"/>
    </row>
    <row r="1009">
      <c r="A1009" s="12"/>
      <c r="B1009" s="12"/>
      <c r="C1009" s="12"/>
      <c r="D1009" s="12"/>
      <c r="H1009" s="20"/>
      <c r="J1009" s="20"/>
      <c r="K1009" s="20"/>
      <c r="L1009" s="20"/>
      <c r="M1009" s="12"/>
      <c r="N1009" s="12"/>
      <c r="O1009" s="12"/>
      <c r="P1009" s="12"/>
    </row>
    <row r="1010">
      <c r="A1010" s="12"/>
      <c r="B1010" s="12"/>
      <c r="C1010" s="12"/>
      <c r="D1010" s="12"/>
      <c r="H1010" s="20"/>
      <c r="J1010" s="20"/>
      <c r="K1010" s="20"/>
      <c r="L1010" s="20"/>
      <c r="M1010" s="12"/>
      <c r="N1010" s="12"/>
      <c r="O1010" s="12"/>
      <c r="P1010" s="12"/>
    </row>
    <row r="1011">
      <c r="A1011" s="12"/>
      <c r="B1011" s="12"/>
      <c r="C1011" s="12"/>
      <c r="D1011" s="12"/>
      <c r="H1011" s="20"/>
      <c r="J1011" s="20"/>
      <c r="K1011" s="20"/>
      <c r="L1011" s="20"/>
      <c r="M1011" s="12"/>
      <c r="N1011" s="12"/>
      <c r="O1011" s="12"/>
      <c r="P1011" s="12"/>
    </row>
  </sheetData>
  <dataValidations>
    <dataValidation type="list" allowBlank="1" showDropDown="1" showErrorMessage="1" sqref="H2:H123 K2:K123 H127:H1011 K127:K1011">
      <formula1>"A,B,C,D,E,F,A1,A2,A3"</formula1>
    </dataValidation>
    <dataValidation type="list" allowBlank="1" showDropDown="1" showErrorMessage="1" sqref="J2:J123 J127:J1011">
      <formula1>"AC,DT,OS,NR"</formula1>
    </dataValidation>
    <dataValidation type="list" allowBlank="1" showDropDown="1" showErrorMessage="1" sqref="L2:L86 L87:M89 L90 L91:M91 L92:L123 L127:L1011">
      <formula1>"Dead,Alive,Missing"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v>
      </c>
      <c r="C1" s="1" t="s">
        <v>13</v>
      </c>
      <c r="D1" s="7" t="s">
        <v>7</v>
      </c>
      <c r="E1" s="1" t="s">
        <v>12</v>
      </c>
      <c r="F1" s="1" t="s">
        <v>108</v>
      </c>
      <c r="G1" s="1" t="s">
        <v>112</v>
      </c>
      <c r="H1" s="1" t="s">
        <v>116</v>
      </c>
      <c r="I1" s="1" t="s">
        <v>119</v>
      </c>
      <c r="J1" s="1" t="s">
        <v>123</v>
      </c>
      <c r="K1" s="1" t="s">
        <v>127</v>
      </c>
      <c r="L1" s="1" t="s">
        <v>17</v>
      </c>
      <c r="M1" s="1" t="s">
        <v>19</v>
      </c>
      <c r="N1" s="1" t="s">
        <v>255</v>
      </c>
      <c r="O1" s="1" t="s">
        <v>256</v>
      </c>
      <c r="P1" s="1" t="s">
        <v>257</v>
      </c>
      <c r="Q1" s="1" t="s">
        <v>258</v>
      </c>
      <c r="R1" s="1" t="s">
        <v>260</v>
      </c>
      <c r="S1" s="1" t="s">
        <v>261</v>
      </c>
      <c r="T1" s="38" t="s">
        <v>26</v>
      </c>
    </row>
    <row r="2">
      <c r="A2" s="15">
        <v>46303.0</v>
      </c>
      <c r="B2" s="1" t="s">
        <v>64</v>
      </c>
      <c r="C2" s="1" t="s">
        <v>266</v>
      </c>
      <c r="D2" s="7" t="s">
        <v>202</v>
      </c>
      <c r="E2" s="1" t="s">
        <v>194</v>
      </c>
      <c r="F2" s="1">
        <v>5.8</v>
      </c>
      <c r="G2" s="1">
        <v>1.196</v>
      </c>
      <c r="H2" s="1">
        <v>0.4</v>
      </c>
      <c r="I2" s="1">
        <v>1.085</v>
      </c>
      <c r="J2" s="1">
        <v>1.1</v>
      </c>
      <c r="K2" s="1">
        <v>1.102</v>
      </c>
      <c r="M2" s="1" t="s">
        <v>270</v>
      </c>
      <c r="N2" s="1">
        <v>5.8</v>
      </c>
      <c r="O2" s="1">
        <v>1.196</v>
      </c>
      <c r="P2" s="1">
        <v>0.4</v>
      </c>
      <c r="Q2" s="1">
        <v>1.085</v>
      </c>
      <c r="R2" s="1">
        <v>1.1</v>
      </c>
      <c r="S2" s="1">
        <v>1.102</v>
      </c>
      <c r="T2" s="20" t="str">
        <f t="shared" ref="T2:T240" si="1">if(OR(F2&lt;&gt;N2, G2&lt;&gt;O2, H2&lt;&gt;P2, I2&lt;&gt;Q2, J2&lt;&gt;R2, K2&lt;&gt;S2), "FLAG","")</f>
        <v/>
      </c>
    </row>
    <row r="3">
      <c r="A3" s="15">
        <v>46303.0</v>
      </c>
      <c r="B3" s="1" t="s">
        <v>64</v>
      </c>
      <c r="C3" s="1" t="s">
        <v>266</v>
      </c>
      <c r="D3" s="7" t="s">
        <v>202</v>
      </c>
      <c r="E3" s="1" t="s">
        <v>235</v>
      </c>
      <c r="F3" s="1">
        <v>1.8</v>
      </c>
      <c r="G3" s="1">
        <v>1.118</v>
      </c>
      <c r="H3" s="1">
        <v>0.2</v>
      </c>
      <c r="I3" s="1">
        <v>1.082</v>
      </c>
      <c r="J3" s="1">
        <v>0.0</v>
      </c>
      <c r="K3" s="1">
        <v>1.077</v>
      </c>
      <c r="M3" s="1" t="s">
        <v>270</v>
      </c>
      <c r="N3" s="1">
        <v>1.8</v>
      </c>
      <c r="O3" s="1">
        <v>1.118</v>
      </c>
      <c r="P3" s="1">
        <v>0.2</v>
      </c>
      <c r="Q3" s="1">
        <v>1.082</v>
      </c>
      <c r="R3" s="1">
        <v>0.0</v>
      </c>
      <c r="S3" s="1">
        <v>1.077</v>
      </c>
      <c r="T3" s="20" t="str">
        <f t="shared" si="1"/>
        <v/>
      </c>
    </row>
    <row r="4">
      <c r="A4" s="15">
        <v>46303.0</v>
      </c>
      <c r="B4" s="1" t="s">
        <v>64</v>
      </c>
      <c r="C4" s="1" t="s">
        <v>266</v>
      </c>
      <c r="D4" s="7" t="s">
        <v>202</v>
      </c>
      <c r="E4" s="1" t="s">
        <v>235</v>
      </c>
      <c r="F4" s="1">
        <v>1.7</v>
      </c>
      <c r="G4" s="1">
        <v>1.114</v>
      </c>
      <c r="H4" s="1" t="s">
        <v>289</v>
      </c>
      <c r="I4" s="1" t="s">
        <v>289</v>
      </c>
      <c r="J4" s="1" t="s">
        <v>289</v>
      </c>
      <c r="K4" s="1" t="s">
        <v>289</v>
      </c>
      <c r="M4" s="1" t="s">
        <v>270</v>
      </c>
      <c r="N4" s="1">
        <v>1.7</v>
      </c>
      <c r="O4" s="1">
        <v>1.114</v>
      </c>
      <c r="P4" s="1" t="s">
        <v>289</v>
      </c>
      <c r="Q4" s="1" t="s">
        <v>289</v>
      </c>
      <c r="R4" s="1" t="s">
        <v>289</v>
      </c>
      <c r="S4" s="1" t="s">
        <v>289</v>
      </c>
      <c r="T4" s="20" t="str">
        <f t="shared" si="1"/>
        <v/>
      </c>
    </row>
    <row r="5">
      <c r="A5" s="15">
        <v>46303.0</v>
      </c>
      <c r="B5" s="1" t="s">
        <v>234</v>
      </c>
      <c r="C5" s="1" t="s">
        <v>266</v>
      </c>
      <c r="D5" s="7" t="s">
        <v>281</v>
      </c>
      <c r="E5" s="1" t="s">
        <v>121</v>
      </c>
      <c r="F5" s="1">
        <v>0.0</v>
      </c>
      <c r="G5" s="1">
        <v>1.031</v>
      </c>
      <c r="H5" s="1">
        <v>0.1</v>
      </c>
      <c r="I5" s="1">
        <v>1.077</v>
      </c>
      <c r="J5" s="1">
        <v>0.0</v>
      </c>
      <c r="K5" s="1">
        <v>1.074</v>
      </c>
      <c r="M5" s="1" t="s">
        <v>270</v>
      </c>
      <c r="N5" s="1">
        <v>0.0</v>
      </c>
      <c r="O5" s="1">
        <v>1.031</v>
      </c>
      <c r="P5" s="1">
        <v>0.1</v>
      </c>
      <c r="Q5" s="1">
        <v>1.077</v>
      </c>
      <c r="R5" s="1">
        <v>0.0</v>
      </c>
      <c r="S5" s="1">
        <v>1.074</v>
      </c>
      <c r="T5" s="20" t="str">
        <f t="shared" si="1"/>
        <v/>
      </c>
    </row>
    <row r="6">
      <c r="A6" s="15">
        <v>46303.0</v>
      </c>
      <c r="B6" s="1" t="s">
        <v>234</v>
      </c>
      <c r="C6" s="1" t="s">
        <v>266</v>
      </c>
      <c r="D6" s="7" t="s">
        <v>281</v>
      </c>
      <c r="E6" s="1" t="s">
        <v>98</v>
      </c>
      <c r="F6" s="1">
        <v>0.0</v>
      </c>
      <c r="G6" s="1">
        <v>1.035</v>
      </c>
      <c r="H6" s="1">
        <v>0.1</v>
      </c>
      <c r="I6" s="1">
        <v>1.078</v>
      </c>
      <c r="J6" s="1">
        <v>0.0</v>
      </c>
      <c r="K6" s="1">
        <v>1.066</v>
      </c>
      <c r="M6" s="1" t="s">
        <v>270</v>
      </c>
      <c r="N6" s="1">
        <v>0.0</v>
      </c>
      <c r="O6" s="1">
        <v>1.035</v>
      </c>
      <c r="P6" s="1">
        <v>0.1</v>
      </c>
      <c r="Q6" s="1">
        <v>1.078</v>
      </c>
      <c r="R6" s="1">
        <v>0.0</v>
      </c>
      <c r="S6" s="1">
        <v>1.066</v>
      </c>
      <c r="T6" s="20" t="str">
        <f t="shared" si="1"/>
        <v/>
      </c>
    </row>
    <row r="7">
      <c r="A7" s="15">
        <v>46303.0</v>
      </c>
      <c r="B7" s="1" t="s">
        <v>209</v>
      </c>
      <c r="C7" s="1" t="s">
        <v>266</v>
      </c>
      <c r="D7" s="7" t="s">
        <v>281</v>
      </c>
      <c r="E7" s="1" t="s">
        <v>194</v>
      </c>
      <c r="F7" s="1">
        <v>1.3</v>
      </c>
      <c r="G7" s="1">
        <v>1.102</v>
      </c>
      <c r="H7" s="1">
        <v>8.6</v>
      </c>
      <c r="I7" s="1">
        <v>1.239</v>
      </c>
      <c r="J7" s="1">
        <v>0.0</v>
      </c>
      <c r="K7" s="1">
        <v>1.075</v>
      </c>
      <c r="M7" s="1" t="s">
        <v>270</v>
      </c>
      <c r="N7" s="1">
        <v>1.3</v>
      </c>
      <c r="O7" s="1">
        <v>1.102</v>
      </c>
      <c r="P7" s="1">
        <v>8.6</v>
      </c>
      <c r="Q7" s="1">
        <v>1.239</v>
      </c>
      <c r="R7" s="1">
        <v>0.0</v>
      </c>
      <c r="S7" s="1">
        <v>1.075</v>
      </c>
      <c r="T7" s="20" t="str">
        <f t="shared" si="1"/>
        <v/>
      </c>
    </row>
    <row r="8">
      <c r="A8" s="15">
        <v>46303.0</v>
      </c>
      <c r="B8" s="1" t="s">
        <v>209</v>
      </c>
      <c r="C8" s="1" t="s">
        <v>266</v>
      </c>
      <c r="D8" s="7" t="s">
        <v>281</v>
      </c>
      <c r="E8" s="1" t="s">
        <v>194</v>
      </c>
      <c r="F8" s="1">
        <v>0.0</v>
      </c>
      <c r="G8" s="1">
        <v>1.052</v>
      </c>
      <c r="H8" s="1">
        <v>0.0</v>
      </c>
      <c r="I8" s="1">
        <v>1.039</v>
      </c>
      <c r="J8" s="1">
        <v>0.0</v>
      </c>
      <c r="K8" s="1">
        <v>1.066</v>
      </c>
      <c r="M8" s="1" t="s">
        <v>270</v>
      </c>
      <c r="N8" s="1">
        <v>0.0</v>
      </c>
      <c r="O8" s="1">
        <v>1.052</v>
      </c>
      <c r="P8" s="1">
        <v>0.0</v>
      </c>
      <c r="Q8" s="1">
        <v>1.039</v>
      </c>
      <c r="R8" s="1">
        <v>0.0</v>
      </c>
      <c r="S8" s="1">
        <v>1.066</v>
      </c>
      <c r="T8" s="20" t="str">
        <f t="shared" si="1"/>
        <v/>
      </c>
    </row>
    <row r="9">
      <c r="A9" s="15">
        <v>46303.0</v>
      </c>
      <c r="B9" s="1" t="s">
        <v>209</v>
      </c>
      <c r="C9" s="1" t="s">
        <v>266</v>
      </c>
      <c r="D9" s="7" t="s">
        <v>281</v>
      </c>
      <c r="E9" s="1" t="s">
        <v>194</v>
      </c>
      <c r="F9" s="1">
        <v>2.7</v>
      </c>
      <c r="G9" s="1">
        <v>1.135</v>
      </c>
      <c r="H9" s="1">
        <v>2.5</v>
      </c>
      <c r="I9" s="1">
        <v>1.13</v>
      </c>
      <c r="J9" s="1">
        <v>0.3</v>
      </c>
      <c r="K9" s="1">
        <v>1.082</v>
      </c>
      <c r="M9" s="1" t="s">
        <v>270</v>
      </c>
      <c r="N9" s="1">
        <v>2.7</v>
      </c>
      <c r="O9" s="1">
        <v>1.135</v>
      </c>
      <c r="P9" s="1">
        <v>2.5</v>
      </c>
      <c r="Q9" s="1">
        <v>1.13</v>
      </c>
      <c r="R9" s="1">
        <v>0.3</v>
      </c>
      <c r="S9" s="1">
        <v>1.082</v>
      </c>
      <c r="T9" s="20" t="str">
        <f t="shared" si="1"/>
        <v/>
      </c>
    </row>
    <row r="10">
      <c r="A10" s="15">
        <v>46303.0</v>
      </c>
      <c r="B10" s="1" t="s">
        <v>99</v>
      </c>
      <c r="C10" s="1" t="s">
        <v>266</v>
      </c>
      <c r="D10" s="7" t="s">
        <v>78</v>
      </c>
      <c r="E10" s="1" t="s">
        <v>194</v>
      </c>
      <c r="F10" s="1">
        <v>0.4</v>
      </c>
      <c r="G10" s="1">
        <v>1.085</v>
      </c>
      <c r="H10" s="1">
        <v>0.0</v>
      </c>
      <c r="I10" s="1">
        <v>1.032</v>
      </c>
      <c r="J10" s="1">
        <v>0.5</v>
      </c>
      <c r="K10" s="1">
        <v>1.089</v>
      </c>
      <c r="M10" s="1" t="s">
        <v>270</v>
      </c>
      <c r="N10" s="1">
        <v>0.4</v>
      </c>
      <c r="O10" s="1">
        <v>1.085</v>
      </c>
      <c r="P10" s="1">
        <v>0.0</v>
      </c>
      <c r="Q10" s="1">
        <v>1.032</v>
      </c>
      <c r="R10" s="1">
        <v>0.5</v>
      </c>
      <c r="S10" s="1">
        <v>1.089</v>
      </c>
      <c r="T10" s="20" t="str">
        <f t="shared" si="1"/>
        <v/>
      </c>
    </row>
    <row r="11">
      <c r="A11" s="15">
        <v>46303.0</v>
      </c>
      <c r="B11" s="1" t="s">
        <v>99</v>
      </c>
      <c r="C11" s="1" t="s">
        <v>266</v>
      </c>
      <c r="D11" s="7" t="s">
        <v>227</v>
      </c>
      <c r="E11" s="1" t="s">
        <v>98</v>
      </c>
      <c r="F11" s="1">
        <v>2.4</v>
      </c>
      <c r="G11" s="1">
        <v>1.13</v>
      </c>
      <c r="H11" s="1">
        <v>0.6</v>
      </c>
      <c r="I11" s="1">
        <v>1.091</v>
      </c>
      <c r="J11" s="1">
        <v>2.3</v>
      </c>
      <c r="K11" s="1">
        <v>1.129</v>
      </c>
      <c r="M11" s="1" t="s">
        <v>270</v>
      </c>
      <c r="N11" s="1">
        <v>2.4</v>
      </c>
      <c r="O11" s="1">
        <v>1.13</v>
      </c>
      <c r="P11" s="1">
        <v>0.6</v>
      </c>
      <c r="Q11" s="1">
        <v>1.091</v>
      </c>
      <c r="R11" s="1">
        <v>2.3</v>
      </c>
      <c r="S11" s="1">
        <v>1.129</v>
      </c>
      <c r="T11" s="20" t="str">
        <f t="shared" si="1"/>
        <v/>
      </c>
    </row>
    <row r="12">
      <c r="A12" s="15">
        <v>46303.0</v>
      </c>
      <c r="B12" s="1" t="s">
        <v>99</v>
      </c>
      <c r="C12" s="1" t="s">
        <v>266</v>
      </c>
      <c r="D12" s="7" t="s">
        <v>227</v>
      </c>
      <c r="E12" s="1" t="s">
        <v>121</v>
      </c>
      <c r="F12" s="1">
        <v>1.4</v>
      </c>
      <c r="G12" s="1">
        <v>1.109</v>
      </c>
      <c r="H12" s="1">
        <v>0.0</v>
      </c>
      <c r="I12" s="1">
        <v>1.074</v>
      </c>
      <c r="J12" s="1">
        <v>1.6</v>
      </c>
      <c r="K12" s="1">
        <v>1.114</v>
      </c>
      <c r="M12" s="1" t="s">
        <v>270</v>
      </c>
      <c r="N12" s="1">
        <v>1.4</v>
      </c>
      <c r="O12" s="1">
        <v>1.109</v>
      </c>
      <c r="P12" s="1">
        <v>0.0</v>
      </c>
      <c r="Q12" s="1">
        <v>1.074</v>
      </c>
      <c r="R12" s="1">
        <v>1.6</v>
      </c>
      <c r="S12" s="1">
        <v>1.114</v>
      </c>
      <c r="T12" s="20" t="str">
        <f t="shared" si="1"/>
        <v/>
      </c>
    </row>
    <row r="13">
      <c r="A13" s="15">
        <v>46303.0</v>
      </c>
      <c r="B13" s="1" t="s">
        <v>192</v>
      </c>
      <c r="C13" s="1" t="s">
        <v>266</v>
      </c>
      <c r="D13" s="7" t="s">
        <v>202</v>
      </c>
      <c r="E13" s="1" t="s">
        <v>98</v>
      </c>
      <c r="F13" s="1">
        <v>1.4</v>
      </c>
      <c r="G13" s="1">
        <v>1.107</v>
      </c>
      <c r="H13" s="1">
        <v>1.5</v>
      </c>
      <c r="I13" s="1">
        <v>1.108</v>
      </c>
      <c r="J13" s="1">
        <v>1.9</v>
      </c>
      <c r="K13" s="1">
        <v>1.116</v>
      </c>
      <c r="M13" s="1" t="s">
        <v>270</v>
      </c>
      <c r="N13" s="1">
        <v>1.4</v>
      </c>
      <c r="O13" s="1">
        <v>1.107</v>
      </c>
      <c r="P13" s="1">
        <v>1.5</v>
      </c>
      <c r="Q13" s="1">
        <v>1.108</v>
      </c>
      <c r="R13" s="1">
        <v>1.9</v>
      </c>
      <c r="S13" s="1">
        <v>1.116</v>
      </c>
      <c r="T13" s="20" t="str">
        <f t="shared" si="1"/>
        <v/>
      </c>
    </row>
    <row r="14">
      <c r="A14" s="15">
        <v>46303.0</v>
      </c>
      <c r="B14" s="1" t="s">
        <v>192</v>
      </c>
      <c r="C14" s="1" t="s">
        <v>266</v>
      </c>
      <c r="D14" s="7" t="s">
        <v>202</v>
      </c>
      <c r="E14" s="1" t="s">
        <v>121</v>
      </c>
      <c r="F14" s="1">
        <v>0.1</v>
      </c>
      <c r="G14" s="1">
        <v>1.076</v>
      </c>
      <c r="H14" s="1">
        <v>1.1</v>
      </c>
      <c r="I14" s="1">
        <v>1.099</v>
      </c>
      <c r="J14" s="1">
        <v>0.8</v>
      </c>
      <c r="K14" s="1">
        <v>1.092</v>
      </c>
      <c r="M14" s="1" t="s">
        <v>270</v>
      </c>
      <c r="N14" s="1">
        <v>0.1</v>
      </c>
      <c r="O14" s="1">
        <v>1.076</v>
      </c>
      <c r="P14" s="1">
        <v>1.1</v>
      </c>
      <c r="Q14" s="1">
        <v>1.099</v>
      </c>
      <c r="R14" s="1">
        <v>0.8</v>
      </c>
      <c r="S14" s="1">
        <v>1.092</v>
      </c>
      <c r="T14" s="20" t="str">
        <f t="shared" si="1"/>
        <v/>
      </c>
    </row>
    <row r="15">
      <c r="A15" s="15">
        <v>46303.0</v>
      </c>
      <c r="B15" s="1" t="s">
        <v>104</v>
      </c>
      <c r="C15" s="1" t="s">
        <v>266</v>
      </c>
      <c r="D15" s="7" t="s">
        <v>78</v>
      </c>
      <c r="E15" s="1" t="s">
        <v>121</v>
      </c>
      <c r="F15" s="1">
        <v>2.7</v>
      </c>
      <c r="G15" s="1">
        <v>1.134</v>
      </c>
      <c r="H15" s="1">
        <v>1.4</v>
      </c>
      <c r="I15" s="1">
        <v>1.105</v>
      </c>
      <c r="J15" s="1">
        <v>0.0</v>
      </c>
      <c r="K15" s="1">
        <v>1.027</v>
      </c>
      <c r="M15" s="1" t="s">
        <v>270</v>
      </c>
      <c r="N15" s="1">
        <v>2.7</v>
      </c>
      <c r="O15" s="1">
        <v>1.134</v>
      </c>
      <c r="P15" s="1">
        <v>1.4</v>
      </c>
      <c r="Q15" s="1">
        <v>1.105</v>
      </c>
      <c r="R15" s="1">
        <v>0.0</v>
      </c>
      <c r="S15" s="1">
        <v>1.027</v>
      </c>
      <c r="T15" s="20" t="str">
        <f t="shared" si="1"/>
        <v/>
      </c>
    </row>
    <row r="16">
      <c r="A16" s="15">
        <v>46303.0</v>
      </c>
      <c r="B16" s="1" t="s">
        <v>104</v>
      </c>
      <c r="C16" s="1" t="s">
        <v>266</v>
      </c>
      <c r="D16" s="7" t="s">
        <v>78</v>
      </c>
      <c r="E16" s="1" t="s">
        <v>98</v>
      </c>
      <c r="F16" s="1">
        <v>2.6</v>
      </c>
      <c r="G16" s="1">
        <v>1.13</v>
      </c>
      <c r="H16" s="1">
        <v>1.3</v>
      </c>
      <c r="I16" s="1">
        <v>1.104</v>
      </c>
      <c r="J16" s="1">
        <v>0.7</v>
      </c>
      <c r="K16" s="1">
        <v>1.091</v>
      </c>
      <c r="M16" s="1" t="s">
        <v>270</v>
      </c>
      <c r="N16" s="1">
        <v>2.6</v>
      </c>
      <c r="O16" s="1">
        <v>1.13</v>
      </c>
      <c r="P16" s="1">
        <v>1.3</v>
      </c>
      <c r="Q16" s="1">
        <v>1.104</v>
      </c>
      <c r="R16" s="1">
        <v>0.7</v>
      </c>
      <c r="S16" s="1">
        <v>1.091</v>
      </c>
      <c r="T16" s="20" t="str">
        <f t="shared" si="1"/>
        <v/>
      </c>
    </row>
    <row r="17">
      <c r="A17" s="15">
        <v>46303.0</v>
      </c>
      <c r="B17" s="1" t="s">
        <v>104</v>
      </c>
      <c r="C17" s="1" t="s">
        <v>266</v>
      </c>
      <c r="D17" s="7" t="s">
        <v>227</v>
      </c>
      <c r="E17" s="1" t="s">
        <v>194</v>
      </c>
      <c r="F17" s="1">
        <v>4.1</v>
      </c>
      <c r="G17" s="1">
        <v>1.161</v>
      </c>
      <c r="H17" s="1">
        <v>1.8</v>
      </c>
      <c r="I17" s="1">
        <v>1.113</v>
      </c>
      <c r="J17" s="1">
        <v>1.2</v>
      </c>
      <c r="K17" s="1">
        <v>1.101</v>
      </c>
      <c r="M17" s="1" t="s">
        <v>270</v>
      </c>
      <c r="N17" s="1">
        <v>4.1</v>
      </c>
      <c r="O17" s="1">
        <v>1.161</v>
      </c>
      <c r="P17" s="1">
        <v>1.8</v>
      </c>
      <c r="Q17" s="1">
        <v>1.113</v>
      </c>
      <c r="R17" s="1">
        <v>1.2</v>
      </c>
      <c r="S17" s="1">
        <v>1.101</v>
      </c>
      <c r="T17" s="20" t="str">
        <f t="shared" si="1"/>
        <v/>
      </c>
    </row>
    <row r="18">
      <c r="A18" s="15">
        <v>46303.0</v>
      </c>
      <c r="B18" s="1" t="s">
        <v>104</v>
      </c>
      <c r="C18" s="1" t="s">
        <v>266</v>
      </c>
      <c r="D18" s="7" t="s">
        <v>227</v>
      </c>
      <c r="E18" s="1" t="s">
        <v>235</v>
      </c>
      <c r="F18" s="1" t="s">
        <v>289</v>
      </c>
      <c r="G18" s="1" t="s">
        <v>289</v>
      </c>
      <c r="H18" s="1" t="s">
        <v>289</v>
      </c>
      <c r="I18" s="1" t="s">
        <v>289</v>
      </c>
      <c r="J18" s="1" t="s">
        <v>289</v>
      </c>
      <c r="K18" s="1" t="s">
        <v>289</v>
      </c>
      <c r="M18" s="1" t="s">
        <v>270</v>
      </c>
      <c r="N18" s="1" t="s">
        <v>289</v>
      </c>
      <c r="O18" s="1" t="s">
        <v>289</v>
      </c>
      <c r="P18" s="1" t="s">
        <v>289</v>
      </c>
      <c r="Q18" s="1" t="s">
        <v>289</v>
      </c>
      <c r="R18" s="1" t="s">
        <v>289</v>
      </c>
      <c r="S18" s="1" t="s">
        <v>289</v>
      </c>
      <c r="T18" s="20" t="str">
        <f t="shared" si="1"/>
        <v/>
      </c>
    </row>
    <row r="19">
      <c r="A19" s="15">
        <v>46316.0</v>
      </c>
      <c r="B19" s="20"/>
      <c r="C19" s="1" t="s">
        <v>336</v>
      </c>
      <c r="D19" s="7" t="s">
        <v>338</v>
      </c>
      <c r="E19" s="1" t="s">
        <v>121</v>
      </c>
      <c r="F19" s="1">
        <v>19.9</v>
      </c>
      <c r="G19" s="1">
        <v>1.421</v>
      </c>
      <c r="H19" s="1">
        <v>15.6</v>
      </c>
      <c r="I19" s="1">
        <v>1.359</v>
      </c>
      <c r="J19" s="1">
        <v>13.9</v>
      </c>
      <c r="K19" s="1">
        <v>1.335</v>
      </c>
      <c r="L19" s="1" t="s">
        <v>342</v>
      </c>
      <c r="T19" s="20" t="str">
        <f t="shared" si="1"/>
        <v>FLAG</v>
      </c>
    </row>
    <row r="20">
      <c r="A20" s="15">
        <v>46316.0</v>
      </c>
      <c r="B20" s="20"/>
      <c r="C20" s="1" t="s">
        <v>336</v>
      </c>
      <c r="D20" s="7" t="s">
        <v>338</v>
      </c>
      <c r="E20" s="1" t="s">
        <v>194</v>
      </c>
      <c r="F20" s="1">
        <v>16.3</v>
      </c>
      <c r="G20" s="1">
        <v>1.369</v>
      </c>
      <c r="H20" s="1">
        <v>2.8</v>
      </c>
      <c r="I20" s="1">
        <v>1.136</v>
      </c>
      <c r="J20" s="1">
        <v>8.9</v>
      </c>
      <c r="K20" s="1">
        <v>1.253</v>
      </c>
      <c r="L20" s="1" t="s">
        <v>342</v>
      </c>
      <c r="T20" s="20" t="str">
        <f t="shared" si="1"/>
        <v>FLAG</v>
      </c>
    </row>
    <row r="21">
      <c r="A21" s="15">
        <v>46316.0</v>
      </c>
      <c r="B21" s="20"/>
      <c r="C21" s="1" t="s">
        <v>336</v>
      </c>
      <c r="D21" s="7" t="s">
        <v>338</v>
      </c>
      <c r="E21" s="1" t="s">
        <v>98</v>
      </c>
      <c r="F21" s="1">
        <v>10.3</v>
      </c>
      <c r="G21" s="1">
        <v>1.278</v>
      </c>
      <c r="H21" s="1">
        <v>5.0</v>
      </c>
      <c r="I21" s="1">
        <v>1.181</v>
      </c>
      <c r="J21" s="1">
        <v>2.3</v>
      </c>
      <c r="K21" s="1">
        <v>1.127</v>
      </c>
      <c r="L21" s="1" t="s">
        <v>342</v>
      </c>
      <c r="T21" s="20" t="str">
        <f t="shared" si="1"/>
        <v>FLAG</v>
      </c>
    </row>
    <row r="22">
      <c r="A22" s="15">
        <v>46316.0</v>
      </c>
      <c r="B22" s="20"/>
      <c r="C22" s="1" t="s">
        <v>336</v>
      </c>
      <c r="D22" s="7" t="s">
        <v>350</v>
      </c>
      <c r="E22" s="1" t="s">
        <v>194</v>
      </c>
      <c r="F22" s="1">
        <v>9.6</v>
      </c>
      <c r="G22" s="1">
        <v>1.261</v>
      </c>
      <c r="H22" s="1">
        <v>7.3</v>
      </c>
      <c r="I22" s="1">
        <v>1.225</v>
      </c>
      <c r="J22" s="1">
        <v>12.5</v>
      </c>
      <c r="K22" s="1">
        <v>1.311</v>
      </c>
      <c r="L22" s="1" t="s">
        <v>342</v>
      </c>
      <c r="T22" s="20" t="str">
        <f t="shared" si="1"/>
        <v>FLAG</v>
      </c>
    </row>
    <row r="23">
      <c r="A23" s="15">
        <v>46316.0</v>
      </c>
      <c r="B23" s="20"/>
      <c r="C23" s="1" t="s">
        <v>336</v>
      </c>
      <c r="D23" s="7" t="s">
        <v>350</v>
      </c>
      <c r="E23" s="1" t="s">
        <v>121</v>
      </c>
      <c r="F23" s="1">
        <v>14.9</v>
      </c>
      <c r="G23" s="1">
        <v>1.348</v>
      </c>
      <c r="H23" s="1">
        <v>12.6</v>
      </c>
      <c r="I23" s="1">
        <v>1.313</v>
      </c>
      <c r="J23" s="39">
        <v>14.3</v>
      </c>
      <c r="K23" s="1">
        <v>1.345</v>
      </c>
      <c r="L23" s="1" t="s">
        <v>342</v>
      </c>
      <c r="T23" s="20" t="str">
        <f t="shared" si="1"/>
        <v>FLAG</v>
      </c>
    </row>
    <row r="24">
      <c r="A24" s="15">
        <v>46316.0</v>
      </c>
      <c r="B24" s="20"/>
      <c r="C24" s="1" t="s">
        <v>336</v>
      </c>
      <c r="D24" s="7" t="s">
        <v>114</v>
      </c>
      <c r="E24" s="1" t="s">
        <v>121</v>
      </c>
      <c r="F24" s="1">
        <v>9.2</v>
      </c>
      <c r="G24" s="1">
        <v>1.257</v>
      </c>
      <c r="H24" s="1">
        <v>8.4</v>
      </c>
      <c r="I24" s="1">
        <v>1.249</v>
      </c>
      <c r="J24" s="39">
        <v>18.9</v>
      </c>
      <c r="K24" s="1">
        <v>1.411</v>
      </c>
      <c r="L24" s="1" t="s">
        <v>342</v>
      </c>
      <c r="T24" s="20" t="str">
        <f t="shared" si="1"/>
        <v>FLAG</v>
      </c>
    </row>
    <row r="25">
      <c r="A25" s="15">
        <v>46316.0</v>
      </c>
      <c r="B25" s="20"/>
      <c r="C25" s="1" t="s">
        <v>336</v>
      </c>
      <c r="D25" s="7" t="s">
        <v>114</v>
      </c>
      <c r="E25" s="1" t="s">
        <v>194</v>
      </c>
      <c r="F25" s="1">
        <v>16.8</v>
      </c>
      <c r="G25" s="1">
        <v>1.381</v>
      </c>
      <c r="H25" s="1">
        <v>14.9</v>
      </c>
      <c r="I25" s="1">
        <v>1.353</v>
      </c>
      <c r="J25" s="39">
        <v>17.3</v>
      </c>
      <c r="K25" s="1">
        <v>1.387</v>
      </c>
      <c r="L25" s="1" t="s">
        <v>342</v>
      </c>
      <c r="T25" s="20" t="str">
        <f t="shared" si="1"/>
        <v>FLAG</v>
      </c>
    </row>
    <row r="26">
      <c r="A26" s="15">
        <v>46316.0</v>
      </c>
      <c r="B26" s="20"/>
      <c r="C26" s="1" t="s">
        <v>336</v>
      </c>
      <c r="D26" s="7" t="s">
        <v>114</v>
      </c>
      <c r="E26" s="1" t="s">
        <v>98</v>
      </c>
      <c r="F26" s="1">
        <v>14.4</v>
      </c>
      <c r="G26" s="1">
        <v>1.343</v>
      </c>
      <c r="H26" s="1">
        <v>9.5</v>
      </c>
      <c r="I26" s="1">
        <v>1.264</v>
      </c>
      <c r="J26" s="39">
        <v>10.8</v>
      </c>
      <c r="K26" s="1">
        <v>1.284</v>
      </c>
      <c r="L26" s="1" t="s">
        <v>342</v>
      </c>
      <c r="T26" s="20" t="str">
        <f t="shared" si="1"/>
        <v>FLAG</v>
      </c>
    </row>
    <row r="27">
      <c r="A27" s="15">
        <v>46316.0</v>
      </c>
      <c r="B27" s="20"/>
      <c r="C27" s="1" t="s">
        <v>336</v>
      </c>
      <c r="D27" s="7" t="s">
        <v>364</v>
      </c>
      <c r="E27" s="1" t="s">
        <v>121</v>
      </c>
      <c r="F27" s="1">
        <v>14.2</v>
      </c>
      <c r="G27" s="1">
        <v>1.344</v>
      </c>
      <c r="H27" s="1">
        <v>15.9</v>
      </c>
      <c r="I27" s="1">
        <v>1.368</v>
      </c>
      <c r="J27" s="39">
        <v>10.4</v>
      </c>
      <c r="K27" s="1">
        <v>1.283</v>
      </c>
      <c r="L27" s="1" t="s">
        <v>342</v>
      </c>
      <c r="T27" s="20" t="str">
        <f t="shared" si="1"/>
        <v>FLAG</v>
      </c>
    </row>
    <row r="28">
      <c r="A28" s="15">
        <v>46316.0</v>
      </c>
      <c r="B28" s="20"/>
      <c r="C28" s="1" t="s">
        <v>336</v>
      </c>
      <c r="D28" s="7" t="s">
        <v>364</v>
      </c>
      <c r="E28" s="1" t="s">
        <v>98</v>
      </c>
      <c r="F28" s="1">
        <v>15.2</v>
      </c>
      <c r="G28" s="1">
        <v>1.357</v>
      </c>
      <c r="H28" s="1">
        <v>10.1</v>
      </c>
      <c r="I28" s="1">
        <v>1.275</v>
      </c>
      <c r="J28" s="39">
        <v>8.5</v>
      </c>
      <c r="K28" s="1">
        <v>1.25</v>
      </c>
      <c r="L28" s="1" t="s">
        <v>342</v>
      </c>
      <c r="T28" s="20" t="str">
        <f t="shared" si="1"/>
        <v>FLAG</v>
      </c>
    </row>
    <row r="29">
      <c r="A29" s="15">
        <v>46316.0</v>
      </c>
      <c r="B29" s="20"/>
      <c r="C29" s="1" t="s">
        <v>336</v>
      </c>
      <c r="D29" s="7" t="s">
        <v>364</v>
      </c>
      <c r="E29" s="1" t="s">
        <v>194</v>
      </c>
      <c r="F29" s="1">
        <v>17.4</v>
      </c>
      <c r="G29" s="1">
        <v>1.386</v>
      </c>
      <c r="H29" s="1">
        <v>12.7</v>
      </c>
      <c r="I29" s="1">
        <v>1.318</v>
      </c>
      <c r="J29" s="39">
        <v>19.0</v>
      </c>
      <c r="K29" s="1">
        <v>1.409</v>
      </c>
      <c r="L29" s="1" t="s">
        <v>342</v>
      </c>
      <c r="T29" s="20" t="str">
        <f t="shared" si="1"/>
        <v>FLAG</v>
      </c>
    </row>
    <row r="30">
      <c r="A30" s="15">
        <v>46316.0</v>
      </c>
      <c r="B30" s="20"/>
      <c r="C30" s="1" t="s">
        <v>336</v>
      </c>
      <c r="D30" s="7" t="s">
        <v>364</v>
      </c>
      <c r="E30" s="1" t="s">
        <v>98</v>
      </c>
      <c r="F30" s="1">
        <v>4.2</v>
      </c>
      <c r="G30" s="1">
        <v>1.169</v>
      </c>
      <c r="H30" s="1">
        <v>5.6</v>
      </c>
      <c r="I30" s="1">
        <v>1.196</v>
      </c>
      <c r="J30" s="1">
        <v>17.3</v>
      </c>
      <c r="K30" s="1">
        <v>1.39</v>
      </c>
      <c r="L30" s="1" t="s">
        <v>342</v>
      </c>
      <c r="T30" s="20" t="str">
        <f t="shared" si="1"/>
        <v>FLAG</v>
      </c>
    </row>
    <row r="31">
      <c r="B31" s="20"/>
      <c r="D31" s="41"/>
      <c r="E31" s="20"/>
      <c r="T31" s="20" t="str">
        <f t="shared" si="1"/>
        <v/>
      </c>
    </row>
    <row r="32">
      <c r="B32" s="20"/>
      <c r="D32" s="41"/>
      <c r="E32" s="20"/>
      <c r="T32" s="20" t="str">
        <f t="shared" si="1"/>
        <v/>
      </c>
    </row>
    <row r="33">
      <c r="B33" s="20"/>
      <c r="D33" s="41"/>
      <c r="E33" s="20"/>
      <c r="T33" s="20" t="str">
        <f t="shared" si="1"/>
        <v/>
      </c>
    </row>
    <row r="34">
      <c r="B34" s="20"/>
      <c r="D34" s="41"/>
      <c r="E34" s="20"/>
      <c r="T34" s="20" t="str">
        <f t="shared" si="1"/>
        <v/>
      </c>
    </row>
    <row r="35">
      <c r="B35" s="20"/>
      <c r="D35" s="41"/>
      <c r="E35" s="20"/>
      <c r="T35" s="20" t="str">
        <f t="shared" si="1"/>
        <v/>
      </c>
    </row>
    <row r="36">
      <c r="B36" s="20"/>
      <c r="D36" s="41"/>
      <c r="E36" s="20"/>
      <c r="T36" s="20" t="str">
        <f t="shared" si="1"/>
        <v/>
      </c>
    </row>
    <row r="37">
      <c r="B37" s="20"/>
      <c r="D37" s="41"/>
      <c r="E37" s="20"/>
      <c r="T37" s="20" t="str">
        <f t="shared" si="1"/>
        <v/>
      </c>
    </row>
    <row r="38">
      <c r="B38" s="20"/>
      <c r="D38" s="41"/>
      <c r="E38" s="20"/>
      <c r="T38" s="20" t="str">
        <f t="shared" si="1"/>
        <v/>
      </c>
    </row>
    <row r="39">
      <c r="B39" s="20"/>
      <c r="D39" s="41"/>
      <c r="E39" s="20"/>
      <c r="T39" s="20" t="str">
        <f t="shared" si="1"/>
        <v/>
      </c>
    </row>
    <row r="40">
      <c r="B40" s="20"/>
      <c r="D40" s="41"/>
      <c r="E40" s="20"/>
      <c r="T40" s="20" t="str">
        <f t="shared" si="1"/>
        <v/>
      </c>
    </row>
    <row r="41">
      <c r="B41" s="20"/>
      <c r="D41" s="41"/>
      <c r="E41" s="20"/>
      <c r="T41" s="20" t="str">
        <f t="shared" si="1"/>
        <v/>
      </c>
    </row>
    <row r="42">
      <c r="B42" s="20"/>
      <c r="D42" s="41"/>
      <c r="E42" s="20"/>
      <c r="T42" s="20" t="str">
        <f t="shared" si="1"/>
        <v/>
      </c>
    </row>
    <row r="43">
      <c r="B43" s="20"/>
      <c r="D43" s="41"/>
      <c r="E43" s="20"/>
      <c r="T43" s="20" t="str">
        <f t="shared" si="1"/>
        <v/>
      </c>
    </row>
    <row r="44">
      <c r="B44" s="20"/>
      <c r="D44" s="41"/>
      <c r="E44" s="20"/>
      <c r="T44" s="20" t="str">
        <f t="shared" si="1"/>
        <v/>
      </c>
    </row>
    <row r="45">
      <c r="B45" s="20"/>
      <c r="D45" s="41"/>
      <c r="E45" s="20"/>
      <c r="T45" s="20" t="str">
        <f t="shared" si="1"/>
        <v/>
      </c>
    </row>
    <row r="46">
      <c r="B46" s="20"/>
      <c r="D46" s="41"/>
      <c r="E46" s="20"/>
      <c r="T46" s="20" t="str">
        <f t="shared" si="1"/>
        <v/>
      </c>
    </row>
    <row r="47">
      <c r="B47" s="20"/>
      <c r="D47" s="41"/>
      <c r="E47" s="20"/>
      <c r="T47" s="20" t="str">
        <f t="shared" si="1"/>
        <v/>
      </c>
    </row>
    <row r="48">
      <c r="B48" s="20"/>
      <c r="D48" s="41"/>
      <c r="E48" s="20"/>
      <c r="T48" s="20" t="str">
        <f t="shared" si="1"/>
        <v/>
      </c>
    </row>
    <row r="49">
      <c r="B49" s="20"/>
      <c r="D49" s="41"/>
      <c r="E49" s="20"/>
      <c r="T49" s="20" t="str">
        <f t="shared" si="1"/>
        <v/>
      </c>
    </row>
    <row r="50">
      <c r="B50" s="20"/>
      <c r="D50" s="41"/>
      <c r="E50" s="20"/>
      <c r="T50" s="20" t="str">
        <f t="shared" si="1"/>
        <v/>
      </c>
    </row>
    <row r="51">
      <c r="B51" s="20"/>
      <c r="D51" s="41"/>
      <c r="E51" s="20"/>
      <c r="T51" s="20" t="str">
        <f t="shared" si="1"/>
        <v/>
      </c>
    </row>
    <row r="52">
      <c r="B52" s="20"/>
      <c r="D52" s="41"/>
      <c r="E52" s="20"/>
      <c r="T52" s="20" t="str">
        <f t="shared" si="1"/>
        <v/>
      </c>
    </row>
    <row r="53">
      <c r="B53" s="20"/>
      <c r="D53" s="41"/>
      <c r="E53" s="20"/>
      <c r="T53" s="20" t="str">
        <f t="shared" si="1"/>
        <v/>
      </c>
    </row>
    <row r="54">
      <c r="B54" s="20"/>
      <c r="D54" s="41"/>
      <c r="E54" s="20"/>
      <c r="T54" s="20" t="str">
        <f t="shared" si="1"/>
        <v/>
      </c>
    </row>
    <row r="55">
      <c r="B55" s="20"/>
      <c r="D55" s="41"/>
      <c r="E55" s="20"/>
      <c r="T55" s="20" t="str">
        <f t="shared" si="1"/>
        <v/>
      </c>
    </row>
    <row r="56">
      <c r="B56" s="20"/>
      <c r="D56" s="41"/>
      <c r="E56" s="20"/>
      <c r="T56" s="20" t="str">
        <f t="shared" si="1"/>
        <v/>
      </c>
    </row>
    <row r="57">
      <c r="B57" s="20"/>
      <c r="D57" s="41"/>
      <c r="E57" s="20"/>
      <c r="T57" s="20" t="str">
        <f t="shared" si="1"/>
        <v/>
      </c>
    </row>
    <row r="58">
      <c r="B58" s="20"/>
      <c r="D58" s="41"/>
      <c r="E58" s="20"/>
      <c r="T58" s="20" t="str">
        <f t="shared" si="1"/>
        <v/>
      </c>
    </row>
    <row r="59">
      <c r="B59" s="20"/>
      <c r="D59" s="41"/>
      <c r="E59" s="20"/>
      <c r="T59" s="20" t="str">
        <f t="shared" si="1"/>
        <v/>
      </c>
    </row>
    <row r="60">
      <c r="B60" s="20"/>
      <c r="D60" s="41"/>
      <c r="E60" s="20"/>
      <c r="T60" s="20" t="str">
        <f t="shared" si="1"/>
        <v/>
      </c>
    </row>
    <row r="61">
      <c r="B61" s="20"/>
      <c r="D61" s="41"/>
      <c r="E61" s="20"/>
      <c r="T61" s="20" t="str">
        <f t="shared" si="1"/>
        <v/>
      </c>
    </row>
    <row r="62">
      <c r="B62" s="20"/>
      <c r="D62" s="41"/>
      <c r="E62" s="20"/>
      <c r="T62" s="20" t="str">
        <f t="shared" si="1"/>
        <v/>
      </c>
    </row>
    <row r="63">
      <c r="B63" s="20"/>
      <c r="D63" s="41"/>
      <c r="E63" s="20"/>
      <c r="T63" s="20" t="str">
        <f t="shared" si="1"/>
        <v/>
      </c>
    </row>
    <row r="64">
      <c r="B64" s="20"/>
      <c r="D64" s="41"/>
      <c r="E64" s="20"/>
      <c r="T64" s="20" t="str">
        <f t="shared" si="1"/>
        <v/>
      </c>
    </row>
    <row r="65">
      <c r="B65" s="20"/>
      <c r="D65" s="41"/>
      <c r="E65" s="20"/>
      <c r="T65" s="20" t="str">
        <f t="shared" si="1"/>
        <v/>
      </c>
    </row>
    <row r="66">
      <c r="B66" s="20"/>
      <c r="D66" s="41"/>
      <c r="E66" s="20"/>
      <c r="T66" s="20" t="str">
        <f t="shared" si="1"/>
        <v/>
      </c>
    </row>
    <row r="67">
      <c r="B67" s="20"/>
      <c r="D67" s="41"/>
      <c r="E67" s="20"/>
      <c r="T67" s="20" t="str">
        <f t="shared" si="1"/>
        <v/>
      </c>
    </row>
    <row r="68">
      <c r="B68" s="20"/>
      <c r="D68" s="41"/>
      <c r="E68" s="20"/>
      <c r="T68" s="20" t="str">
        <f t="shared" si="1"/>
        <v/>
      </c>
    </row>
    <row r="69">
      <c r="B69" s="20"/>
      <c r="D69" s="41"/>
      <c r="E69" s="20"/>
      <c r="T69" s="20" t="str">
        <f t="shared" si="1"/>
        <v/>
      </c>
    </row>
    <row r="70">
      <c r="B70" s="20"/>
      <c r="D70" s="41"/>
      <c r="E70" s="20"/>
      <c r="T70" s="20" t="str">
        <f t="shared" si="1"/>
        <v/>
      </c>
    </row>
    <row r="71">
      <c r="B71" s="20"/>
      <c r="D71" s="41"/>
      <c r="E71" s="20"/>
      <c r="T71" s="20" t="str">
        <f t="shared" si="1"/>
        <v/>
      </c>
    </row>
    <row r="72">
      <c r="B72" s="20"/>
      <c r="D72" s="41"/>
      <c r="E72" s="20"/>
      <c r="T72" s="20" t="str">
        <f t="shared" si="1"/>
        <v/>
      </c>
    </row>
    <row r="73">
      <c r="B73" s="20"/>
      <c r="D73" s="41"/>
      <c r="E73" s="20"/>
      <c r="T73" s="20" t="str">
        <f t="shared" si="1"/>
        <v/>
      </c>
    </row>
    <row r="74">
      <c r="B74" s="20"/>
      <c r="D74" s="41"/>
      <c r="E74" s="20"/>
      <c r="T74" s="20" t="str">
        <f t="shared" si="1"/>
        <v/>
      </c>
    </row>
    <row r="75">
      <c r="B75" s="20"/>
      <c r="D75" s="41"/>
      <c r="E75" s="20"/>
      <c r="T75" s="20" t="str">
        <f t="shared" si="1"/>
        <v/>
      </c>
    </row>
    <row r="76">
      <c r="B76" s="20"/>
      <c r="D76" s="41"/>
      <c r="E76" s="20"/>
      <c r="T76" s="20" t="str">
        <f t="shared" si="1"/>
        <v/>
      </c>
    </row>
    <row r="77">
      <c r="B77" s="20"/>
      <c r="D77" s="41"/>
      <c r="E77" s="20"/>
      <c r="T77" s="20" t="str">
        <f t="shared" si="1"/>
        <v/>
      </c>
    </row>
    <row r="78">
      <c r="B78" s="20"/>
      <c r="D78" s="41"/>
      <c r="E78" s="20"/>
      <c r="T78" s="20" t="str">
        <f t="shared" si="1"/>
        <v/>
      </c>
    </row>
    <row r="79">
      <c r="B79" s="20"/>
      <c r="D79" s="41"/>
      <c r="E79" s="20"/>
      <c r="T79" s="20" t="str">
        <f t="shared" si="1"/>
        <v/>
      </c>
    </row>
    <row r="80">
      <c r="B80" s="20"/>
      <c r="D80" s="41"/>
      <c r="E80" s="20"/>
      <c r="T80" s="20" t="str">
        <f t="shared" si="1"/>
        <v/>
      </c>
    </row>
    <row r="81">
      <c r="B81" s="20"/>
      <c r="D81" s="41"/>
      <c r="E81" s="20"/>
      <c r="T81" s="20" t="str">
        <f t="shared" si="1"/>
        <v/>
      </c>
    </row>
    <row r="82">
      <c r="B82" s="20"/>
      <c r="D82" s="41"/>
      <c r="E82" s="20"/>
      <c r="T82" s="20" t="str">
        <f t="shared" si="1"/>
        <v/>
      </c>
    </row>
    <row r="83">
      <c r="B83" s="20"/>
      <c r="D83" s="41"/>
      <c r="E83" s="20"/>
      <c r="T83" s="20" t="str">
        <f t="shared" si="1"/>
        <v/>
      </c>
    </row>
    <row r="84">
      <c r="B84" s="20"/>
      <c r="D84" s="41"/>
      <c r="E84" s="20"/>
      <c r="T84" s="20" t="str">
        <f t="shared" si="1"/>
        <v/>
      </c>
    </row>
    <row r="85">
      <c r="B85" s="20"/>
      <c r="D85" s="41"/>
      <c r="E85" s="20"/>
      <c r="T85" s="20" t="str">
        <f t="shared" si="1"/>
        <v/>
      </c>
    </row>
    <row r="86">
      <c r="B86" s="20"/>
      <c r="D86" s="41"/>
      <c r="E86" s="20"/>
      <c r="T86" s="20" t="str">
        <f t="shared" si="1"/>
        <v/>
      </c>
    </row>
    <row r="87">
      <c r="B87" s="20"/>
      <c r="D87" s="41"/>
      <c r="E87" s="20"/>
      <c r="T87" s="20" t="str">
        <f t="shared" si="1"/>
        <v/>
      </c>
    </row>
    <row r="88">
      <c r="B88" s="20"/>
      <c r="D88" s="41"/>
      <c r="E88" s="20"/>
      <c r="T88" s="20" t="str">
        <f t="shared" si="1"/>
        <v/>
      </c>
    </row>
    <row r="89">
      <c r="B89" s="20"/>
      <c r="D89" s="41"/>
      <c r="E89" s="20"/>
      <c r="T89" s="20" t="str">
        <f t="shared" si="1"/>
        <v/>
      </c>
    </row>
    <row r="90">
      <c r="B90" s="20"/>
      <c r="D90" s="41"/>
      <c r="E90" s="20"/>
      <c r="T90" s="20" t="str">
        <f t="shared" si="1"/>
        <v/>
      </c>
    </row>
    <row r="91">
      <c r="B91" s="20"/>
      <c r="D91" s="41"/>
      <c r="E91" s="20"/>
      <c r="T91" s="20" t="str">
        <f t="shared" si="1"/>
        <v/>
      </c>
    </row>
    <row r="92">
      <c r="B92" s="20"/>
      <c r="D92" s="41"/>
      <c r="E92" s="20"/>
      <c r="T92" s="20" t="str">
        <f t="shared" si="1"/>
        <v/>
      </c>
    </row>
    <row r="93">
      <c r="B93" s="20"/>
      <c r="D93" s="41"/>
      <c r="E93" s="20"/>
      <c r="T93" s="20" t="str">
        <f t="shared" si="1"/>
        <v/>
      </c>
    </row>
    <row r="94">
      <c r="B94" s="20"/>
      <c r="D94" s="41"/>
      <c r="E94" s="20"/>
      <c r="T94" s="20" t="str">
        <f t="shared" si="1"/>
        <v/>
      </c>
    </row>
    <row r="95">
      <c r="B95" s="20"/>
      <c r="D95" s="41"/>
      <c r="E95" s="20"/>
      <c r="T95" s="20" t="str">
        <f t="shared" si="1"/>
        <v/>
      </c>
    </row>
    <row r="96">
      <c r="B96" s="20"/>
      <c r="D96" s="41"/>
      <c r="E96" s="20"/>
      <c r="T96" s="20" t="str">
        <f t="shared" si="1"/>
        <v/>
      </c>
    </row>
    <row r="97">
      <c r="B97" s="20"/>
      <c r="D97" s="41"/>
      <c r="E97" s="20"/>
      <c r="T97" s="20" t="str">
        <f t="shared" si="1"/>
        <v/>
      </c>
    </row>
    <row r="98">
      <c r="B98" s="20"/>
      <c r="D98" s="41"/>
      <c r="E98" s="20"/>
      <c r="T98" s="20" t="str">
        <f t="shared" si="1"/>
        <v/>
      </c>
    </row>
    <row r="99">
      <c r="B99" s="20"/>
      <c r="D99" s="41"/>
      <c r="E99" s="20"/>
      <c r="T99" s="20" t="str">
        <f t="shared" si="1"/>
        <v/>
      </c>
    </row>
    <row r="100">
      <c r="B100" s="20"/>
      <c r="D100" s="41"/>
      <c r="E100" s="20"/>
      <c r="T100" s="20" t="str">
        <f t="shared" si="1"/>
        <v/>
      </c>
    </row>
    <row r="101">
      <c r="B101" s="20"/>
      <c r="D101" s="41"/>
      <c r="E101" s="20"/>
      <c r="T101" s="20" t="str">
        <f t="shared" si="1"/>
        <v/>
      </c>
    </row>
    <row r="102">
      <c r="B102" s="20"/>
      <c r="D102" s="41"/>
      <c r="E102" s="20"/>
      <c r="T102" s="20" t="str">
        <f t="shared" si="1"/>
        <v/>
      </c>
    </row>
    <row r="103">
      <c r="B103" s="20"/>
      <c r="D103" s="41"/>
      <c r="E103" s="20"/>
      <c r="T103" s="20" t="str">
        <f t="shared" si="1"/>
        <v/>
      </c>
    </row>
    <row r="104">
      <c r="B104" s="20"/>
      <c r="D104" s="41"/>
      <c r="E104" s="20"/>
      <c r="T104" s="20" t="str">
        <f t="shared" si="1"/>
        <v/>
      </c>
    </row>
    <row r="105">
      <c r="B105" s="20"/>
      <c r="D105" s="41"/>
      <c r="E105" s="20"/>
      <c r="T105" s="20" t="str">
        <f t="shared" si="1"/>
        <v/>
      </c>
    </row>
    <row r="106">
      <c r="B106" s="20"/>
      <c r="D106" s="41"/>
      <c r="E106" s="20"/>
      <c r="T106" s="20" t="str">
        <f t="shared" si="1"/>
        <v/>
      </c>
    </row>
    <row r="107">
      <c r="B107" s="20"/>
      <c r="D107" s="41"/>
      <c r="E107" s="20"/>
      <c r="T107" s="20" t="str">
        <f t="shared" si="1"/>
        <v/>
      </c>
    </row>
    <row r="108">
      <c r="B108" s="20"/>
      <c r="D108" s="41"/>
      <c r="E108" s="20"/>
      <c r="T108" s="20" t="str">
        <f t="shared" si="1"/>
        <v/>
      </c>
    </row>
    <row r="109">
      <c r="B109" s="20"/>
      <c r="D109" s="41"/>
      <c r="E109" s="20"/>
      <c r="T109" s="20" t="str">
        <f t="shared" si="1"/>
        <v/>
      </c>
    </row>
    <row r="110">
      <c r="B110" s="20"/>
      <c r="D110" s="41"/>
      <c r="E110" s="20"/>
      <c r="T110" s="20" t="str">
        <f t="shared" si="1"/>
        <v/>
      </c>
    </row>
    <row r="111">
      <c r="B111" s="20"/>
      <c r="D111" s="41"/>
      <c r="E111" s="20"/>
      <c r="T111" s="20" t="str">
        <f t="shared" si="1"/>
        <v/>
      </c>
    </row>
    <row r="112">
      <c r="B112" s="20"/>
      <c r="D112" s="41"/>
      <c r="E112" s="20"/>
      <c r="T112" s="20" t="str">
        <f t="shared" si="1"/>
        <v/>
      </c>
    </row>
    <row r="113">
      <c r="B113" s="20"/>
      <c r="D113" s="41"/>
      <c r="E113" s="20"/>
      <c r="T113" s="20" t="str">
        <f t="shared" si="1"/>
        <v/>
      </c>
    </row>
    <row r="114">
      <c r="B114" s="20"/>
      <c r="D114" s="41"/>
      <c r="E114" s="20"/>
      <c r="T114" s="20" t="str">
        <f t="shared" si="1"/>
        <v/>
      </c>
    </row>
    <row r="115">
      <c r="B115" s="20"/>
      <c r="D115" s="41"/>
      <c r="E115" s="20"/>
      <c r="T115" s="20" t="str">
        <f t="shared" si="1"/>
        <v/>
      </c>
    </row>
    <row r="116">
      <c r="B116" s="20"/>
      <c r="D116" s="41"/>
      <c r="E116" s="20"/>
      <c r="T116" s="20" t="str">
        <f t="shared" si="1"/>
        <v/>
      </c>
    </row>
    <row r="117">
      <c r="B117" s="20"/>
      <c r="D117" s="41"/>
      <c r="E117" s="20"/>
      <c r="T117" s="20" t="str">
        <f t="shared" si="1"/>
        <v/>
      </c>
    </row>
    <row r="118">
      <c r="B118" s="20"/>
      <c r="D118" s="41"/>
      <c r="E118" s="20"/>
      <c r="T118" s="20" t="str">
        <f t="shared" si="1"/>
        <v/>
      </c>
    </row>
    <row r="119">
      <c r="B119" s="20"/>
      <c r="D119" s="41"/>
      <c r="E119" s="20"/>
      <c r="T119" s="20" t="str">
        <f t="shared" si="1"/>
        <v/>
      </c>
    </row>
    <row r="120">
      <c r="B120" s="20"/>
      <c r="D120" s="41"/>
      <c r="E120" s="20"/>
      <c r="T120" s="20" t="str">
        <f t="shared" si="1"/>
        <v/>
      </c>
    </row>
    <row r="121">
      <c r="B121" s="20"/>
      <c r="D121" s="41"/>
      <c r="E121" s="20"/>
      <c r="T121" s="20" t="str">
        <f t="shared" si="1"/>
        <v/>
      </c>
    </row>
    <row r="122">
      <c r="B122" s="20"/>
      <c r="D122" s="41"/>
      <c r="E122" s="20"/>
      <c r="T122" s="20" t="str">
        <f t="shared" si="1"/>
        <v/>
      </c>
    </row>
    <row r="123">
      <c r="B123" s="20"/>
      <c r="D123" s="41"/>
      <c r="E123" s="20"/>
      <c r="T123" s="20" t="str">
        <f t="shared" si="1"/>
        <v/>
      </c>
    </row>
    <row r="124">
      <c r="B124" s="20"/>
      <c r="D124" s="41"/>
      <c r="E124" s="20"/>
      <c r="T124" s="20" t="str">
        <f t="shared" si="1"/>
        <v/>
      </c>
    </row>
    <row r="125">
      <c r="B125" s="20"/>
      <c r="D125" s="41"/>
      <c r="E125" s="20"/>
      <c r="T125" s="20" t="str">
        <f t="shared" si="1"/>
        <v/>
      </c>
    </row>
    <row r="126">
      <c r="B126" s="20"/>
      <c r="D126" s="41"/>
      <c r="E126" s="20"/>
      <c r="T126" s="20" t="str">
        <f t="shared" si="1"/>
        <v/>
      </c>
    </row>
    <row r="127">
      <c r="B127" s="20"/>
      <c r="D127" s="41"/>
      <c r="E127" s="20"/>
      <c r="T127" s="20" t="str">
        <f t="shared" si="1"/>
        <v/>
      </c>
    </row>
    <row r="128">
      <c r="B128" s="20"/>
      <c r="D128" s="41"/>
      <c r="E128" s="20"/>
      <c r="T128" s="20" t="str">
        <f t="shared" si="1"/>
        <v/>
      </c>
    </row>
    <row r="129">
      <c r="B129" s="20"/>
      <c r="D129" s="41"/>
      <c r="E129" s="20"/>
      <c r="T129" s="20" t="str">
        <f t="shared" si="1"/>
        <v/>
      </c>
    </row>
    <row r="130">
      <c r="B130" s="20"/>
      <c r="D130" s="41"/>
      <c r="E130" s="20"/>
      <c r="T130" s="20" t="str">
        <f t="shared" si="1"/>
        <v/>
      </c>
    </row>
    <row r="131">
      <c r="B131" s="20"/>
      <c r="D131" s="41"/>
      <c r="E131" s="20"/>
      <c r="T131" s="20" t="str">
        <f t="shared" si="1"/>
        <v/>
      </c>
    </row>
    <row r="132">
      <c r="B132" s="20"/>
      <c r="D132" s="41"/>
      <c r="E132" s="20"/>
      <c r="T132" s="20" t="str">
        <f t="shared" si="1"/>
        <v/>
      </c>
    </row>
    <row r="133">
      <c r="B133" s="20"/>
      <c r="D133" s="41"/>
      <c r="E133" s="20"/>
      <c r="T133" s="20" t="str">
        <f t="shared" si="1"/>
        <v/>
      </c>
    </row>
    <row r="134">
      <c r="B134" s="20"/>
      <c r="D134" s="41"/>
      <c r="E134" s="20"/>
      <c r="T134" s="20" t="str">
        <f t="shared" si="1"/>
        <v/>
      </c>
    </row>
    <row r="135">
      <c r="B135" s="20"/>
      <c r="D135" s="41"/>
      <c r="E135" s="20"/>
      <c r="T135" s="20" t="str">
        <f t="shared" si="1"/>
        <v/>
      </c>
    </row>
    <row r="136">
      <c r="B136" s="20"/>
      <c r="D136" s="41"/>
      <c r="E136" s="20"/>
      <c r="T136" s="20" t="str">
        <f t="shared" si="1"/>
        <v/>
      </c>
    </row>
    <row r="137">
      <c r="B137" s="20"/>
      <c r="D137" s="41"/>
      <c r="E137" s="20"/>
      <c r="T137" s="20" t="str">
        <f t="shared" si="1"/>
        <v/>
      </c>
    </row>
    <row r="138">
      <c r="B138" s="20"/>
      <c r="D138" s="41"/>
      <c r="E138" s="20"/>
      <c r="T138" s="20" t="str">
        <f t="shared" si="1"/>
        <v/>
      </c>
    </row>
    <row r="139">
      <c r="B139" s="20"/>
      <c r="D139" s="41"/>
      <c r="E139" s="20"/>
      <c r="T139" s="20" t="str">
        <f t="shared" si="1"/>
        <v/>
      </c>
    </row>
    <row r="140">
      <c r="B140" s="20"/>
      <c r="D140" s="41"/>
      <c r="E140" s="20"/>
      <c r="T140" s="20" t="str">
        <f t="shared" si="1"/>
        <v/>
      </c>
    </row>
    <row r="141">
      <c r="B141" s="20"/>
      <c r="D141" s="41"/>
      <c r="E141" s="20"/>
      <c r="T141" s="20" t="str">
        <f t="shared" si="1"/>
        <v/>
      </c>
    </row>
    <row r="142">
      <c r="B142" s="20"/>
      <c r="D142" s="41"/>
      <c r="E142" s="20"/>
      <c r="T142" s="20" t="str">
        <f t="shared" si="1"/>
        <v/>
      </c>
    </row>
    <row r="143">
      <c r="B143" s="20"/>
      <c r="D143" s="41"/>
      <c r="E143" s="20"/>
      <c r="T143" s="20" t="str">
        <f t="shared" si="1"/>
        <v/>
      </c>
    </row>
    <row r="144">
      <c r="B144" s="20"/>
      <c r="D144" s="41"/>
      <c r="E144" s="20"/>
      <c r="T144" s="20" t="str">
        <f t="shared" si="1"/>
        <v/>
      </c>
    </row>
    <row r="145">
      <c r="B145" s="20"/>
      <c r="D145" s="41"/>
      <c r="E145" s="20"/>
      <c r="T145" s="20" t="str">
        <f t="shared" si="1"/>
        <v/>
      </c>
    </row>
    <row r="146">
      <c r="B146" s="20"/>
      <c r="D146" s="41"/>
      <c r="E146" s="20"/>
      <c r="T146" s="20" t="str">
        <f t="shared" si="1"/>
        <v/>
      </c>
    </row>
    <row r="147">
      <c r="B147" s="20"/>
      <c r="D147" s="41"/>
      <c r="E147" s="20"/>
      <c r="T147" s="20" t="str">
        <f t="shared" si="1"/>
        <v/>
      </c>
    </row>
    <row r="148">
      <c r="B148" s="20"/>
      <c r="D148" s="41"/>
      <c r="E148" s="20"/>
      <c r="T148" s="20" t="str">
        <f t="shared" si="1"/>
        <v/>
      </c>
    </row>
    <row r="149">
      <c r="B149" s="20"/>
      <c r="D149" s="41"/>
      <c r="E149" s="20"/>
      <c r="T149" s="20" t="str">
        <f t="shared" si="1"/>
        <v/>
      </c>
    </row>
    <row r="150">
      <c r="B150" s="20"/>
      <c r="D150" s="41"/>
      <c r="E150" s="20"/>
      <c r="T150" s="20" t="str">
        <f t="shared" si="1"/>
        <v/>
      </c>
    </row>
    <row r="151">
      <c r="B151" s="20"/>
      <c r="D151" s="41"/>
      <c r="E151" s="20"/>
      <c r="T151" s="20" t="str">
        <f t="shared" si="1"/>
        <v/>
      </c>
    </row>
    <row r="152">
      <c r="B152" s="20"/>
      <c r="D152" s="41"/>
      <c r="E152" s="20"/>
      <c r="T152" s="20" t="str">
        <f t="shared" si="1"/>
        <v/>
      </c>
    </row>
    <row r="153">
      <c r="B153" s="20"/>
      <c r="D153" s="41"/>
      <c r="E153" s="20"/>
      <c r="T153" s="20" t="str">
        <f t="shared" si="1"/>
        <v/>
      </c>
    </row>
    <row r="154">
      <c r="B154" s="20"/>
      <c r="D154" s="41"/>
      <c r="E154" s="20"/>
      <c r="T154" s="20" t="str">
        <f t="shared" si="1"/>
        <v/>
      </c>
    </row>
    <row r="155">
      <c r="B155" s="20"/>
      <c r="D155" s="41"/>
      <c r="E155" s="20"/>
      <c r="T155" s="20" t="str">
        <f t="shared" si="1"/>
        <v/>
      </c>
    </row>
    <row r="156">
      <c r="B156" s="20"/>
      <c r="D156" s="41"/>
      <c r="E156" s="20"/>
      <c r="T156" s="20" t="str">
        <f t="shared" si="1"/>
        <v/>
      </c>
    </row>
    <row r="157">
      <c r="B157" s="20"/>
      <c r="D157" s="41"/>
      <c r="E157" s="20"/>
      <c r="T157" s="20" t="str">
        <f t="shared" si="1"/>
        <v/>
      </c>
    </row>
    <row r="158">
      <c r="B158" s="20"/>
      <c r="D158" s="41"/>
      <c r="E158" s="20"/>
      <c r="T158" s="20" t="str">
        <f t="shared" si="1"/>
        <v/>
      </c>
    </row>
    <row r="159">
      <c r="B159" s="20"/>
      <c r="D159" s="41"/>
      <c r="E159" s="20"/>
      <c r="T159" s="20" t="str">
        <f t="shared" si="1"/>
        <v/>
      </c>
    </row>
    <row r="160">
      <c r="B160" s="20"/>
      <c r="D160" s="41"/>
      <c r="E160" s="20"/>
      <c r="T160" s="20" t="str">
        <f t="shared" si="1"/>
        <v/>
      </c>
    </row>
    <row r="161">
      <c r="B161" s="20"/>
      <c r="D161" s="41"/>
      <c r="E161" s="20"/>
      <c r="T161" s="20" t="str">
        <f t="shared" si="1"/>
        <v/>
      </c>
    </row>
    <row r="162">
      <c r="B162" s="20"/>
      <c r="D162" s="41"/>
      <c r="E162" s="20"/>
      <c r="T162" s="20" t="str">
        <f t="shared" si="1"/>
        <v/>
      </c>
    </row>
    <row r="163">
      <c r="B163" s="20"/>
      <c r="D163" s="41"/>
      <c r="E163" s="20"/>
      <c r="T163" s="20" t="str">
        <f t="shared" si="1"/>
        <v/>
      </c>
    </row>
    <row r="164">
      <c r="B164" s="20"/>
      <c r="D164" s="41"/>
      <c r="E164" s="20"/>
      <c r="T164" s="20" t="str">
        <f t="shared" si="1"/>
        <v/>
      </c>
    </row>
    <row r="165">
      <c r="B165" s="20"/>
      <c r="D165" s="41"/>
      <c r="E165" s="20"/>
      <c r="T165" s="20" t="str">
        <f t="shared" si="1"/>
        <v/>
      </c>
    </row>
    <row r="166">
      <c r="B166" s="20"/>
      <c r="D166" s="41"/>
      <c r="E166" s="20"/>
      <c r="T166" s="20" t="str">
        <f t="shared" si="1"/>
        <v/>
      </c>
    </row>
    <row r="167">
      <c r="B167" s="20"/>
      <c r="D167" s="41"/>
      <c r="E167" s="20"/>
      <c r="T167" s="20" t="str">
        <f t="shared" si="1"/>
        <v/>
      </c>
    </row>
    <row r="168">
      <c r="B168" s="20"/>
      <c r="D168" s="41"/>
      <c r="E168" s="20"/>
      <c r="T168" s="20" t="str">
        <f t="shared" si="1"/>
        <v/>
      </c>
    </row>
    <row r="169">
      <c r="B169" s="20"/>
      <c r="D169" s="41"/>
      <c r="E169" s="20"/>
      <c r="T169" s="20" t="str">
        <f t="shared" si="1"/>
        <v/>
      </c>
    </row>
    <row r="170">
      <c r="B170" s="20"/>
      <c r="D170" s="41"/>
      <c r="E170" s="20"/>
      <c r="T170" s="20" t="str">
        <f t="shared" si="1"/>
        <v/>
      </c>
    </row>
    <row r="171">
      <c r="B171" s="20"/>
      <c r="D171" s="41"/>
      <c r="E171" s="20"/>
      <c r="T171" s="20" t="str">
        <f t="shared" si="1"/>
        <v/>
      </c>
    </row>
    <row r="172">
      <c r="B172" s="20"/>
      <c r="D172" s="41"/>
      <c r="E172" s="20"/>
      <c r="T172" s="20" t="str">
        <f t="shared" si="1"/>
        <v/>
      </c>
    </row>
    <row r="173">
      <c r="B173" s="20"/>
      <c r="D173" s="41"/>
      <c r="E173" s="20"/>
      <c r="T173" s="20" t="str">
        <f t="shared" si="1"/>
        <v/>
      </c>
    </row>
    <row r="174">
      <c r="B174" s="20"/>
      <c r="D174" s="41"/>
      <c r="E174" s="20"/>
      <c r="T174" s="20" t="str">
        <f t="shared" si="1"/>
        <v/>
      </c>
    </row>
    <row r="175">
      <c r="B175" s="20"/>
      <c r="D175" s="41"/>
      <c r="E175" s="20"/>
      <c r="T175" s="20" t="str">
        <f t="shared" si="1"/>
        <v/>
      </c>
    </row>
    <row r="176">
      <c r="B176" s="20"/>
      <c r="D176" s="41"/>
      <c r="E176" s="20"/>
      <c r="T176" s="20" t="str">
        <f t="shared" si="1"/>
        <v/>
      </c>
    </row>
    <row r="177">
      <c r="B177" s="20"/>
      <c r="D177" s="41"/>
      <c r="E177" s="20"/>
      <c r="T177" s="20" t="str">
        <f t="shared" si="1"/>
        <v/>
      </c>
    </row>
    <row r="178">
      <c r="B178" s="20"/>
      <c r="D178" s="41"/>
      <c r="E178" s="20"/>
      <c r="T178" s="20" t="str">
        <f t="shared" si="1"/>
        <v/>
      </c>
    </row>
    <row r="179">
      <c r="B179" s="20"/>
      <c r="D179" s="41"/>
      <c r="E179" s="20"/>
      <c r="T179" s="20" t="str">
        <f t="shared" si="1"/>
        <v/>
      </c>
    </row>
    <row r="180">
      <c r="B180" s="20"/>
      <c r="D180" s="41"/>
      <c r="E180" s="20"/>
      <c r="T180" s="20" t="str">
        <f t="shared" si="1"/>
        <v/>
      </c>
    </row>
    <row r="181">
      <c r="B181" s="20"/>
      <c r="D181" s="41"/>
      <c r="E181" s="20"/>
      <c r="T181" s="20" t="str">
        <f t="shared" si="1"/>
        <v/>
      </c>
    </row>
    <row r="182">
      <c r="B182" s="20"/>
      <c r="D182" s="41"/>
      <c r="E182" s="20"/>
      <c r="T182" s="20" t="str">
        <f t="shared" si="1"/>
        <v/>
      </c>
    </row>
    <row r="183">
      <c r="B183" s="20"/>
      <c r="D183" s="41"/>
      <c r="E183" s="20"/>
      <c r="T183" s="20" t="str">
        <f t="shared" si="1"/>
        <v/>
      </c>
    </row>
    <row r="184">
      <c r="B184" s="20"/>
      <c r="D184" s="41"/>
      <c r="E184" s="20"/>
      <c r="T184" s="20" t="str">
        <f t="shared" si="1"/>
        <v/>
      </c>
    </row>
    <row r="185">
      <c r="B185" s="20"/>
      <c r="D185" s="41"/>
      <c r="E185" s="20"/>
      <c r="T185" s="20" t="str">
        <f t="shared" si="1"/>
        <v/>
      </c>
    </row>
    <row r="186">
      <c r="B186" s="20"/>
      <c r="D186" s="41"/>
      <c r="E186" s="20"/>
      <c r="T186" s="20" t="str">
        <f t="shared" si="1"/>
        <v/>
      </c>
    </row>
    <row r="187">
      <c r="B187" s="20"/>
      <c r="D187" s="41"/>
      <c r="E187" s="20"/>
      <c r="T187" s="20" t="str">
        <f t="shared" si="1"/>
        <v/>
      </c>
    </row>
    <row r="188">
      <c r="B188" s="20"/>
      <c r="D188" s="41"/>
      <c r="E188" s="20"/>
      <c r="T188" s="20" t="str">
        <f t="shared" si="1"/>
        <v/>
      </c>
    </row>
    <row r="189">
      <c r="B189" s="20"/>
      <c r="D189" s="41"/>
      <c r="E189" s="20"/>
      <c r="T189" s="20" t="str">
        <f t="shared" si="1"/>
        <v/>
      </c>
    </row>
    <row r="190">
      <c r="B190" s="20"/>
      <c r="D190" s="41"/>
      <c r="E190" s="20"/>
      <c r="T190" s="20" t="str">
        <f t="shared" si="1"/>
        <v/>
      </c>
    </row>
    <row r="191">
      <c r="B191" s="20"/>
      <c r="D191" s="41"/>
      <c r="E191" s="20"/>
      <c r="T191" s="20" t="str">
        <f t="shared" si="1"/>
        <v/>
      </c>
    </row>
    <row r="192">
      <c r="B192" s="20"/>
      <c r="D192" s="41"/>
      <c r="E192" s="20"/>
      <c r="T192" s="20" t="str">
        <f t="shared" si="1"/>
        <v/>
      </c>
    </row>
    <row r="193">
      <c r="B193" s="20"/>
      <c r="D193" s="41"/>
      <c r="E193" s="20"/>
      <c r="T193" s="20" t="str">
        <f t="shared" si="1"/>
        <v/>
      </c>
    </row>
    <row r="194">
      <c r="B194" s="20"/>
      <c r="D194" s="41"/>
      <c r="E194" s="20"/>
      <c r="T194" s="20" t="str">
        <f t="shared" si="1"/>
        <v/>
      </c>
    </row>
    <row r="195">
      <c r="B195" s="20"/>
      <c r="D195" s="41"/>
      <c r="E195" s="20"/>
      <c r="T195" s="20" t="str">
        <f t="shared" si="1"/>
        <v/>
      </c>
    </row>
    <row r="196">
      <c r="B196" s="20"/>
      <c r="D196" s="41"/>
      <c r="E196" s="20"/>
      <c r="T196" s="20" t="str">
        <f t="shared" si="1"/>
        <v/>
      </c>
    </row>
    <row r="197">
      <c r="B197" s="20"/>
      <c r="D197" s="41"/>
      <c r="E197" s="20"/>
      <c r="T197" s="20" t="str">
        <f t="shared" si="1"/>
        <v/>
      </c>
    </row>
    <row r="198">
      <c r="B198" s="20"/>
      <c r="D198" s="41"/>
      <c r="E198" s="20"/>
      <c r="T198" s="20" t="str">
        <f t="shared" si="1"/>
        <v/>
      </c>
    </row>
    <row r="199">
      <c r="B199" s="20"/>
      <c r="D199" s="41"/>
      <c r="E199" s="20"/>
      <c r="T199" s="20" t="str">
        <f t="shared" si="1"/>
        <v/>
      </c>
    </row>
    <row r="200">
      <c r="B200" s="20"/>
      <c r="D200" s="41"/>
      <c r="E200" s="20"/>
      <c r="T200" s="20" t="str">
        <f t="shared" si="1"/>
        <v/>
      </c>
    </row>
    <row r="201">
      <c r="B201" s="20"/>
      <c r="D201" s="41"/>
      <c r="E201" s="20"/>
      <c r="T201" s="20" t="str">
        <f t="shared" si="1"/>
        <v/>
      </c>
    </row>
    <row r="202">
      <c r="B202" s="20"/>
      <c r="D202" s="41"/>
      <c r="E202" s="20"/>
      <c r="T202" s="20" t="str">
        <f t="shared" si="1"/>
        <v/>
      </c>
    </row>
    <row r="203">
      <c r="B203" s="20"/>
      <c r="D203" s="41"/>
      <c r="E203" s="20"/>
      <c r="T203" s="20" t="str">
        <f t="shared" si="1"/>
        <v/>
      </c>
    </row>
    <row r="204">
      <c r="B204" s="20"/>
      <c r="D204" s="41"/>
      <c r="E204" s="20"/>
      <c r="T204" s="20" t="str">
        <f t="shared" si="1"/>
        <v/>
      </c>
    </row>
    <row r="205">
      <c r="B205" s="20"/>
      <c r="D205" s="41"/>
      <c r="E205" s="20"/>
      <c r="T205" s="20" t="str">
        <f t="shared" si="1"/>
        <v/>
      </c>
    </row>
    <row r="206">
      <c r="B206" s="20"/>
      <c r="D206" s="41"/>
      <c r="E206" s="20"/>
      <c r="T206" s="20" t="str">
        <f t="shared" si="1"/>
        <v/>
      </c>
    </row>
    <row r="207">
      <c r="B207" s="20"/>
      <c r="D207" s="41"/>
      <c r="E207" s="20"/>
      <c r="T207" s="20" t="str">
        <f t="shared" si="1"/>
        <v/>
      </c>
    </row>
    <row r="208">
      <c r="B208" s="20"/>
      <c r="D208" s="41"/>
      <c r="E208" s="20"/>
      <c r="T208" s="20" t="str">
        <f t="shared" si="1"/>
        <v/>
      </c>
    </row>
    <row r="209">
      <c r="B209" s="20"/>
      <c r="D209" s="41"/>
      <c r="E209" s="20"/>
      <c r="T209" s="20" t="str">
        <f t="shared" si="1"/>
        <v/>
      </c>
    </row>
    <row r="210">
      <c r="B210" s="20"/>
      <c r="D210" s="41"/>
      <c r="E210" s="20"/>
      <c r="T210" s="20" t="str">
        <f t="shared" si="1"/>
        <v/>
      </c>
    </row>
    <row r="211">
      <c r="B211" s="20"/>
      <c r="D211" s="41"/>
      <c r="E211" s="20"/>
      <c r="T211" s="20" t="str">
        <f t="shared" si="1"/>
        <v/>
      </c>
    </row>
    <row r="212">
      <c r="B212" s="20"/>
      <c r="D212" s="41"/>
      <c r="E212" s="20"/>
      <c r="T212" s="20" t="str">
        <f t="shared" si="1"/>
        <v/>
      </c>
    </row>
    <row r="213">
      <c r="B213" s="20"/>
      <c r="D213" s="41"/>
      <c r="E213" s="20"/>
      <c r="T213" s="20" t="str">
        <f t="shared" si="1"/>
        <v/>
      </c>
    </row>
    <row r="214">
      <c r="B214" s="20"/>
      <c r="D214" s="41"/>
      <c r="E214" s="20"/>
      <c r="T214" s="20" t="str">
        <f t="shared" si="1"/>
        <v/>
      </c>
    </row>
    <row r="215">
      <c r="B215" s="20"/>
      <c r="D215" s="41"/>
      <c r="E215" s="20"/>
      <c r="T215" s="20" t="str">
        <f t="shared" si="1"/>
        <v/>
      </c>
    </row>
    <row r="216">
      <c r="B216" s="20"/>
      <c r="D216" s="41"/>
      <c r="E216" s="20"/>
      <c r="T216" s="20" t="str">
        <f t="shared" si="1"/>
        <v/>
      </c>
    </row>
    <row r="217">
      <c r="B217" s="20"/>
      <c r="D217" s="41"/>
      <c r="E217" s="20"/>
      <c r="T217" s="20" t="str">
        <f t="shared" si="1"/>
        <v/>
      </c>
    </row>
    <row r="218">
      <c r="B218" s="20"/>
      <c r="D218" s="41"/>
      <c r="E218" s="20"/>
      <c r="T218" s="20" t="str">
        <f t="shared" si="1"/>
        <v/>
      </c>
    </row>
    <row r="219">
      <c r="B219" s="20"/>
      <c r="D219" s="41"/>
      <c r="E219" s="20"/>
      <c r="T219" s="20" t="str">
        <f t="shared" si="1"/>
        <v/>
      </c>
    </row>
    <row r="220">
      <c r="B220" s="20"/>
      <c r="D220" s="41"/>
      <c r="E220" s="20"/>
      <c r="T220" s="20" t="str">
        <f t="shared" si="1"/>
        <v/>
      </c>
    </row>
    <row r="221">
      <c r="B221" s="20"/>
      <c r="D221" s="41"/>
      <c r="E221" s="20"/>
      <c r="T221" s="20" t="str">
        <f t="shared" si="1"/>
        <v/>
      </c>
    </row>
    <row r="222">
      <c r="B222" s="20"/>
      <c r="D222" s="41"/>
      <c r="E222" s="20"/>
      <c r="T222" s="20" t="str">
        <f t="shared" si="1"/>
        <v/>
      </c>
    </row>
    <row r="223">
      <c r="B223" s="20"/>
      <c r="D223" s="41"/>
      <c r="E223" s="20"/>
      <c r="T223" s="20" t="str">
        <f t="shared" si="1"/>
        <v/>
      </c>
    </row>
    <row r="224">
      <c r="B224" s="20"/>
      <c r="D224" s="41"/>
      <c r="E224" s="20"/>
      <c r="T224" s="20" t="str">
        <f t="shared" si="1"/>
        <v/>
      </c>
    </row>
    <row r="225">
      <c r="B225" s="20"/>
      <c r="D225" s="41"/>
      <c r="E225" s="20"/>
      <c r="T225" s="20" t="str">
        <f t="shared" si="1"/>
        <v/>
      </c>
    </row>
    <row r="226">
      <c r="B226" s="20"/>
      <c r="D226" s="41"/>
      <c r="E226" s="20"/>
      <c r="T226" s="20" t="str">
        <f t="shared" si="1"/>
        <v/>
      </c>
    </row>
    <row r="227">
      <c r="B227" s="20"/>
      <c r="D227" s="41"/>
      <c r="E227" s="20"/>
      <c r="T227" s="20" t="str">
        <f t="shared" si="1"/>
        <v/>
      </c>
    </row>
    <row r="228">
      <c r="B228" s="20"/>
      <c r="D228" s="41"/>
      <c r="E228" s="20"/>
      <c r="T228" s="20" t="str">
        <f t="shared" si="1"/>
        <v/>
      </c>
    </row>
    <row r="229">
      <c r="B229" s="20"/>
      <c r="D229" s="41"/>
      <c r="E229" s="20"/>
      <c r="T229" s="20" t="str">
        <f t="shared" si="1"/>
        <v/>
      </c>
    </row>
    <row r="230">
      <c r="B230" s="20"/>
      <c r="D230" s="41"/>
      <c r="E230" s="20"/>
      <c r="T230" s="20" t="str">
        <f t="shared" si="1"/>
        <v/>
      </c>
    </row>
    <row r="231">
      <c r="B231" s="20"/>
      <c r="D231" s="41"/>
      <c r="E231" s="20"/>
      <c r="T231" s="20" t="str">
        <f t="shared" si="1"/>
        <v/>
      </c>
    </row>
    <row r="232">
      <c r="B232" s="20"/>
      <c r="D232" s="41"/>
      <c r="E232" s="20"/>
      <c r="T232" s="20" t="str">
        <f t="shared" si="1"/>
        <v/>
      </c>
    </row>
    <row r="233">
      <c r="B233" s="20"/>
      <c r="D233" s="41"/>
      <c r="E233" s="20"/>
      <c r="T233" s="20" t="str">
        <f t="shared" si="1"/>
        <v/>
      </c>
    </row>
    <row r="234">
      <c r="B234" s="20"/>
      <c r="D234" s="41"/>
      <c r="E234" s="20"/>
      <c r="T234" s="20" t="str">
        <f t="shared" si="1"/>
        <v/>
      </c>
    </row>
    <row r="235">
      <c r="B235" s="20"/>
      <c r="D235" s="41"/>
      <c r="E235" s="20"/>
      <c r="T235" s="20" t="str">
        <f t="shared" si="1"/>
        <v/>
      </c>
    </row>
    <row r="236">
      <c r="B236" s="20"/>
      <c r="D236" s="41"/>
      <c r="E236" s="20"/>
      <c r="T236" s="20" t="str">
        <f t="shared" si="1"/>
        <v/>
      </c>
    </row>
    <row r="237">
      <c r="B237" s="20"/>
      <c r="D237" s="41"/>
      <c r="E237" s="20"/>
      <c r="T237" s="20" t="str">
        <f t="shared" si="1"/>
        <v/>
      </c>
    </row>
    <row r="238">
      <c r="B238" s="20"/>
      <c r="D238" s="41"/>
      <c r="E238" s="20"/>
      <c r="T238" s="20" t="str">
        <f t="shared" si="1"/>
        <v/>
      </c>
    </row>
    <row r="239">
      <c r="B239" s="20"/>
      <c r="D239" s="41"/>
      <c r="E239" s="20"/>
      <c r="T239" s="20" t="str">
        <f t="shared" si="1"/>
        <v/>
      </c>
    </row>
    <row r="240">
      <c r="B240" s="20"/>
      <c r="D240" s="41"/>
      <c r="E240" s="20"/>
      <c r="T240" s="20" t="str">
        <f t="shared" si="1"/>
        <v/>
      </c>
    </row>
    <row r="241">
      <c r="B241" s="20"/>
      <c r="D241" s="41"/>
      <c r="E241" s="20"/>
    </row>
    <row r="242">
      <c r="B242" s="20"/>
      <c r="D242" s="41"/>
      <c r="E242" s="20"/>
    </row>
    <row r="243">
      <c r="B243" s="20"/>
      <c r="D243" s="41"/>
      <c r="E243" s="20"/>
    </row>
    <row r="244">
      <c r="B244" s="20"/>
      <c r="D244" s="41"/>
      <c r="E244" s="20"/>
    </row>
    <row r="245">
      <c r="B245" s="20"/>
      <c r="D245" s="41"/>
      <c r="E245" s="20"/>
    </row>
    <row r="246">
      <c r="B246" s="20"/>
      <c r="D246" s="41"/>
      <c r="E246" s="20"/>
    </row>
    <row r="247">
      <c r="B247" s="20"/>
      <c r="D247" s="41"/>
      <c r="E247" s="20"/>
    </row>
    <row r="248">
      <c r="B248" s="20"/>
      <c r="D248" s="41"/>
      <c r="E248" s="20"/>
    </row>
    <row r="249">
      <c r="B249" s="20"/>
      <c r="D249" s="41"/>
      <c r="E249" s="20"/>
    </row>
    <row r="250">
      <c r="B250" s="20"/>
      <c r="D250" s="41"/>
      <c r="E250" s="20"/>
    </row>
    <row r="251">
      <c r="B251" s="20"/>
      <c r="D251" s="41"/>
      <c r="E251" s="20"/>
    </row>
    <row r="252">
      <c r="B252" s="20"/>
      <c r="D252" s="41"/>
      <c r="E252" s="20"/>
    </row>
    <row r="253">
      <c r="B253" s="20"/>
      <c r="D253" s="41"/>
      <c r="E253" s="20"/>
    </row>
    <row r="254">
      <c r="B254" s="20"/>
      <c r="D254" s="41"/>
      <c r="E254" s="20"/>
    </row>
    <row r="255">
      <c r="B255" s="20"/>
      <c r="D255" s="41"/>
      <c r="E255" s="20"/>
    </row>
    <row r="256">
      <c r="B256" s="20"/>
      <c r="D256" s="41"/>
      <c r="E256" s="20"/>
    </row>
    <row r="257">
      <c r="B257" s="20"/>
      <c r="D257" s="41"/>
      <c r="E257" s="20"/>
    </row>
    <row r="258">
      <c r="B258" s="20"/>
      <c r="D258" s="41"/>
      <c r="E258" s="20"/>
    </row>
    <row r="259">
      <c r="B259" s="20"/>
      <c r="D259" s="41"/>
      <c r="E259" s="20"/>
    </row>
    <row r="260">
      <c r="B260" s="20"/>
      <c r="D260" s="41"/>
      <c r="E260" s="20"/>
    </row>
    <row r="261">
      <c r="B261" s="20"/>
      <c r="D261" s="41"/>
      <c r="E261" s="20"/>
    </row>
    <row r="262">
      <c r="B262" s="20"/>
      <c r="D262" s="41"/>
      <c r="E262" s="20"/>
    </row>
    <row r="263">
      <c r="B263" s="20"/>
      <c r="D263" s="41"/>
      <c r="E263" s="20"/>
    </row>
    <row r="264">
      <c r="B264" s="20"/>
      <c r="D264" s="41"/>
      <c r="E264" s="20"/>
    </row>
    <row r="265">
      <c r="B265" s="20"/>
      <c r="D265" s="41"/>
      <c r="E265" s="20"/>
    </row>
    <row r="266">
      <c r="B266" s="20"/>
      <c r="D266" s="41"/>
      <c r="E266" s="20"/>
    </row>
    <row r="267">
      <c r="B267" s="20"/>
      <c r="D267" s="41"/>
      <c r="E267" s="20"/>
    </row>
    <row r="268">
      <c r="B268" s="20"/>
      <c r="D268" s="41"/>
      <c r="E268" s="20"/>
    </row>
    <row r="269">
      <c r="B269" s="20"/>
      <c r="D269" s="41"/>
      <c r="E269" s="20"/>
    </row>
    <row r="270">
      <c r="B270" s="20"/>
      <c r="D270" s="41"/>
      <c r="E270" s="20"/>
    </row>
    <row r="271">
      <c r="B271" s="20"/>
      <c r="D271" s="41"/>
      <c r="E271" s="20"/>
    </row>
    <row r="272">
      <c r="B272" s="20"/>
      <c r="D272" s="41"/>
      <c r="E272" s="20"/>
    </row>
    <row r="273">
      <c r="B273" s="20"/>
      <c r="D273" s="41"/>
      <c r="E273" s="20"/>
    </row>
    <row r="274">
      <c r="B274" s="20"/>
      <c r="D274" s="41"/>
      <c r="E274" s="20"/>
    </row>
    <row r="275">
      <c r="B275" s="20"/>
      <c r="D275" s="41"/>
      <c r="E275" s="20"/>
    </row>
    <row r="276">
      <c r="B276" s="20"/>
      <c r="D276" s="41"/>
      <c r="E276" s="20"/>
    </row>
    <row r="277">
      <c r="B277" s="20"/>
      <c r="D277" s="41"/>
      <c r="E277" s="20"/>
    </row>
    <row r="278">
      <c r="B278" s="20"/>
      <c r="D278" s="41"/>
      <c r="E278" s="20"/>
    </row>
    <row r="279">
      <c r="B279" s="20"/>
      <c r="D279" s="41"/>
      <c r="E279" s="20"/>
    </row>
    <row r="280">
      <c r="B280" s="20"/>
      <c r="D280" s="41"/>
      <c r="E280" s="20"/>
    </row>
    <row r="281">
      <c r="B281" s="20"/>
      <c r="D281" s="41"/>
      <c r="E281" s="20"/>
    </row>
    <row r="282">
      <c r="B282" s="20"/>
      <c r="D282" s="41"/>
      <c r="E282" s="20"/>
    </row>
    <row r="283">
      <c r="B283" s="20"/>
      <c r="D283" s="41"/>
      <c r="E283" s="20"/>
    </row>
    <row r="284">
      <c r="B284" s="20"/>
      <c r="D284" s="41"/>
      <c r="E284" s="20"/>
    </row>
    <row r="285">
      <c r="B285" s="20"/>
      <c r="D285" s="41"/>
      <c r="E285" s="20"/>
    </row>
    <row r="286">
      <c r="B286" s="20"/>
      <c r="D286" s="41"/>
      <c r="E286" s="20"/>
    </row>
    <row r="287">
      <c r="B287" s="20"/>
      <c r="D287" s="41"/>
      <c r="E287" s="20"/>
    </row>
    <row r="288">
      <c r="B288" s="20"/>
      <c r="D288" s="41"/>
      <c r="E288" s="20"/>
    </row>
    <row r="289">
      <c r="B289" s="20"/>
      <c r="D289" s="41"/>
      <c r="E289" s="20"/>
    </row>
    <row r="290">
      <c r="B290" s="20"/>
      <c r="D290" s="41"/>
      <c r="E290" s="20"/>
    </row>
    <row r="291">
      <c r="B291" s="20"/>
      <c r="D291" s="41"/>
      <c r="E291" s="20"/>
    </row>
    <row r="292">
      <c r="B292" s="20"/>
      <c r="D292" s="41"/>
      <c r="E292" s="20"/>
    </row>
    <row r="293">
      <c r="B293" s="20"/>
      <c r="D293" s="41"/>
      <c r="E293" s="20"/>
    </row>
    <row r="294">
      <c r="B294" s="20"/>
      <c r="D294" s="41"/>
      <c r="E294" s="20"/>
    </row>
    <row r="295">
      <c r="B295" s="20"/>
      <c r="D295" s="41"/>
      <c r="E295" s="20"/>
    </row>
    <row r="296">
      <c r="B296" s="20"/>
      <c r="D296" s="41"/>
      <c r="E296" s="20"/>
    </row>
    <row r="297">
      <c r="B297" s="20"/>
      <c r="D297" s="41"/>
      <c r="E297" s="20"/>
    </row>
    <row r="298">
      <c r="B298" s="20"/>
      <c r="D298" s="41"/>
      <c r="E298" s="20"/>
    </row>
    <row r="299">
      <c r="B299" s="20"/>
      <c r="D299" s="41"/>
      <c r="E299" s="20"/>
    </row>
    <row r="300">
      <c r="B300" s="20"/>
      <c r="D300" s="41"/>
      <c r="E300" s="20"/>
    </row>
    <row r="301">
      <c r="B301" s="20"/>
      <c r="D301" s="41"/>
      <c r="E301" s="20"/>
    </row>
    <row r="302">
      <c r="B302" s="20"/>
      <c r="D302" s="41"/>
      <c r="E302" s="20"/>
    </row>
    <row r="303">
      <c r="B303" s="20"/>
      <c r="D303" s="41"/>
      <c r="E303" s="20"/>
    </row>
    <row r="304">
      <c r="B304" s="20"/>
      <c r="D304" s="41"/>
      <c r="E304" s="20"/>
    </row>
    <row r="305">
      <c r="B305" s="20"/>
      <c r="D305" s="41"/>
      <c r="E305" s="20"/>
    </row>
    <row r="306">
      <c r="B306" s="20"/>
      <c r="D306" s="41"/>
      <c r="E306" s="20"/>
    </row>
    <row r="307">
      <c r="B307" s="20"/>
      <c r="D307" s="41"/>
      <c r="E307" s="20"/>
    </row>
    <row r="308">
      <c r="B308" s="20"/>
      <c r="D308" s="41"/>
      <c r="E308" s="20"/>
    </row>
    <row r="309">
      <c r="B309" s="20"/>
      <c r="D309" s="41"/>
      <c r="E309" s="20"/>
    </row>
    <row r="310">
      <c r="B310" s="20"/>
      <c r="D310" s="41"/>
      <c r="E310" s="20"/>
    </row>
    <row r="311">
      <c r="B311" s="20"/>
      <c r="D311" s="41"/>
      <c r="E311" s="20"/>
    </row>
    <row r="312">
      <c r="B312" s="20"/>
      <c r="D312" s="41"/>
      <c r="E312" s="20"/>
    </row>
    <row r="313">
      <c r="B313" s="20"/>
      <c r="D313" s="41"/>
      <c r="E313" s="20"/>
    </row>
    <row r="314">
      <c r="B314" s="20"/>
      <c r="D314" s="41"/>
      <c r="E314" s="20"/>
    </row>
    <row r="315">
      <c r="B315" s="20"/>
      <c r="D315" s="41"/>
      <c r="E315" s="20"/>
    </row>
    <row r="316">
      <c r="B316" s="20"/>
      <c r="D316" s="41"/>
      <c r="E316" s="20"/>
    </row>
    <row r="317">
      <c r="B317" s="20"/>
      <c r="D317" s="41"/>
      <c r="E317" s="20"/>
    </row>
    <row r="318">
      <c r="B318" s="20"/>
      <c r="D318" s="41"/>
      <c r="E318" s="20"/>
    </row>
    <row r="319">
      <c r="B319" s="20"/>
      <c r="D319" s="41"/>
      <c r="E319" s="20"/>
    </row>
    <row r="320">
      <c r="B320" s="20"/>
      <c r="D320" s="41"/>
      <c r="E320" s="20"/>
    </row>
    <row r="321">
      <c r="B321" s="20"/>
      <c r="D321" s="41"/>
      <c r="E321" s="20"/>
    </row>
    <row r="322">
      <c r="B322" s="20"/>
      <c r="D322" s="41"/>
      <c r="E322" s="20"/>
    </row>
    <row r="323">
      <c r="B323" s="20"/>
      <c r="D323" s="41"/>
      <c r="E323" s="20"/>
    </row>
    <row r="324">
      <c r="B324" s="20"/>
      <c r="D324" s="41"/>
      <c r="E324" s="20"/>
    </row>
    <row r="325">
      <c r="B325" s="20"/>
      <c r="D325" s="41"/>
      <c r="E325" s="20"/>
    </row>
    <row r="326">
      <c r="B326" s="20"/>
      <c r="D326" s="41"/>
      <c r="E326" s="20"/>
    </row>
    <row r="327">
      <c r="B327" s="20"/>
      <c r="D327" s="41"/>
      <c r="E327" s="20"/>
    </row>
    <row r="328">
      <c r="B328" s="20"/>
      <c r="D328" s="41"/>
      <c r="E328" s="20"/>
    </row>
    <row r="329">
      <c r="B329" s="20"/>
      <c r="D329" s="41"/>
      <c r="E329" s="20"/>
    </row>
    <row r="330">
      <c r="B330" s="20"/>
      <c r="D330" s="41"/>
      <c r="E330" s="20"/>
    </row>
    <row r="331">
      <c r="B331" s="20"/>
      <c r="D331" s="41"/>
      <c r="E331" s="20"/>
    </row>
    <row r="332">
      <c r="B332" s="20"/>
      <c r="D332" s="41"/>
      <c r="E332" s="20"/>
    </row>
    <row r="333">
      <c r="B333" s="20"/>
      <c r="D333" s="41"/>
      <c r="E333" s="20"/>
    </row>
    <row r="334">
      <c r="B334" s="20"/>
      <c r="D334" s="41"/>
      <c r="E334" s="20"/>
    </row>
    <row r="335">
      <c r="B335" s="20"/>
      <c r="D335" s="41"/>
      <c r="E335" s="20"/>
    </row>
    <row r="336">
      <c r="B336" s="20"/>
      <c r="D336" s="41"/>
      <c r="E336" s="20"/>
    </row>
    <row r="337">
      <c r="B337" s="20"/>
      <c r="D337" s="41"/>
      <c r="E337" s="20"/>
    </row>
    <row r="338">
      <c r="B338" s="20"/>
      <c r="D338" s="41"/>
      <c r="E338" s="20"/>
    </row>
    <row r="339">
      <c r="B339" s="20"/>
      <c r="D339" s="41"/>
      <c r="E339" s="20"/>
    </row>
    <row r="340">
      <c r="B340" s="20"/>
      <c r="D340" s="41"/>
      <c r="E340" s="20"/>
    </row>
    <row r="341">
      <c r="B341" s="20"/>
      <c r="D341" s="41"/>
      <c r="E341" s="20"/>
    </row>
    <row r="342">
      <c r="B342" s="20"/>
      <c r="D342" s="41"/>
      <c r="E342" s="20"/>
    </row>
    <row r="343">
      <c r="B343" s="20"/>
      <c r="D343" s="41"/>
      <c r="E343" s="20"/>
    </row>
    <row r="344">
      <c r="B344" s="20"/>
      <c r="D344" s="41"/>
      <c r="E344" s="20"/>
    </row>
    <row r="345">
      <c r="B345" s="20"/>
      <c r="D345" s="41"/>
      <c r="E345" s="20"/>
    </row>
    <row r="346">
      <c r="B346" s="20"/>
      <c r="D346" s="41"/>
      <c r="E346" s="20"/>
    </row>
    <row r="347">
      <c r="B347" s="20"/>
      <c r="D347" s="41"/>
      <c r="E347" s="20"/>
    </row>
    <row r="348">
      <c r="B348" s="20"/>
      <c r="D348" s="41"/>
      <c r="E348" s="20"/>
    </row>
    <row r="349">
      <c r="B349" s="20"/>
      <c r="D349" s="41"/>
      <c r="E349" s="20"/>
    </row>
    <row r="350">
      <c r="B350" s="20"/>
      <c r="D350" s="41"/>
      <c r="E350" s="20"/>
    </row>
    <row r="351">
      <c r="B351" s="20"/>
      <c r="D351" s="41"/>
      <c r="E351" s="20"/>
    </row>
    <row r="352">
      <c r="B352" s="20"/>
      <c r="D352" s="41"/>
      <c r="E352" s="20"/>
    </row>
    <row r="353">
      <c r="B353" s="20"/>
      <c r="D353" s="41"/>
      <c r="E353" s="20"/>
    </row>
    <row r="354">
      <c r="B354" s="20"/>
      <c r="D354" s="41"/>
      <c r="E354" s="20"/>
    </row>
    <row r="355">
      <c r="B355" s="20"/>
      <c r="D355" s="41"/>
      <c r="E355" s="20"/>
    </row>
    <row r="356">
      <c r="B356" s="20"/>
      <c r="D356" s="41"/>
      <c r="E356" s="20"/>
    </row>
    <row r="357">
      <c r="B357" s="20"/>
      <c r="D357" s="41"/>
      <c r="E357" s="20"/>
    </row>
    <row r="358">
      <c r="B358" s="20"/>
      <c r="D358" s="41"/>
      <c r="E358" s="20"/>
    </row>
    <row r="359">
      <c r="B359" s="20"/>
      <c r="D359" s="41"/>
      <c r="E359" s="20"/>
    </row>
    <row r="360">
      <c r="B360" s="20"/>
      <c r="D360" s="41"/>
      <c r="E360" s="20"/>
    </row>
    <row r="361">
      <c r="B361" s="20"/>
      <c r="D361" s="41"/>
      <c r="E361" s="20"/>
    </row>
    <row r="362">
      <c r="B362" s="20"/>
      <c r="D362" s="41"/>
      <c r="E362" s="20"/>
    </row>
    <row r="363">
      <c r="B363" s="20"/>
      <c r="D363" s="41"/>
      <c r="E363" s="20"/>
    </row>
    <row r="364">
      <c r="B364" s="20"/>
      <c r="D364" s="41"/>
      <c r="E364" s="20"/>
    </row>
    <row r="365">
      <c r="B365" s="20"/>
      <c r="D365" s="41"/>
      <c r="E365" s="20"/>
    </row>
    <row r="366">
      <c r="B366" s="20"/>
      <c r="D366" s="41"/>
      <c r="E366" s="20"/>
    </row>
    <row r="367">
      <c r="B367" s="20"/>
      <c r="D367" s="41"/>
      <c r="E367" s="20"/>
    </row>
    <row r="368">
      <c r="B368" s="20"/>
      <c r="D368" s="41"/>
      <c r="E368" s="20"/>
    </row>
    <row r="369">
      <c r="B369" s="20"/>
      <c r="D369" s="41"/>
      <c r="E369" s="20"/>
    </row>
    <row r="370">
      <c r="B370" s="20"/>
      <c r="D370" s="41"/>
      <c r="E370" s="20"/>
    </row>
    <row r="371">
      <c r="B371" s="20"/>
      <c r="D371" s="41"/>
      <c r="E371" s="20"/>
    </row>
    <row r="372">
      <c r="B372" s="20"/>
      <c r="D372" s="41"/>
      <c r="E372" s="20"/>
    </row>
    <row r="373">
      <c r="B373" s="20"/>
      <c r="D373" s="41"/>
      <c r="E373" s="20"/>
    </row>
    <row r="374">
      <c r="B374" s="20"/>
      <c r="D374" s="41"/>
      <c r="E374" s="20"/>
    </row>
    <row r="375">
      <c r="B375" s="20"/>
      <c r="D375" s="41"/>
      <c r="E375" s="20"/>
    </row>
    <row r="376">
      <c r="B376" s="20"/>
      <c r="D376" s="41"/>
      <c r="E376" s="20"/>
    </row>
    <row r="377">
      <c r="B377" s="20"/>
      <c r="D377" s="41"/>
      <c r="E377" s="20"/>
    </row>
    <row r="378">
      <c r="B378" s="20"/>
      <c r="D378" s="41"/>
      <c r="E378" s="20"/>
    </row>
    <row r="379">
      <c r="B379" s="20"/>
      <c r="D379" s="41"/>
      <c r="E379" s="20"/>
    </row>
    <row r="380">
      <c r="B380" s="20"/>
      <c r="D380" s="41"/>
      <c r="E380" s="20"/>
    </row>
    <row r="381">
      <c r="B381" s="20"/>
      <c r="D381" s="41"/>
      <c r="E381" s="20"/>
    </row>
    <row r="382">
      <c r="B382" s="20"/>
      <c r="D382" s="41"/>
      <c r="E382" s="20"/>
    </row>
    <row r="383">
      <c r="B383" s="20"/>
      <c r="D383" s="41"/>
      <c r="E383" s="20"/>
    </row>
    <row r="384">
      <c r="B384" s="20"/>
      <c r="D384" s="41"/>
      <c r="E384" s="20"/>
    </row>
    <row r="385">
      <c r="B385" s="20"/>
      <c r="D385" s="41"/>
      <c r="E385" s="20"/>
    </row>
    <row r="386">
      <c r="B386" s="20"/>
      <c r="D386" s="41"/>
      <c r="E386" s="20"/>
    </row>
    <row r="387">
      <c r="B387" s="20"/>
      <c r="D387" s="41"/>
      <c r="E387" s="20"/>
    </row>
    <row r="388">
      <c r="B388" s="20"/>
      <c r="D388" s="41"/>
      <c r="E388" s="20"/>
    </row>
    <row r="389">
      <c r="B389" s="20"/>
      <c r="D389" s="41"/>
      <c r="E389" s="20"/>
    </row>
    <row r="390">
      <c r="B390" s="20"/>
      <c r="D390" s="41"/>
      <c r="E390" s="20"/>
    </row>
    <row r="391">
      <c r="B391" s="20"/>
      <c r="D391" s="41"/>
      <c r="E391" s="20"/>
    </row>
    <row r="392">
      <c r="B392" s="20"/>
      <c r="D392" s="41"/>
      <c r="E392" s="20"/>
    </row>
    <row r="393">
      <c r="B393" s="20"/>
      <c r="D393" s="41"/>
      <c r="E393" s="20"/>
    </row>
    <row r="394">
      <c r="B394" s="20"/>
      <c r="D394" s="41"/>
      <c r="E394" s="20"/>
    </row>
    <row r="395">
      <c r="B395" s="20"/>
      <c r="D395" s="41"/>
      <c r="E395" s="20"/>
    </row>
    <row r="396">
      <c r="B396" s="20"/>
      <c r="D396" s="41"/>
      <c r="E396" s="20"/>
    </row>
    <row r="397">
      <c r="B397" s="20"/>
      <c r="D397" s="41"/>
      <c r="E397" s="20"/>
    </row>
    <row r="398">
      <c r="B398" s="20"/>
      <c r="D398" s="41"/>
      <c r="E398" s="20"/>
    </row>
    <row r="399">
      <c r="B399" s="20"/>
      <c r="D399" s="41"/>
      <c r="E399" s="20"/>
    </row>
    <row r="400">
      <c r="B400" s="20"/>
      <c r="D400" s="41"/>
      <c r="E400" s="20"/>
    </row>
    <row r="401">
      <c r="B401" s="20"/>
      <c r="D401" s="41"/>
      <c r="E401" s="20"/>
    </row>
    <row r="402">
      <c r="B402" s="20"/>
      <c r="D402" s="41"/>
      <c r="E402" s="20"/>
    </row>
    <row r="403">
      <c r="B403" s="20"/>
      <c r="D403" s="41"/>
      <c r="E403" s="20"/>
    </row>
    <row r="404">
      <c r="B404" s="20"/>
      <c r="D404" s="41"/>
      <c r="E404" s="20"/>
    </row>
    <row r="405">
      <c r="B405" s="20"/>
      <c r="D405" s="41"/>
      <c r="E405" s="20"/>
    </row>
    <row r="406">
      <c r="B406" s="20"/>
      <c r="D406" s="41"/>
      <c r="E406" s="20"/>
    </row>
    <row r="407">
      <c r="B407" s="20"/>
      <c r="D407" s="41"/>
      <c r="E407" s="20"/>
    </row>
    <row r="408">
      <c r="B408" s="20"/>
      <c r="D408" s="41"/>
      <c r="E408" s="20"/>
    </row>
    <row r="409">
      <c r="B409" s="20"/>
      <c r="D409" s="41"/>
      <c r="E409" s="20"/>
    </row>
    <row r="410">
      <c r="B410" s="20"/>
      <c r="D410" s="41"/>
      <c r="E410" s="20"/>
    </row>
    <row r="411">
      <c r="B411" s="20"/>
      <c r="D411" s="41"/>
      <c r="E411" s="20"/>
    </row>
    <row r="412">
      <c r="B412" s="20"/>
      <c r="D412" s="41"/>
      <c r="E412" s="20"/>
    </row>
    <row r="413">
      <c r="B413" s="20"/>
      <c r="D413" s="41"/>
      <c r="E413" s="20"/>
    </row>
    <row r="414">
      <c r="B414" s="20"/>
      <c r="D414" s="41"/>
      <c r="E414" s="20"/>
    </row>
    <row r="415">
      <c r="B415" s="20"/>
      <c r="D415" s="41"/>
      <c r="E415" s="20"/>
    </row>
    <row r="416">
      <c r="B416" s="20"/>
      <c r="D416" s="41"/>
      <c r="E416" s="20"/>
    </row>
    <row r="417">
      <c r="B417" s="20"/>
      <c r="D417" s="41"/>
      <c r="E417" s="20"/>
    </row>
    <row r="418">
      <c r="B418" s="20"/>
      <c r="D418" s="41"/>
      <c r="E418" s="20"/>
    </row>
    <row r="419">
      <c r="B419" s="20"/>
      <c r="D419" s="41"/>
      <c r="E419" s="20"/>
    </row>
    <row r="420">
      <c r="B420" s="20"/>
      <c r="D420" s="41"/>
      <c r="E420" s="20"/>
    </row>
    <row r="421">
      <c r="B421" s="20"/>
      <c r="D421" s="41"/>
      <c r="E421" s="20"/>
    </row>
    <row r="422">
      <c r="B422" s="20"/>
      <c r="D422" s="41"/>
      <c r="E422" s="20"/>
    </row>
    <row r="423">
      <c r="B423" s="20"/>
      <c r="D423" s="41"/>
      <c r="E423" s="20"/>
    </row>
    <row r="424">
      <c r="B424" s="20"/>
      <c r="D424" s="41"/>
      <c r="E424" s="20"/>
    </row>
    <row r="425">
      <c r="B425" s="20"/>
      <c r="D425" s="41"/>
      <c r="E425" s="20"/>
    </row>
    <row r="426">
      <c r="B426" s="20"/>
      <c r="D426" s="41"/>
      <c r="E426" s="20"/>
    </row>
    <row r="427">
      <c r="B427" s="20"/>
      <c r="D427" s="41"/>
      <c r="E427" s="20"/>
    </row>
    <row r="428">
      <c r="B428" s="20"/>
      <c r="D428" s="41"/>
      <c r="E428" s="20"/>
    </row>
    <row r="429">
      <c r="B429" s="20"/>
      <c r="D429" s="41"/>
      <c r="E429" s="20"/>
    </row>
    <row r="430">
      <c r="B430" s="20"/>
      <c r="D430" s="41"/>
      <c r="E430" s="20"/>
    </row>
    <row r="431">
      <c r="B431" s="20"/>
      <c r="D431" s="41"/>
      <c r="E431" s="20"/>
    </row>
    <row r="432">
      <c r="B432" s="20"/>
      <c r="D432" s="41"/>
      <c r="E432" s="20"/>
    </row>
    <row r="433">
      <c r="B433" s="20"/>
      <c r="D433" s="41"/>
      <c r="E433" s="20"/>
    </row>
    <row r="434">
      <c r="B434" s="20"/>
      <c r="D434" s="41"/>
      <c r="E434" s="20"/>
    </row>
    <row r="435">
      <c r="B435" s="20"/>
      <c r="D435" s="41"/>
      <c r="E435" s="20"/>
    </row>
    <row r="436">
      <c r="B436" s="20"/>
      <c r="D436" s="41"/>
      <c r="E436" s="20"/>
    </row>
    <row r="437">
      <c r="B437" s="20"/>
      <c r="D437" s="41"/>
      <c r="E437" s="20"/>
    </row>
    <row r="438">
      <c r="B438" s="20"/>
      <c r="D438" s="41"/>
      <c r="E438" s="20"/>
    </row>
    <row r="439">
      <c r="B439" s="20"/>
      <c r="D439" s="41"/>
      <c r="E439" s="20"/>
    </row>
    <row r="440">
      <c r="B440" s="20"/>
      <c r="D440" s="41"/>
      <c r="E440" s="20"/>
    </row>
    <row r="441">
      <c r="B441" s="20"/>
      <c r="D441" s="41"/>
      <c r="E441" s="20"/>
    </row>
    <row r="442">
      <c r="B442" s="20"/>
      <c r="D442" s="41"/>
      <c r="E442" s="20"/>
    </row>
    <row r="443">
      <c r="B443" s="20"/>
      <c r="D443" s="41"/>
      <c r="E443" s="20"/>
    </row>
    <row r="444">
      <c r="B444" s="20"/>
      <c r="D444" s="41"/>
      <c r="E444" s="20"/>
    </row>
    <row r="445">
      <c r="B445" s="20"/>
      <c r="D445" s="41"/>
      <c r="E445" s="20"/>
    </row>
    <row r="446">
      <c r="B446" s="20"/>
      <c r="D446" s="41"/>
      <c r="E446" s="20"/>
    </row>
    <row r="447">
      <c r="B447" s="20"/>
      <c r="D447" s="41"/>
      <c r="E447" s="20"/>
    </row>
    <row r="448">
      <c r="B448" s="20"/>
      <c r="D448" s="41"/>
      <c r="E448" s="20"/>
    </row>
    <row r="449">
      <c r="B449" s="20"/>
      <c r="D449" s="41"/>
      <c r="E449" s="20"/>
    </row>
    <row r="450">
      <c r="B450" s="20"/>
      <c r="D450" s="41"/>
      <c r="E450" s="20"/>
    </row>
    <row r="451">
      <c r="B451" s="20"/>
      <c r="D451" s="41"/>
      <c r="E451" s="20"/>
    </row>
    <row r="452">
      <c r="B452" s="20"/>
      <c r="D452" s="41"/>
      <c r="E452" s="20"/>
    </row>
    <row r="453">
      <c r="B453" s="20"/>
      <c r="D453" s="41"/>
      <c r="E453" s="20"/>
    </row>
    <row r="454">
      <c r="B454" s="20"/>
      <c r="D454" s="41"/>
      <c r="E454" s="20"/>
    </row>
    <row r="455">
      <c r="B455" s="20"/>
      <c r="D455" s="41"/>
      <c r="E455" s="20"/>
    </row>
    <row r="456">
      <c r="B456" s="20"/>
      <c r="D456" s="41"/>
      <c r="E456" s="20"/>
    </row>
    <row r="457">
      <c r="B457" s="20"/>
      <c r="D457" s="41"/>
      <c r="E457" s="20"/>
    </row>
    <row r="458">
      <c r="B458" s="20"/>
      <c r="D458" s="41"/>
      <c r="E458" s="20"/>
    </row>
    <row r="459">
      <c r="B459" s="20"/>
      <c r="D459" s="41"/>
      <c r="E459" s="20"/>
    </row>
    <row r="460">
      <c r="B460" s="20"/>
      <c r="D460" s="41"/>
      <c r="E460" s="20"/>
    </row>
    <row r="461">
      <c r="B461" s="20"/>
      <c r="D461" s="41"/>
      <c r="E461" s="20"/>
    </row>
    <row r="462">
      <c r="B462" s="20"/>
      <c r="D462" s="41"/>
      <c r="E462" s="20"/>
    </row>
    <row r="463">
      <c r="B463" s="20"/>
      <c r="D463" s="41"/>
      <c r="E463" s="20"/>
    </row>
    <row r="464">
      <c r="B464" s="20"/>
      <c r="D464" s="41"/>
      <c r="E464" s="20"/>
    </row>
    <row r="465">
      <c r="B465" s="20"/>
      <c r="D465" s="41"/>
      <c r="E465" s="20"/>
    </row>
    <row r="466">
      <c r="B466" s="20"/>
      <c r="D466" s="41"/>
      <c r="E466" s="20"/>
    </row>
    <row r="467">
      <c r="B467" s="20"/>
      <c r="D467" s="41"/>
      <c r="E467" s="20"/>
    </row>
    <row r="468">
      <c r="B468" s="20"/>
      <c r="D468" s="41"/>
      <c r="E468" s="20"/>
    </row>
    <row r="469">
      <c r="B469" s="20"/>
      <c r="D469" s="41"/>
      <c r="E469" s="20"/>
    </row>
    <row r="470">
      <c r="B470" s="20"/>
      <c r="D470" s="41"/>
      <c r="E470" s="20"/>
    </row>
    <row r="471">
      <c r="B471" s="20"/>
      <c r="D471" s="41"/>
      <c r="E471" s="20"/>
    </row>
    <row r="472">
      <c r="B472" s="20"/>
      <c r="D472" s="41"/>
      <c r="E472" s="20"/>
    </row>
    <row r="473">
      <c r="B473" s="20"/>
      <c r="D473" s="41"/>
      <c r="E473" s="20"/>
    </row>
    <row r="474">
      <c r="B474" s="20"/>
      <c r="D474" s="41"/>
      <c r="E474" s="20"/>
    </row>
    <row r="475">
      <c r="B475" s="20"/>
      <c r="D475" s="41"/>
      <c r="E475" s="20"/>
    </row>
    <row r="476">
      <c r="B476" s="20"/>
      <c r="D476" s="41"/>
      <c r="E476" s="20"/>
    </row>
    <row r="477">
      <c r="B477" s="20"/>
      <c r="D477" s="41"/>
      <c r="E477" s="20"/>
    </row>
    <row r="478">
      <c r="B478" s="20"/>
      <c r="D478" s="41"/>
      <c r="E478" s="20"/>
    </row>
    <row r="479">
      <c r="B479" s="20"/>
      <c r="D479" s="41"/>
      <c r="E479" s="20"/>
    </row>
    <row r="480">
      <c r="B480" s="20"/>
      <c r="D480" s="41"/>
      <c r="E480" s="20"/>
    </row>
    <row r="481">
      <c r="B481" s="20"/>
      <c r="D481" s="41"/>
      <c r="E481" s="20"/>
    </row>
    <row r="482">
      <c r="B482" s="20"/>
      <c r="D482" s="41"/>
      <c r="E482" s="20"/>
    </row>
    <row r="483">
      <c r="B483" s="20"/>
      <c r="D483" s="41"/>
      <c r="E483" s="20"/>
    </row>
    <row r="484">
      <c r="B484" s="20"/>
      <c r="D484" s="41"/>
      <c r="E484" s="20"/>
    </row>
    <row r="485">
      <c r="B485" s="20"/>
      <c r="D485" s="41"/>
      <c r="E485" s="20"/>
    </row>
    <row r="486">
      <c r="B486" s="20"/>
      <c r="D486" s="41"/>
      <c r="E486" s="20"/>
    </row>
    <row r="487">
      <c r="B487" s="20"/>
      <c r="D487" s="41"/>
      <c r="E487" s="20"/>
    </row>
    <row r="488">
      <c r="B488" s="20"/>
      <c r="D488" s="41"/>
      <c r="E488" s="20"/>
    </row>
    <row r="489">
      <c r="B489" s="20"/>
      <c r="D489" s="41"/>
      <c r="E489" s="20"/>
    </row>
    <row r="490">
      <c r="B490" s="20"/>
      <c r="D490" s="41"/>
      <c r="E490" s="20"/>
    </row>
    <row r="491">
      <c r="B491" s="20"/>
      <c r="D491" s="41"/>
      <c r="E491" s="20"/>
    </row>
    <row r="492">
      <c r="B492" s="20"/>
      <c r="D492" s="41"/>
      <c r="E492" s="20"/>
    </row>
    <row r="493">
      <c r="B493" s="20"/>
      <c r="D493" s="41"/>
      <c r="E493" s="20"/>
    </row>
    <row r="494">
      <c r="B494" s="20"/>
      <c r="D494" s="41"/>
      <c r="E494" s="20"/>
    </row>
    <row r="495">
      <c r="B495" s="20"/>
      <c r="D495" s="41"/>
      <c r="E495" s="20"/>
    </row>
    <row r="496">
      <c r="B496" s="20"/>
      <c r="D496" s="41"/>
      <c r="E496" s="20"/>
    </row>
    <row r="497">
      <c r="B497" s="20"/>
      <c r="D497" s="41"/>
      <c r="E497" s="20"/>
    </row>
    <row r="498">
      <c r="B498" s="20"/>
      <c r="D498" s="41"/>
      <c r="E498" s="20"/>
    </row>
    <row r="499">
      <c r="B499" s="20"/>
      <c r="D499" s="41"/>
      <c r="E499" s="20"/>
    </row>
    <row r="500">
      <c r="B500" s="20"/>
      <c r="D500" s="41"/>
      <c r="E500" s="20"/>
    </row>
    <row r="501">
      <c r="B501" s="20"/>
      <c r="D501" s="41"/>
      <c r="E501" s="20"/>
    </row>
    <row r="502">
      <c r="B502" s="20"/>
      <c r="D502" s="41"/>
      <c r="E502" s="20"/>
    </row>
    <row r="503">
      <c r="B503" s="20"/>
      <c r="D503" s="41"/>
      <c r="E503" s="20"/>
    </row>
    <row r="504">
      <c r="B504" s="20"/>
      <c r="D504" s="41"/>
      <c r="E504" s="20"/>
    </row>
    <row r="505">
      <c r="B505" s="20"/>
      <c r="D505" s="41"/>
      <c r="E505" s="20"/>
    </row>
    <row r="506">
      <c r="B506" s="20"/>
      <c r="D506" s="41"/>
      <c r="E506" s="20"/>
    </row>
    <row r="507">
      <c r="B507" s="20"/>
      <c r="D507" s="41"/>
      <c r="E507" s="20"/>
    </row>
    <row r="508">
      <c r="B508" s="20"/>
      <c r="D508" s="41"/>
      <c r="E508" s="20"/>
    </row>
    <row r="509">
      <c r="B509" s="20"/>
      <c r="D509" s="41"/>
      <c r="E509" s="20"/>
    </row>
    <row r="510">
      <c r="B510" s="20"/>
      <c r="D510" s="41"/>
      <c r="E510" s="20"/>
    </row>
    <row r="511">
      <c r="B511" s="20"/>
      <c r="D511" s="41"/>
      <c r="E511" s="20"/>
    </row>
    <row r="512">
      <c r="B512" s="20"/>
      <c r="D512" s="41"/>
      <c r="E512" s="20"/>
    </row>
    <row r="513">
      <c r="B513" s="20"/>
      <c r="D513" s="41"/>
      <c r="E513" s="20"/>
    </row>
    <row r="514">
      <c r="B514" s="20"/>
      <c r="D514" s="41"/>
      <c r="E514" s="20"/>
    </row>
    <row r="515">
      <c r="B515" s="20"/>
      <c r="D515" s="41"/>
      <c r="E515" s="20"/>
    </row>
    <row r="516">
      <c r="B516" s="20"/>
      <c r="D516" s="41"/>
      <c r="E516" s="20"/>
    </row>
    <row r="517">
      <c r="B517" s="20"/>
      <c r="D517" s="41"/>
      <c r="E517" s="20"/>
    </row>
    <row r="518">
      <c r="B518" s="20"/>
      <c r="D518" s="41"/>
      <c r="E518" s="20"/>
    </row>
    <row r="519">
      <c r="B519" s="20"/>
      <c r="D519" s="41"/>
      <c r="E519" s="20"/>
    </row>
    <row r="520">
      <c r="B520" s="20"/>
      <c r="D520" s="41"/>
      <c r="E520" s="20"/>
    </row>
    <row r="521">
      <c r="B521" s="20"/>
      <c r="D521" s="41"/>
      <c r="E521" s="20"/>
    </row>
    <row r="522">
      <c r="B522" s="20"/>
      <c r="D522" s="41"/>
      <c r="E522" s="20"/>
    </row>
    <row r="523">
      <c r="B523" s="20"/>
      <c r="D523" s="41"/>
      <c r="E523" s="20"/>
    </row>
    <row r="524">
      <c r="B524" s="20"/>
      <c r="D524" s="41"/>
      <c r="E524" s="20"/>
    </row>
    <row r="525">
      <c r="B525" s="20"/>
      <c r="D525" s="41"/>
      <c r="E525" s="20"/>
    </row>
    <row r="526">
      <c r="B526" s="20"/>
      <c r="D526" s="41"/>
      <c r="E526" s="20"/>
    </row>
    <row r="527">
      <c r="B527" s="20"/>
      <c r="D527" s="41"/>
      <c r="E527" s="20"/>
    </row>
    <row r="528">
      <c r="B528" s="20"/>
      <c r="D528" s="41"/>
      <c r="E528" s="20"/>
    </row>
    <row r="529">
      <c r="B529" s="20"/>
      <c r="D529" s="41"/>
      <c r="E529" s="20"/>
    </row>
    <row r="530">
      <c r="B530" s="20"/>
      <c r="D530" s="41"/>
      <c r="E530" s="20"/>
    </row>
    <row r="531">
      <c r="B531" s="20"/>
      <c r="D531" s="41"/>
      <c r="E531" s="20"/>
    </row>
    <row r="532">
      <c r="B532" s="20"/>
      <c r="D532" s="41"/>
      <c r="E532" s="20"/>
    </row>
    <row r="533">
      <c r="B533" s="20"/>
      <c r="D533" s="41"/>
      <c r="E533" s="20"/>
    </row>
    <row r="534">
      <c r="B534" s="20"/>
      <c r="D534" s="41"/>
      <c r="E534" s="20"/>
    </row>
    <row r="535">
      <c r="B535" s="20"/>
      <c r="D535" s="41"/>
      <c r="E535" s="20"/>
    </row>
    <row r="536">
      <c r="B536" s="20"/>
      <c r="D536" s="41"/>
      <c r="E536" s="20"/>
    </row>
    <row r="537">
      <c r="B537" s="20"/>
      <c r="D537" s="41"/>
      <c r="E537" s="20"/>
    </row>
    <row r="538">
      <c r="B538" s="20"/>
      <c r="D538" s="41"/>
      <c r="E538" s="20"/>
    </row>
    <row r="539">
      <c r="B539" s="20"/>
      <c r="D539" s="41"/>
      <c r="E539" s="20"/>
    </row>
    <row r="540">
      <c r="B540" s="20"/>
      <c r="D540" s="41"/>
      <c r="E540" s="20"/>
    </row>
    <row r="541">
      <c r="B541" s="20"/>
      <c r="D541" s="41"/>
      <c r="E541" s="20"/>
    </row>
    <row r="542">
      <c r="B542" s="20"/>
      <c r="D542" s="41"/>
      <c r="E542" s="20"/>
    </row>
    <row r="543">
      <c r="B543" s="20"/>
      <c r="D543" s="41"/>
      <c r="E543" s="20"/>
    </row>
    <row r="544">
      <c r="B544" s="20"/>
      <c r="D544" s="41"/>
      <c r="E544" s="20"/>
    </row>
    <row r="545">
      <c r="B545" s="20"/>
      <c r="D545" s="41"/>
      <c r="E545" s="20"/>
    </row>
    <row r="546">
      <c r="B546" s="20"/>
      <c r="D546" s="41"/>
      <c r="E546" s="20"/>
    </row>
    <row r="547">
      <c r="B547" s="20"/>
      <c r="D547" s="41"/>
      <c r="E547" s="20"/>
    </row>
    <row r="548">
      <c r="B548" s="20"/>
      <c r="D548" s="41"/>
      <c r="E548" s="20"/>
    </row>
    <row r="549">
      <c r="B549" s="20"/>
      <c r="D549" s="41"/>
      <c r="E549" s="20"/>
    </row>
    <row r="550">
      <c r="B550" s="20"/>
      <c r="D550" s="41"/>
      <c r="E550" s="20"/>
    </row>
    <row r="551">
      <c r="B551" s="20"/>
      <c r="D551" s="41"/>
      <c r="E551" s="20"/>
    </row>
    <row r="552">
      <c r="B552" s="20"/>
      <c r="D552" s="41"/>
      <c r="E552" s="20"/>
    </row>
    <row r="553">
      <c r="B553" s="20"/>
      <c r="D553" s="41"/>
      <c r="E553" s="20"/>
    </row>
    <row r="554">
      <c r="B554" s="20"/>
      <c r="D554" s="41"/>
      <c r="E554" s="20"/>
    </row>
    <row r="555">
      <c r="B555" s="20"/>
      <c r="D555" s="41"/>
      <c r="E555" s="20"/>
    </row>
    <row r="556">
      <c r="B556" s="20"/>
      <c r="D556" s="41"/>
      <c r="E556" s="20"/>
    </row>
    <row r="557">
      <c r="B557" s="20"/>
      <c r="D557" s="41"/>
      <c r="E557" s="20"/>
    </row>
    <row r="558">
      <c r="B558" s="20"/>
      <c r="D558" s="41"/>
      <c r="E558" s="20"/>
    </row>
    <row r="559">
      <c r="B559" s="20"/>
      <c r="D559" s="41"/>
      <c r="E559" s="20"/>
    </row>
    <row r="560">
      <c r="B560" s="20"/>
      <c r="D560" s="41"/>
      <c r="E560" s="20"/>
    </row>
    <row r="561">
      <c r="B561" s="20"/>
      <c r="D561" s="41"/>
      <c r="E561" s="20"/>
    </row>
    <row r="562">
      <c r="B562" s="20"/>
      <c r="D562" s="41"/>
      <c r="E562" s="20"/>
    </row>
    <row r="563">
      <c r="B563" s="20"/>
      <c r="D563" s="41"/>
      <c r="E563" s="20"/>
    </row>
    <row r="564">
      <c r="B564" s="20"/>
      <c r="D564" s="41"/>
      <c r="E564" s="20"/>
    </row>
    <row r="565">
      <c r="B565" s="20"/>
      <c r="D565" s="41"/>
      <c r="E565" s="20"/>
    </row>
    <row r="566">
      <c r="B566" s="20"/>
      <c r="D566" s="41"/>
      <c r="E566" s="20"/>
    </row>
    <row r="567">
      <c r="B567" s="20"/>
      <c r="D567" s="41"/>
      <c r="E567" s="20"/>
    </row>
    <row r="568">
      <c r="B568" s="20"/>
      <c r="D568" s="41"/>
      <c r="E568" s="20"/>
    </row>
    <row r="569">
      <c r="B569" s="20"/>
      <c r="D569" s="41"/>
      <c r="E569" s="20"/>
    </row>
    <row r="570">
      <c r="B570" s="20"/>
      <c r="D570" s="41"/>
      <c r="E570" s="20"/>
    </row>
    <row r="571">
      <c r="B571" s="20"/>
      <c r="D571" s="41"/>
      <c r="E571" s="20"/>
    </row>
    <row r="572">
      <c r="B572" s="20"/>
      <c r="D572" s="41"/>
      <c r="E572" s="20"/>
    </row>
    <row r="573">
      <c r="B573" s="20"/>
      <c r="D573" s="41"/>
      <c r="E573" s="20"/>
    </row>
    <row r="574">
      <c r="B574" s="20"/>
      <c r="D574" s="41"/>
      <c r="E574" s="20"/>
    </row>
    <row r="575">
      <c r="B575" s="20"/>
      <c r="D575" s="41"/>
      <c r="E575" s="20"/>
    </row>
    <row r="576">
      <c r="B576" s="20"/>
      <c r="D576" s="41"/>
      <c r="E576" s="20"/>
    </row>
    <row r="577">
      <c r="B577" s="20"/>
      <c r="D577" s="41"/>
      <c r="E577" s="20"/>
    </row>
    <row r="578">
      <c r="B578" s="20"/>
      <c r="D578" s="41"/>
      <c r="E578" s="20"/>
    </row>
    <row r="579">
      <c r="B579" s="20"/>
      <c r="D579" s="41"/>
      <c r="E579" s="20"/>
    </row>
    <row r="580">
      <c r="B580" s="20"/>
      <c r="D580" s="41"/>
      <c r="E580" s="20"/>
    </row>
    <row r="581">
      <c r="B581" s="20"/>
      <c r="D581" s="41"/>
      <c r="E581" s="20"/>
    </row>
    <row r="582">
      <c r="B582" s="20"/>
      <c r="D582" s="41"/>
      <c r="E582" s="20"/>
    </row>
    <row r="583">
      <c r="B583" s="20"/>
      <c r="D583" s="41"/>
      <c r="E583" s="20"/>
    </row>
    <row r="584">
      <c r="B584" s="20"/>
      <c r="D584" s="41"/>
      <c r="E584" s="20"/>
    </row>
    <row r="585">
      <c r="B585" s="20"/>
      <c r="D585" s="41"/>
      <c r="E585" s="20"/>
    </row>
    <row r="586">
      <c r="B586" s="20"/>
      <c r="D586" s="41"/>
      <c r="E586" s="20"/>
    </row>
    <row r="587">
      <c r="B587" s="20"/>
      <c r="D587" s="41"/>
      <c r="E587" s="20"/>
    </row>
    <row r="588">
      <c r="B588" s="20"/>
      <c r="D588" s="41"/>
      <c r="E588" s="20"/>
    </row>
    <row r="589">
      <c r="B589" s="20"/>
      <c r="D589" s="41"/>
      <c r="E589" s="20"/>
    </row>
    <row r="590">
      <c r="B590" s="20"/>
      <c r="D590" s="41"/>
      <c r="E590" s="20"/>
    </row>
    <row r="591">
      <c r="B591" s="20"/>
      <c r="D591" s="41"/>
      <c r="E591" s="20"/>
    </row>
    <row r="592">
      <c r="B592" s="20"/>
      <c r="D592" s="41"/>
      <c r="E592" s="20"/>
    </row>
    <row r="593">
      <c r="B593" s="20"/>
      <c r="D593" s="41"/>
      <c r="E593" s="20"/>
    </row>
    <row r="594">
      <c r="B594" s="20"/>
      <c r="D594" s="41"/>
      <c r="E594" s="20"/>
    </row>
    <row r="595">
      <c r="B595" s="20"/>
      <c r="D595" s="41"/>
      <c r="E595" s="20"/>
    </row>
    <row r="596">
      <c r="B596" s="20"/>
      <c r="D596" s="41"/>
      <c r="E596" s="20"/>
    </row>
    <row r="597">
      <c r="B597" s="20"/>
      <c r="D597" s="41"/>
      <c r="E597" s="20"/>
    </row>
    <row r="598">
      <c r="B598" s="20"/>
      <c r="D598" s="41"/>
      <c r="E598" s="20"/>
    </row>
    <row r="599">
      <c r="B599" s="20"/>
      <c r="D599" s="41"/>
      <c r="E599" s="20"/>
    </row>
    <row r="600">
      <c r="B600" s="20"/>
      <c r="D600" s="41"/>
      <c r="E600" s="20"/>
    </row>
    <row r="601">
      <c r="B601" s="20"/>
      <c r="D601" s="41"/>
      <c r="E601" s="20"/>
    </row>
    <row r="602">
      <c r="B602" s="20"/>
      <c r="D602" s="41"/>
      <c r="E602" s="20"/>
    </row>
    <row r="603">
      <c r="B603" s="20"/>
      <c r="D603" s="41"/>
      <c r="E603" s="20"/>
    </row>
    <row r="604">
      <c r="B604" s="20"/>
      <c r="D604" s="41"/>
      <c r="E604" s="20"/>
    </row>
    <row r="605">
      <c r="B605" s="20"/>
      <c r="D605" s="41"/>
      <c r="E605" s="20"/>
    </row>
    <row r="606">
      <c r="B606" s="20"/>
      <c r="D606" s="41"/>
      <c r="E606" s="20"/>
    </row>
    <row r="607">
      <c r="B607" s="20"/>
      <c r="D607" s="41"/>
      <c r="E607" s="20"/>
    </row>
    <row r="608">
      <c r="B608" s="20"/>
      <c r="D608" s="41"/>
      <c r="E608" s="20"/>
    </row>
    <row r="609">
      <c r="B609" s="20"/>
      <c r="D609" s="41"/>
      <c r="E609" s="20"/>
    </row>
    <row r="610">
      <c r="B610" s="20"/>
      <c r="D610" s="41"/>
      <c r="E610" s="20"/>
    </row>
    <row r="611">
      <c r="B611" s="20"/>
      <c r="D611" s="41"/>
      <c r="E611" s="20"/>
    </row>
    <row r="612">
      <c r="B612" s="20"/>
      <c r="D612" s="41"/>
      <c r="E612" s="20"/>
    </row>
    <row r="613">
      <c r="B613" s="20"/>
      <c r="D613" s="41"/>
      <c r="E613" s="20"/>
    </row>
    <row r="614">
      <c r="B614" s="20"/>
      <c r="D614" s="41"/>
      <c r="E614" s="20"/>
    </row>
    <row r="615">
      <c r="B615" s="20"/>
      <c r="D615" s="41"/>
      <c r="E615" s="20"/>
    </row>
    <row r="616">
      <c r="B616" s="20"/>
      <c r="D616" s="41"/>
      <c r="E616" s="20"/>
    </row>
    <row r="617">
      <c r="B617" s="20"/>
      <c r="D617" s="41"/>
      <c r="E617" s="20"/>
    </row>
    <row r="618">
      <c r="B618" s="20"/>
      <c r="D618" s="41"/>
      <c r="E618" s="20"/>
    </row>
    <row r="619">
      <c r="B619" s="20"/>
      <c r="D619" s="41"/>
      <c r="E619" s="20"/>
    </row>
    <row r="620">
      <c r="B620" s="20"/>
      <c r="D620" s="41"/>
      <c r="E620" s="20"/>
    </row>
    <row r="621">
      <c r="B621" s="20"/>
      <c r="D621" s="41"/>
      <c r="E621" s="20"/>
    </row>
    <row r="622">
      <c r="B622" s="20"/>
      <c r="D622" s="41"/>
      <c r="E622" s="20"/>
    </row>
    <row r="623">
      <c r="B623" s="20"/>
      <c r="D623" s="41"/>
      <c r="E623" s="20"/>
    </row>
    <row r="624">
      <c r="B624" s="20"/>
      <c r="D624" s="41"/>
      <c r="E624" s="20"/>
    </row>
    <row r="625">
      <c r="B625" s="20"/>
      <c r="D625" s="41"/>
      <c r="E625" s="20"/>
    </row>
    <row r="626">
      <c r="B626" s="20"/>
      <c r="D626" s="41"/>
      <c r="E626" s="20"/>
    </row>
    <row r="627">
      <c r="B627" s="20"/>
      <c r="D627" s="41"/>
      <c r="E627" s="20"/>
    </row>
    <row r="628">
      <c r="B628" s="20"/>
      <c r="D628" s="41"/>
      <c r="E628" s="20"/>
    </row>
    <row r="629">
      <c r="B629" s="20"/>
      <c r="D629" s="41"/>
      <c r="E629" s="20"/>
    </row>
    <row r="630">
      <c r="B630" s="20"/>
      <c r="D630" s="41"/>
      <c r="E630" s="20"/>
    </row>
    <row r="631">
      <c r="B631" s="20"/>
      <c r="D631" s="41"/>
      <c r="E631" s="20"/>
    </row>
    <row r="632">
      <c r="B632" s="20"/>
      <c r="D632" s="41"/>
      <c r="E632" s="20"/>
    </row>
    <row r="633">
      <c r="B633" s="20"/>
      <c r="D633" s="41"/>
      <c r="E633" s="20"/>
    </row>
    <row r="634">
      <c r="B634" s="20"/>
      <c r="D634" s="41"/>
      <c r="E634" s="20"/>
    </row>
    <row r="635">
      <c r="B635" s="20"/>
      <c r="D635" s="41"/>
      <c r="E635" s="20"/>
    </row>
    <row r="636">
      <c r="B636" s="20"/>
      <c r="D636" s="41"/>
      <c r="E636" s="20"/>
    </row>
    <row r="637">
      <c r="B637" s="20"/>
      <c r="D637" s="41"/>
      <c r="E637" s="20"/>
    </row>
    <row r="638">
      <c r="B638" s="20"/>
      <c r="D638" s="41"/>
      <c r="E638" s="20"/>
    </row>
    <row r="639">
      <c r="B639" s="20"/>
      <c r="D639" s="41"/>
      <c r="E639" s="20"/>
    </row>
    <row r="640">
      <c r="B640" s="20"/>
      <c r="D640" s="41"/>
      <c r="E640" s="20"/>
    </row>
    <row r="641">
      <c r="B641" s="20"/>
      <c r="D641" s="41"/>
      <c r="E641" s="20"/>
    </row>
    <row r="642">
      <c r="B642" s="20"/>
      <c r="D642" s="41"/>
      <c r="E642" s="20"/>
    </row>
    <row r="643">
      <c r="B643" s="20"/>
      <c r="D643" s="41"/>
      <c r="E643" s="20"/>
    </row>
    <row r="644">
      <c r="B644" s="20"/>
      <c r="D644" s="41"/>
      <c r="E644" s="20"/>
    </row>
    <row r="645">
      <c r="B645" s="20"/>
      <c r="D645" s="41"/>
      <c r="E645" s="20"/>
    </row>
    <row r="646">
      <c r="B646" s="20"/>
      <c r="D646" s="41"/>
      <c r="E646" s="20"/>
    </row>
    <row r="647">
      <c r="B647" s="20"/>
      <c r="D647" s="41"/>
      <c r="E647" s="20"/>
    </row>
    <row r="648">
      <c r="B648" s="20"/>
      <c r="D648" s="41"/>
      <c r="E648" s="20"/>
    </row>
    <row r="649">
      <c r="B649" s="20"/>
      <c r="D649" s="41"/>
      <c r="E649" s="20"/>
    </row>
    <row r="650">
      <c r="B650" s="20"/>
      <c r="D650" s="41"/>
      <c r="E650" s="20"/>
    </row>
    <row r="651">
      <c r="B651" s="20"/>
      <c r="D651" s="41"/>
      <c r="E651" s="20"/>
    </row>
    <row r="652">
      <c r="B652" s="20"/>
      <c r="D652" s="41"/>
      <c r="E652" s="20"/>
    </row>
    <row r="653">
      <c r="B653" s="20"/>
      <c r="D653" s="41"/>
      <c r="E653" s="20"/>
    </row>
    <row r="654">
      <c r="B654" s="20"/>
      <c r="D654" s="41"/>
      <c r="E654" s="20"/>
    </row>
    <row r="655">
      <c r="B655" s="20"/>
      <c r="D655" s="41"/>
      <c r="E655" s="20"/>
    </row>
    <row r="656">
      <c r="B656" s="20"/>
      <c r="D656" s="41"/>
      <c r="E656" s="20"/>
    </row>
    <row r="657">
      <c r="B657" s="20"/>
      <c r="D657" s="41"/>
      <c r="E657" s="20"/>
    </row>
    <row r="658">
      <c r="B658" s="20"/>
      <c r="D658" s="41"/>
      <c r="E658" s="20"/>
    </row>
    <row r="659">
      <c r="B659" s="20"/>
      <c r="D659" s="41"/>
      <c r="E659" s="20"/>
    </row>
    <row r="660">
      <c r="B660" s="20"/>
      <c r="D660" s="41"/>
      <c r="E660" s="20"/>
    </row>
    <row r="661">
      <c r="B661" s="20"/>
      <c r="D661" s="41"/>
      <c r="E661" s="20"/>
    </row>
    <row r="662">
      <c r="B662" s="20"/>
      <c r="D662" s="41"/>
      <c r="E662" s="20"/>
    </row>
    <row r="663">
      <c r="B663" s="20"/>
      <c r="D663" s="41"/>
      <c r="E663" s="20"/>
    </row>
    <row r="664">
      <c r="B664" s="20"/>
      <c r="D664" s="41"/>
      <c r="E664" s="20"/>
    </row>
    <row r="665">
      <c r="B665" s="20"/>
      <c r="D665" s="41"/>
      <c r="E665" s="20"/>
    </row>
    <row r="666">
      <c r="B666" s="20"/>
      <c r="D666" s="41"/>
      <c r="E666" s="20"/>
    </row>
    <row r="667">
      <c r="B667" s="20"/>
      <c r="D667" s="41"/>
      <c r="E667" s="20"/>
    </row>
    <row r="668">
      <c r="B668" s="20"/>
      <c r="D668" s="41"/>
      <c r="E668" s="20"/>
    </row>
    <row r="669">
      <c r="B669" s="20"/>
      <c r="D669" s="41"/>
      <c r="E669" s="20"/>
    </row>
    <row r="670">
      <c r="B670" s="20"/>
      <c r="D670" s="41"/>
      <c r="E670" s="20"/>
    </row>
    <row r="671">
      <c r="B671" s="20"/>
      <c r="D671" s="41"/>
      <c r="E671" s="20"/>
    </row>
    <row r="672">
      <c r="B672" s="20"/>
      <c r="D672" s="41"/>
      <c r="E672" s="20"/>
    </row>
    <row r="673">
      <c r="B673" s="20"/>
      <c r="D673" s="41"/>
      <c r="E673" s="20"/>
    </row>
    <row r="674">
      <c r="B674" s="20"/>
      <c r="D674" s="41"/>
      <c r="E674" s="20"/>
    </row>
    <row r="675">
      <c r="B675" s="20"/>
      <c r="D675" s="41"/>
      <c r="E675" s="20"/>
    </row>
    <row r="676">
      <c r="B676" s="20"/>
      <c r="D676" s="41"/>
      <c r="E676" s="20"/>
    </row>
    <row r="677">
      <c r="B677" s="20"/>
      <c r="D677" s="41"/>
      <c r="E677" s="20"/>
    </row>
    <row r="678">
      <c r="B678" s="20"/>
      <c r="D678" s="41"/>
      <c r="E678" s="20"/>
    </row>
    <row r="679">
      <c r="B679" s="20"/>
      <c r="D679" s="41"/>
      <c r="E679" s="20"/>
    </row>
    <row r="680">
      <c r="B680" s="20"/>
      <c r="D680" s="41"/>
      <c r="E680" s="20"/>
    </row>
    <row r="681">
      <c r="B681" s="20"/>
      <c r="D681" s="41"/>
      <c r="E681" s="20"/>
    </row>
    <row r="682">
      <c r="B682" s="20"/>
      <c r="D682" s="41"/>
      <c r="E682" s="20"/>
    </row>
    <row r="683">
      <c r="B683" s="20"/>
      <c r="D683" s="41"/>
      <c r="E683" s="20"/>
    </row>
    <row r="684">
      <c r="B684" s="20"/>
      <c r="D684" s="41"/>
      <c r="E684" s="20"/>
    </row>
    <row r="685">
      <c r="B685" s="20"/>
      <c r="D685" s="41"/>
      <c r="E685" s="20"/>
    </row>
    <row r="686">
      <c r="B686" s="20"/>
      <c r="D686" s="41"/>
      <c r="E686" s="20"/>
    </row>
    <row r="687">
      <c r="B687" s="20"/>
      <c r="D687" s="41"/>
      <c r="E687" s="20"/>
    </row>
    <row r="688">
      <c r="B688" s="20"/>
      <c r="D688" s="41"/>
      <c r="E688" s="20"/>
    </row>
    <row r="689">
      <c r="B689" s="20"/>
      <c r="D689" s="41"/>
      <c r="E689" s="20"/>
    </row>
    <row r="690">
      <c r="B690" s="20"/>
      <c r="D690" s="41"/>
      <c r="E690" s="20"/>
    </row>
    <row r="691">
      <c r="B691" s="20"/>
      <c r="D691" s="41"/>
      <c r="E691" s="20"/>
    </row>
    <row r="692">
      <c r="B692" s="20"/>
      <c r="D692" s="41"/>
      <c r="E692" s="20"/>
    </row>
    <row r="693">
      <c r="B693" s="20"/>
      <c r="D693" s="41"/>
      <c r="E693" s="20"/>
    </row>
    <row r="694">
      <c r="B694" s="20"/>
      <c r="D694" s="41"/>
      <c r="E694" s="20"/>
    </row>
    <row r="695">
      <c r="B695" s="20"/>
      <c r="D695" s="41"/>
      <c r="E695" s="20"/>
    </row>
    <row r="696">
      <c r="B696" s="20"/>
      <c r="D696" s="41"/>
      <c r="E696" s="20"/>
    </row>
    <row r="697">
      <c r="B697" s="20"/>
      <c r="D697" s="41"/>
      <c r="E697" s="20"/>
    </row>
    <row r="698">
      <c r="B698" s="20"/>
      <c r="D698" s="41"/>
      <c r="E698" s="20"/>
    </row>
    <row r="699">
      <c r="B699" s="20"/>
      <c r="D699" s="41"/>
      <c r="E699" s="20"/>
    </row>
    <row r="700">
      <c r="B700" s="20"/>
      <c r="D700" s="41"/>
      <c r="E700" s="20"/>
    </row>
    <row r="701">
      <c r="B701" s="20"/>
      <c r="D701" s="41"/>
      <c r="E701" s="20"/>
    </row>
    <row r="702">
      <c r="B702" s="20"/>
      <c r="D702" s="41"/>
      <c r="E702" s="20"/>
    </row>
    <row r="703">
      <c r="B703" s="20"/>
      <c r="D703" s="41"/>
      <c r="E703" s="20"/>
    </row>
    <row r="704">
      <c r="B704" s="20"/>
      <c r="D704" s="41"/>
      <c r="E704" s="20"/>
    </row>
    <row r="705">
      <c r="B705" s="20"/>
      <c r="D705" s="41"/>
      <c r="E705" s="20"/>
    </row>
    <row r="706">
      <c r="B706" s="20"/>
      <c r="D706" s="41"/>
      <c r="E706" s="20"/>
    </row>
    <row r="707">
      <c r="B707" s="20"/>
      <c r="D707" s="41"/>
      <c r="E707" s="20"/>
    </row>
    <row r="708">
      <c r="B708" s="20"/>
      <c r="D708" s="41"/>
      <c r="E708" s="20"/>
    </row>
    <row r="709">
      <c r="B709" s="20"/>
      <c r="D709" s="41"/>
      <c r="E709" s="20"/>
    </row>
    <row r="710">
      <c r="B710" s="20"/>
      <c r="D710" s="41"/>
      <c r="E710" s="20"/>
    </row>
    <row r="711">
      <c r="B711" s="20"/>
      <c r="D711" s="41"/>
      <c r="E711" s="20"/>
    </row>
    <row r="712">
      <c r="B712" s="20"/>
      <c r="D712" s="41"/>
      <c r="E712" s="20"/>
    </row>
    <row r="713">
      <c r="B713" s="20"/>
      <c r="D713" s="41"/>
      <c r="E713" s="20"/>
    </row>
    <row r="714">
      <c r="B714" s="20"/>
      <c r="D714" s="41"/>
      <c r="E714" s="20"/>
    </row>
    <row r="715">
      <c r="B715" s="20"/>
      <c r="D715" s="41"/>
      <c r="E715" s="20"/>
    </row>
    <row r="716">
      <c r="B716" s="20"/>
      <c r="D716" s="41"/>
      <c r="E716" s="20"/>
    </row>
    <row r="717">
      <c r="B717" s="20"/>
      <c r="D717" s="41"/>
      <c r="E717" s="20"/>
    </row>
    <row r="718">
      <c r="B718" s="20"/>
      <c r="D718" s="41"/>
      <c r="E718" s="20"/>
    </row>
    <row r="719">
      <c r="B719" s="20"/>
      <c r="D719" s="41"/>
      <c r="E719" s="20"/>
    </row>
    <row r="720">
      <c r="B720" s="20"/>
      <c r="D720" s="41"/>
      <c r="E720" s="20"/>
    </row>
    <row r="721">
      <c r="B721" s="20"/>
      <c r="D721" s="41"/>
      <c r="E721" s="20"/>
    </row>
    <row r="722">
      <c r="B722" s="20"/>
      <c r="D722" s="41"/>
      <c r="E722" s="20"/>
    </row>
    <row r="723">
      <c r="B723" s="20"/>
      <c r="D723" s="41"/>
      <c r="E723" s="20"/>
    </row>
    <row r="724">
      <c r="B724" s="20"/>
      <c r="D724" s="41"/>
      <c r="E724" s="20"/>
    </row>
    <row r="725">
      <c r="B725" s="20"/>
      <c r="D725" s="41"/>
      <c r="E725" s="20"/>
    </row>
    <row r="726">
      <c r="B726" s="20"/>
      <c r="D726" s="41"/>
      <c r="E726" s="20"/>
    </row>
    <row r="727">
      <c r="B727" s="20"/>
      <c r="D727" s="41"/>
      <c r="E727" s="20"/>
    </row>
    <row r="728">
      <c r="B728" s="20"/>
      <c r="D728" s="41"/>
      <c r="E728" s="20"/>
    </row>
    <row r="729">
      <c r="B729" s="20"/>
      <c r="D729" s="41"/>
      <c r="E729" s="20"/>
    </row>
    <row r="730">
      <c r="B730" s="20"/>
      <c r="D730" s="41"/>
      <c r="E730" s="20"/>
    </row>
    <row r="731">
      <c r="B731" s="20"/>
      <c r="D731" s="41"/>
      <c r="E731" s="20"/>
    </row>
    <row r="732">
      <c r="B732" s="20"/>
      <c r="D732" s="41"/>
      <c r="E732" s="20"/>
    </row>
    <row r="733">
      <c r="B733" s="20"/>
      <c r="D733" s="41"/>
      <c r="E733" s="20"/>
    </row>
    <row r="734">
      <c r="B734" s="20"/>
      <c r="D734" s="41"/>
      <c r="E734" s="20"/>
    </row>
    <row r="735">
      <c r="B735" s="20"/>
      <c r="D735" s="41"/>
      <c r="E735" s="20"/>
    </row>
    <row r="736">
      <c r="B736" s="20"/>
      <c r="D736" s="41"/>
      <c r="E736" s="20"/>
    </row>
    <row r="737">
      <c r="B737" s="20"/>
      <c r="D737" s="41"/>
      <c r="E737" s="20"/>
    </row>
    <row r="738">
      <c r="B738" s="20"/>
      <c r="D738" s="41"/>
      <c r="E738" s="20"/>
    </row>
    <row r="739">
      <c r="B739" s="20"/>
      <c r="D739" s="41"/>
      <c r="E739" s="20"/>
    </row>
    <row r="740">
      <c r="B740" s="20"/>
      <c r="D740" s="41"/>
      <c r="E740" s="20"/>
    </row>
    <row r="741">
      <c r="B741" s="20"/>
      <c r="D741" s="41"/>
      <c r="E741" s="20"/>
    </row>
    <row r="742">
      <c r="B742" s="20"/>
      <c r="D742" s="41"/>
      <c r="E742" s="20"/>
    </row>
    <row r="743">
      <c r="B743" s="20"/>
      <c r="D743" s="41"/>
      <c r="E743" s="20"/>
    </row>
    <row r="744">
      <c r="B744" s="20"/>
      <c r="D744" s="41"/>
      <c r="E744" s="20"/>
    </row>
    <row r="745">
      <c r="B745" s="20"/>
      <c r="D745" s="41"/>
      <c r="E745" s="20"/>
    </row>
    <row r="746">
      <c r="B746" s="20"/>
      <c r="D746" s="41"/>
      <c r="E746" s="20"/>
    </row>
    <row r="747">
      <c r="B747" s="20"/>
      <c r="D747" s="41"/>
      <c r="E747" s="20"/>
    </row>
    <row r="748">
      <c r="B748" s="20"/>
      <c r="D748" s="41"/>
      <c r="E748" s="20"/>
    </row>
    <row r="749">
      <c r="B749" s="20"/>
      <c r="D749" s="41"/>
      <c r="E749" s="20"/>
    </row>
    <row r="750">
      <c r="B750" s="20"/>
      <c r="D750" s="41"/>
      <c r="E750" s="20"/>
    </row>
    <row r="751">
      <c r="B751" s="20"/>
      <c r="D751" s="41"/>
      <c r="E751" s="20"/>
    </row>
    <row r="752">
      <c r="B752" s="20"/>
      <c r="D752" s="41"/>
      <c r="E752" s="20"/>
    </row>
    <row r="753">
      <c r="B753" s="20"/>
      <c r="D753" s="41"/>
      <c r="E753" s="20"/>
    </row>
    <row r="754">
      <c r="B754" s="20"/>
      <c r="D754" s="41"/>
      <c r="E754" s="20"/>
    </row>
    <row r="755">
      <c r="B755" s="20"/>
      <c r="D755" s="41"/>
      <c r="E755" s="20"/>
    </row>
    <row r="756">
      <c r="B756" s="20"/>
      <c r="D756" s="41"/>
      <c r="E756" s="20"/>
    </row>
    <row r="757">
      <c r="B757" s="20"/>
      <c r="D757" s="41"/>
      <c r="E757" s="20"/>
    </row>
    <row r="758">
      <c r="B758" s="20"/>
      <c r="D758" s="41"/>
      <c r="E758" s="20"/>
    </row>
    <row r="759">
      <c r="B759" s="20"/>
      <c r="D759" s="41"/>
      <c r="E759" s="20"/>
    </row>
    <row r="760">
      <c r="B760" s="20"/>
      <c r="D760" s="41"/>
      <c r="E760" s="20"/>
    </row>
    <row r="761">
      <c r="B761" s="20"/>
      <c r="D761" s="41"/>
      <c r="E761" s="20"/>
    </row>
    <row r="762">
      <c r="B762" s="20"/>
      <c r="D762" s="41"/>
      <c r="E762" s="20"/>
    </row>
    <row r="763">
      <c r="B763" s="20"/>
      <c r="D763" s="41"/>
      <c r="E763" s="20"/>
    </row>
    <row r="764">
      <c r="B764" s="20"/>
      <c r="D764" s="41"/>
      <c r="E764" s="20"/>
    </row>
    <row r="765">
      <c r="B765" s="20"/>
      <c r="D765" s="41"/>
      <c r="E765" s="20"/>
    </row>
    <row r="766">
      <c r="B766" s="20"/>
      <c r="D766" s="41"/>
      <c r="E766" s="20"/>
    </row>
    <row r="767">
      <c r="B767" s="20"/>
      <c r="D767" s="41"/>
      <c r="E767" s="20"/>
    </row>
    <row r="768">
      <c r="B768" s="20"/>
      <c r="D768" s="41"/>
      <c r="E768" s="20"/>
    </row>
    <row r="769">
      <c r="B769" s="20"/>
      <c r="D769" s="41"/>
      <c r="E769" s="20"/>
    </row>
    <row r="770">
      <c r="B770" s="20"/>
      <c r="D770" s="41"/>
      <c r="E770" s="20"/>
    </row>
    <row r="771">
      <c r="B771" s="20"/>
      <c r="D771" s="41"/>
      <c r="E771" s="20"/>
    </row>
    <row r="772">
      <c r="B772" s="20"/>
      <c r="D772" s="41"/>
      <c r="E772" s="20"/>
    </row>
    <row r="773">
      <c r="B773" s="20"/>
      <c r="D773" s="41"/>
      <c r="E773" s="20"/>
    </row>
    <row r="774">
      <c r="B774" s="20"/>
      <c r="D774" s="41"/>
      <c r="E774" s="20"/>
    </row>
    <row r="775">
      <c r="B775" s="20"/>
      <c r="D775" s="41"/>
      <c r="E775" s="20"/>
    </row>
    <row r="776">
      <c r="B776" s="20"/>
      <c r="D776" s="41"/>
      <c r="E776" s="20"/>
    </row>
    <row r="777">
      <c r="B777" s="20"/>
      <c r="D777" s="41"/>
      <c r="E777" s="20"/>
    </row>
    <row r="778">
      <c r="B778" s="20"/>
      <c r="D778" s="41"/>
      <c r="E778" s="20"/>
    </row>
    <row r="779">
      <c r="B779" s="20"/>
      <c r="D779" s="41"/>
      <c r="E779" s="20"/>
    </row>
    <row r="780">
      <c r="B780" s="20"/>
      <c r="D780" s="41"/>
      <c r="E780" s="20"/>
    </row>
    <row r="781">
      <c r="B781" s="20"/>
      <c r="D781" s="41"/>
      <c r="E781" s="20"/>
    </row>
    <row r="782">
      <c r="B782" s="20"/>
      <c r="D782" s="41"/>
      <c r="E782" s="20"/>
    </row>
    <row r="783">
      <c r="B783" s="20"/>
      <c r="D783" s="41"/>
      <c r="E783" s="20"/>
    </row>
    <row r="784">
      <c r="B784" s="20"/>
      <c r="D784" s="41"/>
      <c r="E784" s="20"/>
    </row>
    <row r="785">
      <c r="B785" s="20"/>
      <c r="D785" s="41"/>
      <c r="E785" s="20"/>
    </row>
    <row r="786">
      <c r="B786" s="20"/>
      <c r="D786" s="41"/>
      <c r="E786" s="20"/>
    </row>
    <row r="787">
      <c r="B787" s="20"/>
      <c r="D787" s="41"/>
      <c r="E787" s="20"/>
    </row>
    <row r="788">
      <c r="B788" s="20"/>
      <c r="D788" s="41"/>
      <c r="E788" s="20"/>
    </row>
    <row r="789">
      <c r="B789" s="20"/>
      <c r="D789" s="41"/>
      <c r="E789" s="20"/>
    </row>
    <row r="790">
      <c r="B790" s="20"/>
      <c r="D790" s="41"/>
      <c r="E790" s="20"/>
    </row>
    <row r="791">
      <c r="B791" s="20"/>
      <c r="D791" s="41"/>
      <c r="E791" s="20"/>
    </row>
    <row r="792">
      <c r="B792" s="20"/>
      <c r="D792" s="41"/>
      <c r="E792" s="20"/>
    </row>
    <row r="793">
      <c r="B793" s="20"/>
      <c r="D793" s="41"/>
      <c r="E793" s="20"/>
    </row>
    <row r="794">
      <c r="B794" s="20"/>
      <c r="D794" s="41"/>
      <c r="E794" s="20"/>
    </row>
    <row r="795">
      <c r="B795" s="20"/>
      <c r="D795" s="41"/>
      <c r="E795" s="20"/>
    </row>
    <row r="796">
      <c r="B796" s="20"/>
      <c r="D796" s="41"/>
      <c r="E796" s="20"/>
    </row>
    <row r="797">
      <c r="B797" s="20"/>
      <c r="D797" s="41"/>
      <c r="E797" s="20"/>
    </row>
    <row r="798">
      <c r="B798" s="20"/>
      <c r="D798" s="41"/>
      <c r="E798" s="20"/>
    </row>
    <row r="799">
      <c r="B799" s="20"/>
      <c r="D799" s="41"/>
      <c r="E799" s="20"/>
    </row>
    <row r="800">
      <c r="B800" s="20"/>
      <c r="D800" s="41"/>
      <c r="E800" s="20"/>
    </row>
    <row r="801">
      <c r="B801" s="20"/>
      <c r="D801" s="41"/>
      <c r="E801" s="20"/>
    </row>
    <row r="802">
      <c r="B802" s="20"/>
      <c r="D802" s="41"/>
      <c r="E802" s="20"/>
    </row>
    <row r="803">
      <c r="B803" s="20"/>
      <c r="D803" s="41"/>
      <c r="E803" s="20"/>
    </row>
    <row r="804">
      <c r="B804" s="20"/>
      <c r="D804" s="41"/>
      <c r="E804" s="20"/>
    </row>
    <row r="805">
      <c r="B805" s="20"/>
      <c r="D805" s="41"/>
      <c r="E805" s="20"/>
    </row>
    <row r="806">
      <c r="B806" s="20"/>
      <c r="D806" s="41"/>
      <c r="E806" s="20"/>
    </row>
    <row r="807">
      <c r="B807" s="20"/>
      <c r="D807" s="41"/>
      <c r="E807" s="20"/>
    </row>
    <row r="808">
      <c r="B808" s="20"/>
      <c r="D808" s="41"/>
      <c r="E808" s="20"/>
    </row>
    <row r="809">
      <c r="B809" s="20"/>
      <c r="D809" s="41"/>
      <c r="E809" s="20"/>
    </row>
    <row r="810">
      <c r="B810" s="20"/>
      <c r="D810" s="41"/>
      <c r="E810" s="20"/>
    </row>
    <row r="811">
      <c r="B811" s="20"/>
      <c r="D811" s="41"/>
      <c r="E811" s="20"/>
    </row>
    <row r="812">
      <c r="B812" s="20"/>
      <c r="D812" s="41"/>
      <c r="E812" s="20"/>
    </row>
    <row r="813">
      <c r="B813" s="20"/>
      <c r="D813" s="41"/>
      <c r="E813" s="20"/>
    </row>
    <row r="814">
      <c r="B814" s="20"/>
      <c r="D814" s="41"/>
      <c r="E814" s="20"/>
    </row>
    <row r="815">
      <c r="B815" s="20"/>
      <c r="D815" s="41"/>
      <c r="E815" s="20"/>
    </row>
    <row r="816">
      <c r="B816" s="20"/>
      <c r="D816" s="41"/>
      <c r="E816" s="20"/>
    </row>
    <row r="817">
      <c r="B817" s="20"/>
      <c r="D817" s="41"/>
      <c r="E817" s="20"/>
    </row>
    <row r="818">
      <c r="B818" s="20"/>
      <c r="D818" s="41"/>
      <c r="E818" s="20"/>
    </row>
    <row r="819">
      <c r="B819" s="20"/>
      <c r="D819" s="41"/>
      <c r="E819" s="20"/>
    </row>
    <row r="820">
      <c r="B820" s="20"/>
      <c r="D820" s="41"/>
      <c r="E820" s="20"/>
    </row>
    <row r="821">
      <c r="B821" s="20"/>
      <c r="D821" s="41"/>
      <c r="E821" s="20"/>
    </row>
    <row r="822">
      <c r="B822" s="20"/>
      <c r="D822" s="41"/>
      <c r="E822" s="20"/>
    </row>
    <row r="823">
      <c r="B823" s="20"/>
      <c r="D823" s="41"/>
      <c r="E823" s="20"/>
    </row>
    <row r="824">
      <c r="B824" s="20"/>
      <c r="D824" s="41"/>
      <c r="E824" s="20"/>
    </row>
    <row r="825">
      <c r="B825" s="20"/>
      <c r="D825" s="41"/>
      <c r="E825" s="20"/>
    </row>
    <row r="826">
      <c r="B826" s="20"/>
      <c r="D826" s="41"/>
      <c r="E826" s="20"/>
    </row>
    <row r="827">
      <c r="B827" s="20"/>
      <c r="D827" s="41"/>
      <c r="E827" s="20"/>
    </row>
    <row r="828">
      <c r="B828" s="20"/>
      <c r="D828" s="41"/>
      <c r="E828" s="20"/>
    </row>
    <row r="829">
      <c r="B829" s="20"/>
      <c r="D829" s="41"/>
      <c r="E829" s="20"/>
    </row>
    <row r="830">
      <c r="B830" s="20"/>
      <c r="D830" s="41"/>
      <c r="E830" s="20"/>
    </row>
    <row r="831">
      <c r="B831" s="20"/>
      <c r="D831" s="41"/>
      <c r="E831" s="20"/>
    </row>
    <row r="832">
      <c r="B832" s="20"/>
      <c r="D832" s="41"/>
      <c r="E832" s="20"/>
    </row>
    <row r="833">
      <c r="B833" s="20"/>
      <c r="D833" s="41"/>
      <c r="E833" s="20"/>
    </row>
    <row r="834">
      <c r="B834" s="20"/>
      <c r="D834" s="41"/>
      <c r="E834" s="20"/>
    </row>
    <row r="835">
      <c r="B835" s="20"/>
      <c r="D835" s="41"/>
      <c r="E835" s="20"/>
    </row>
    <row r="836">
      <c r="B836" s="20"/>
      <c r="D836" s="41"/>
      <c r="E836" s="20"/>
    </row>
    <row r="837">
      <c r="B837" s="20"/>
      <c r="D837" s="41"/>
      <c r="E837" s="20"/>
    </row>
    <row r="838">
      <c r="B838" s="20"/>
      <c r="D838" s="41"/>
      <c r="E838" s="20"/>
    </row>
    <row r="839">
      <c r="B839" s="20"/>
      <c r="D839" s="41"/>
      <c r="E839" s="20"/>
    </row>
    <row r="840">
      <c r="B840" s="20"/>
      <c r="D840" s="41"/>
      <c r="E840" s="20"/>
    </row>
    <row r="841">
      <c r="B841" s="20"/>
      <c r="D841" s="41"/>
      <c r="E841" s="20"/>
    </row>
    <row r="842">
      <c r="B842" s="20"/>
      <c r="D842" s="41"/>
      <c r="E842" s="20"/>
    </row>
    <row r="843">
      <c r="B843" s="20"/>
      <c r="D843" s="41"/>
      <c r="E843" s="20"/>
    </row>
    <row r="844">
      <c r="B844" s="20"/>
      <c r="D844" s="41"/>
      <c r="E844" s="20"/>
    </row>
    <row r="845">
      <c r="B845" s="20"/>
      <c r="D845" s="41"/>
      <c r="E845" s="20"/>
    </row>
    <row r="846">
      <c r="B846" s="20"/>
      <c r="D846" s="41"/>
      <c r="E846" s="20"/>
    </row>
    <row r="847">
      <c r="B847" s="20"/>
      <c r="D847" s="41"/>
      <c r="E847" s="20"/>
    </row>
    <row r="848">
      <c r="B848" s="20"/>
      <c r="D848" s="41"/>
      <c r="E848" s="20"/>
    </row>
    <row r="849">
      <c r="B849" s="20"/>
      <c r="D849" s="41"/>
      <c r="E849" s="20"/>
    </row>
    <row r="850">
      <c r="B850" s="20"/>
      <c r="D850" s="41"/>
      <c r="E850" s="20"/>
    </row>
    <row r="851">
      <c r="B851" s="20"/>
      <c r="D851" s="41"/>
      <c r="E851" s="20"/>
    </row>
    <row r="852">
      <c r="B852" s="20"/>
      <c r="D852" s="41"/>
      <c r="E852" s="20"/>
    </row>
    <row r="853">
      <c r="B853" s="20"/>
      <c r="D853" s="41"/>
      <c r="E853" s="20"/>
    </row>
    <row r="854">
      <c r="B854" s="20"/>
      <c r="D854" s="41"/>
      <c r="E854" s="20"/>
    </row>
    <row r="855">
      <c r="B855" s="20"/>
      <c r="D855" s="41"/>
      <c r="E855" s="20"/>
    </row>
    <row r="856">
      <c r="B856" s="20"/>
      <c r="D856" s="41"/>
      <c r="E856" s="20"/>
    </row>
    <row r="857">
      <c r="B857" s="20"/>
      <c r="D857" s="41"/>
      <c r="E857" s="20"/>
    </row>
    <row r="858">
      <c r="B858" s="20"/>
      <c r="D858" s="41"/>
      <c r="E858" s="20"/>
    </row>
    <row r="859">
      <c r="B859" s="20"/>
      <c r="D859" s="41"/>
      <c r="E859" s="20"/>
    </row>
    <row r="860">
      <c r="B860" s="20"/>
      <c r="D860" s="41"/>
      <c r="E860" s="20"/>
    </row>
    <row r="861">
      <c r="B861" s="20"/>
      <c r="D861" s="41"/>
      <c r="E861" s="20"/>
    </row>
    <row r="862">
      <c r="B862" s="20"/>
      <c r="D862" s="41"/>
      <c r="E862" s="20"/>
    </row>
    <row r="863">
      <c r="B863" s="20"/>
      <c r="D863" s="41"/>
      <c r="E863" s="20"/>
    </row>
    <row r="864">
      <c r="B864" s="20"/>
      <c r="D864" s="41"/>
      <c r="E864" s="20"/>
    </row>
    <row r="865">
      <c r="B865" s="20"/>
      <c r="D865" s="41"/>
      <c r="E865" s="20"/>
    </row>
    <row r="866">
      <c r="B866" s="20"/>
      <c r="D866" s="41"/>
      <c r="E866" s="20"/>
    </row>
    <row r="867">
      <c r="B867" s="20"/>
      <c r="D867" s="41"/>
      <c r="E867" s="20"/>
    </row>
    <row r="868">
      <c r="B868" s="20"/>
      <c r="D868" s="41"/>
      <c r="E868" s="20"/>
    </row>
    <row r="869">
      <c r="B869" s="20"/>
      <c r="D869" s="41"/>
      <c r="E869" s="20"/>
    </row>
    <row r="870">
      <c r="B870" s="20"/>
      <c r="D870" s="41"/>
      <c r="E870" s="20"/>
    </row>
    <row r="871">
      <c r="B871" s="20"/>
      <c r="D871" s="41"/>
      <c r="E871" s="20"/>
    </row>
    <row r="872">
      <c r="B872" s="20"/>
      <c r="D872" s="41"/>
      <c r="E872" s="20"/>
    </row>
    <row r="873">
      <c r="B873" s="20"/>
      <c r="D873" s="41"/>
      <c r="E873" s="20"/>
    </row>
    <row r="874">
      <c r="B874" s="20"/>
      <c r="D874" s="41"/>
      <c r="E874" s="20"/>
    </row>
    <row r="875">
      <c r="B875" s="20"/>
      <c r="D875" s="41"/>
      <c r="E875" s="20"/>
    </row>
    <row r="876">
      <c r="B876" s="20"/>
      <c r="D876" s="41"/>
      <c r="E876" s="20"/>
    </row>
    <row r="877">
      <c r="B877" s="20"/>
      <c r="D877" s="41"/>
      <c r="E877" s="20"/>
    </row>
    <row r="878">
      <c r="B878" s="20"/>
      <c r="D878" s="41"/>
      <c r="E878" s="20"/>
    </row>
    <row r="879">
      <c r="B879" s="20"/>
      <c r="D879" s="41"/>
      <c r="E879" s="20"/>
    </row>
    <row r="880">
      <c r="B880" s="20"/>
      <c r="D880" s="41"/>
      <c r="E880" s="20"/>
    </row>
    <row r="881">
      <c r="B881" s="20"/>
      <c r="D881" s="41"/>
      <c r="E881" s="20"/>
    </row>
    <row r="882">
      <c r="B882" s="20"/>
      <c r="D882" s="41"/>
      <c r="E882" s="20"/>
    </row>
    <row r="883">
      <c r="B883" s="20"/>
      <c r="D883" s="41"/>
      <c r="E883" s="20"/>
    </row>
    <row r="884">
      <c r="B884" s="20"/>
      <c r="D884" s="41"/>
      <c r="E884" s="20"/>
    </row>
    <row r="885">
      <c r="B885" s="20"/>
      <c r="D885" s="41"/>
      <c r="E885" s="20"/>
    </row>
    <row r="886">
      <c r="B886" s="20"/>
      <c r="D886" s="41"/>
      <c r="E886" s="20"/>
    </row>
    <row r="887">
      <c r="B887" s="20"/>
      <c r="D887" s="41"/>
      <c r="E887" s="20"/>
    </row>
    <row r="888">
      <c r="B888" s="20"/>
      <c r="D888" s="41"/>
      <c r="E888" s="20"/>
    </row>
    <row r="889">
      <c r="B889" s="20"/>
      <c r="D889" s="41"/>
      <c r="E889" s="20"/>
    </row>
    <row r="890">
      <c r="B890" s="20"/>
      <c r="D890" s="41"/>
      <c r="E890" s="20"/>
    </row>
    <row r="891">
      <c r="B891" s="20"/>
      <c r="D891" s="41"/>
      <c r="E891" s="20"/>
    </row>
    <row r="892">
      <c r="B892" s="20"/>
      <c r="D892" s="41"/>
      <c r="E892" s="20"/>
    </row>
    <row r="893">
      <c r="B893" s="20"/>
      <c r="D893" s="41"/>
      <c r="E893" s="20"/>
    </row>
    <row r="894">
      <c r="B894" s="20"/>
      <c r="D894" s="41"/>
      <c r="E894" s="20"/>
    </row>
    <row r="895">
      <c r="B895" s="20"/>
      <c r="D895" s="41"/>
      <c r="E895" s="20"/>
    </row>
    <row r="896">
      <c r="B896" s="20"/>
      <c r="D896" s="41"/>
      <c r="E896" s="20"/>
    </row>
    <row r="897">
      <c r="B897" s="20"/>
      <c r="D897" s="41"/>
      <c r="E897" s="20"/>
    </row>
    <row r="898">
      <c r="B898" s="20"/>
      <c r="D898" s="41"/>
      <c r="E898" s="20"/>
    </row>
    <row r="899">
      <c r="B899" s="20"/>
      <c r="D899" s="41"/>
      <c r="E899" s="20"/>
    </row>
    <row r="900">
      <c r="B900" s="20"/>
      <c r="D900" s="41"/>
      <c r="E900" s="20"/>
    </row>
    <row r="901">
      <c r="B901" s="20"/>
      <c r="D901" s="41"/>
      <c r="E901" s="20"/>
    </row>
    <row r="902">
      <c r="B902" s="20"/>
      <c r="D902" s="41"/>
      <c r="E902" s="20"/>
    </row>
    <row r="903">
      <c r="B903" s="20"/>
      <c r="D903" s="41"/>
      <c r="E903" s="20"/>
    </row>
    <row r="904">
      <c r="B904" s="20"/>
      <c r="D904" s="41"/>
      <c r="E904" s="20"/>
    </row>
    <row r="905">
      <c r="B905" s="20"/>
      <c r="D905" s="41"/>
      <c r="E905" s="20"/>
    </row>
    <row r="906">
      <c r="B906" s="20"/>
      <c r="D906" s="41"/>
      <c r="E906" s="20"/>
    </row>
    <row r="907">
      <c r="B907" s="20"/>
      <c r="D907" s="41"/>
      <c r="E907" s="20"/>
    </row>
    <row r="908">
      <c r="B908" s="20"/>
      <c r="D908" s="41"/>
      <c r="E908" s="20"/>
    </row>
    <row r="909">
      <c r="B909" s="20"/>
      <c r="D909" s="41"/>
      <c r="E909" s="20"/>
    </row>
    <row r="910">
      <c r="B910" s="20"/>
      <c r="D910" s="41"/>
      <c r="E910" s="20"/>
    </row>
    <row r="911">
      <c r="B911" s="20"/>
      <c r="D911" s="41"/>
      <c r="E911" s="20"/>
    </row>
    <row r="912">
      <c r="B912" s="20"/>
      <c r="D912" s="41"/>
      <c r="E912" s="20"/>
    </row>
    <row r="913">
      <c r="B913" s="20"/>
      <c r="D913" s="41"/>
      <c r="E913" s="20"/>
    </row>
    <row r="914">
      <c r="B914" s="20"/>
      <c r="D914" s="41"/>
      <c r="E914" s="20"/>
    </row>
    <row r="915">
      <c r="B915" s="20"/>
      <c r="D915" s="41"/>
      <c r="E915" s="20"/>
    </row>
    <row r="916">
      <c r="B916" s="20"/>
      <c r="D916" s="41"/>
      <c r="E916" s="20"/>
    </row>
    <row r="917">
      <c r="B917" s="20"/>
      <c r="D917" s="41"/>
      <c r="E917" s="20"/>
    </row>
    <row r="918">
      <c r="B918" s="20"/>
      <c r="D918" s="41"/>
      <c r="E918" s="20"/>
    </row>
    <row r="919">
      <c r="B919" s="20"/>
      <c r="D919" s="41"/>
      <c r="E919" s="20"/>
    </row>
    <row r="920">
      <c r="B920" s="20"/>
      <c r="D920" s="41"/>
      <c r="E920" s="20"/>
    </row>
    <row r="921">
      <c r="B921" s="20"/>
      <c r="D921" s="41"/>
      <c r="E921" s="20"/>
    </row>
    <row r="922">
      <c r="B922" s="20"/>
      <c r="D922" s="41"/>
      <c r="E922" s="20"/>
    </row>
    <row r="923">
      <c r="B923" s="20"/>
      <c r="D923" s="41"/>
      <c r="E923" s="20"/>
    </row>
    <row r="924">
      <c r="B924" s="20"/>
      <c r="D924" s="41"/>
      <c r="E924" s="20"/>
    </row>
    <row r="925">
      <c r="B925" s="20"/>
      <c r="D925" s="41"/>
      <c r="E925" s="20"/>
    </row>
    <row r="926">
      <c r="B926" s="20"/>
      <c r="D926" s="41"/>
      <c r="E926" s="20"/>
    </row>
    <row r="927">
      <c r="B927" s="20"/>
      <c r="D927" s="41"/>
      <c r="E927" s="20"/>
    </row>
    <row r="928">
      <c r="B928" s="20"/>
      <c r="D928" s="41"/>
      <c r="E928" s="20"/>
    </row>
    <row r="929">
      <c r="B929" s="20"/>
      <c r="D929" s="41"/>
      <c r="E929" s="20"/>
    </row>
    <row r="930">
      <c r="B930" s="20"/>
      <c r="D930" s="41"/>
      <c r="E930" s="20"/>
    </row>
    <row r="931">
      <c r="B931" s="20"/>
      <c r="D931" s="41"/>
      <c r="E931" s="20"/>
    </row>
    <row r="932">
      <c r="B932" s="20"/>
      <c r="D932" s="41"/>
      <c r="E932" s="20"/>
    </row>
    <row r="933">
      <c r="B933" s="20"/>
      <c r="D933" s="41"/>
      <c r="E933" s="20"/>
    </row>
    <row r="934">
      <c r="B934" s="20"/>
      <c r="D934" s="41"/>
      <c r="E934" s="20"/>
    </row>
    <row r="935">
      <c r="B935" s="20"/>
      <c r="D935" s="41"/>
      <c r="E935" s="20"/>
    </row>
    <row r="936">
      <c r="B936" s="20"/>
      <c r="D936" s="41"/>
      <c r="E936" s="20"/>
    </row>
    <row r="937">
      <c r="B937" s="20"/>
      <c r="D937" s="41"/>
      <c r="E937" s="20"/>
    </row>
    <row r="938">
      <c r="B938" s="20"/>
      <c r="D938" s="41"/>
      <c r="E938" s="20"/>
    </row>
    <row r="939">
      <c r="B939" s="20"/>
      <c r="D939" s="41"/>
      <c r="E939" s="20"/>
    </row>
    <row r="940">
      <c r="B940" s="20"/>
      <c r="D940" s="41"/>
      <c r="E940" s="20"/>
    </row>
    <row r="941">
      <c r="B941" s="20"/>
      <c r="D941" s="41"/>
      <c r="E941" s="20"/>
    </row>
    <row r="942">
      <c r="B942" s="20"/>
      <c r="D942" s="41"/>
      <c r="E942" s="20"/>
    </row>
    <row r="943">
      <c r="B943" s="20"/>
      <c r="D943" s="41"/>
      <c r="E943" s="20"/>
    </row>
    <row r="944">
      <c r="B944" s="20"/>
      <c r="D944" s="41"/>
      <c r="E944" s="20"/>
    </row>
    <row r="945">
      <c r="B945" s="20"/>
      <c r="D945" s="41"/>
      <c r="E945" s="20"/>
    </row>
    <row r="946">
      <c r="B946" s="20"/>
      <c r="D946" s="41"/>
      <c r="E946" s="20"/>
    </row>
    <row r="947">
      <c r="B947" s="20"/>
      <c r="D947" s="41"/>
      <c r="E947" s="20"/>
    </row>
    <row r="948">
      <c r="B948" s="20"/>
      <c r="D948" s="41"/>
      <c r="E948" s="20"/>
    </row>
    <row r="949">
      <c r="B949" s="20"/>
      <c r="D949" s="41"/>
      <c r="E949" s="20"/>
    </row>
    <row r="950">
      <c r="B950" s="20"/>
      <c r="D950" s="41"/>
      <c r="E950" s="20"/>
    </row>
    <row r="951">
      <c r="B951" s="20"/>
      <c r="D951" s="41"/>
      <c r="E951" s="20"/>
    </row>
    <row r="952">
      <c r="B952" s="20"/>
      <c r="D952" s="41"/>
      <c r="E952" s="20"/>
    </row>
    <row r="953">
      <c r="B953" s="20"/>
      <c r="D953" s="41"/>
      <c r="E953" s="20"/>
    </row>
    <row r="954">
      <c r="B954" s="20"/>
      <c r="D954" s="41"/>
      <c r="E954" s="20"/>
    </row>
    <row r="955">
      <c r="B955" s="20"/>
      <c r="D955" s="41"/>
      <c r="E955" s="20"/>
    </row>
    <row r="956">
      <c r="B956" s="20"/>
      <c r="D956" s="41"/>
      <c r="E956" s="20"/>
    </row>
    <row r="957">
      <c r="B957" s="20"/>
      <c r="D957" s="41"/>
      <c r="E957" s="20"/>
    </row>
    <row r="958">
      <c r="B958" s="20"/>
      <c r="D958" s="41"/>
      <c r="E958" s="20"/>
    </row>
    <row r="959">
      <c r="B959" s="20"/>
      <c r="D959" s="41"/>
      <c r="E959" s="20"/>
    </row>
    <row r="960">
      <c r="B960" s="20"/>
      <c r="D960" s="41"/>
      <c r="E960" s="20"/>
    </row>
    <row r="961">
      <c r="B961" s="20"/>
      <c r="D961" s="41"/>
      <c r="E961" s="20"/>
    </row>
    <row r="962">
      <c r="B962" s="20"/>
      <c r="D962" s="41"/>
      <c r="E962" s="20"/>
    </row>
    <row r="963">
      <c r="B963" s="20"/>
      <c r="D963" s="41"/>
      <c r="E963" s="20"/>
    </row>
    <row r="964">
      <c r="B964" s="20"/>
      <c r="D964" s="41"/>
      <c r="E964" s="20"/>
    </row>
    <row r="965">
      <c r="B965" s="20"/>
      <c r="D965" s="41"/>
      <c r="E965" s="20"/>
    </row>
    <row r="966">
      <c r="B966" s="20"/>
      <c r="D966" s="41"/>
      <c r="E966" s="20"/>
    </row>
    <row r="967">
      <c r="B967" s="20"/>
      <c r="D967" s="41"/>
      <c r="E967" s="20"/>
    </row>
    <row r="968">
      <c r="B968" s="20"/>
      <c r="D968" s="41"/>
      <c r="E968" s="20"/>
    </row>
    <row r="969">
      <c r="B969" s="20"/>
      <c r="D969" s="41"/>
      <c r="E969" s="20"/>
    </row>
    <row r="970">
      <c r="B970" s="20"/>
      <c r="D970" s="41"/>
      <c r="E970" s="20"/>
    </row>
    <row r="971">
      <c r="B971" s="20"/>
      <c r="D971" s="41"/>
      <c r="E971" s="20"/>
    </row>
    <row r="972">
      <c r="B972" s="20"/>
      <c r="D972" s="41"/>
      <c r="E972" s="20"/>
    </row>
    <row r="973">
      <c r="B973" s="20"/>
      <c r="D973" s="41"/>
      <c r="E973" s="20"/>
    </row>
    <row r="974">
      <c r="B974" s="20"/>
      <c r="D974" s="41"/>
      <c r="E974" s="20"/>
    </row>
    <row r="975">
      <c r="B975" s="20"/>
      <c r="D975" s="41"/>
      <c r="E975" s="20"/>
    </row>
    <row r="976">
      <c r="B976" s="20"/>
      <c r="D976" s="41"/>
      <c r="E976" s="20"/>
    </row>
    <row r="977">
      <c r="B977" s="20"/>
      <c r="D977" s="41"/>
      <c r="E977" s="20"/>
    </row>
    <row r="978">
      <c r="B978" s="20"/>
      <c r="D978" s="41"/>
      <c r="E978" s="20"/>
    </row>
    <row r="979">
      <c r="B979" s="20"/>
      <c r="D979" s="41"/>
      <c r="E979" s="20"/>
    </row>
    <row r="980">
      <c r="B980" s="20"/>
      <c r="D980" s="41"/>
      <c r="E980" s="20"/>
    </row>
    <row r="981">
      <c r="B981" s="20"/>
      <c r="D981" s="41"/>
      <c r="E981" s="20"/>
    </row>
    <row r="982">
      <c r="B982" s="20"/>
      <c r="D982" s="41"/>
      <c r="E982" s="20"/>
    </row>
    <row r="983">
      <c r="B983" s="20"/>
      <c r="D983" s="41"/>
      <c r="E983" s="20"/>
    </row>
    <row r="984">
      <c r="B984" s="20"/>
      <c r="D984" s="41"/>
      <c r="E984" s="20"/>
    </row>
    <row r="985">
      <c r="B985" s="20"/>
      <c r="D985" s="41"/>
      <c r="E985" s="20"/>
    </row>
    <row r="986">
      <c r="B986" s="20"/>
      <c r="D986" s="41"/>
      <c r="E986" s="20"/>
    </row>
    <row r="987">
      <c r="B987" s="20"/>
      <c r="D987" s="41"/>
      <c r="E987" s="20"/>
    </row>
    <row r="988">
      <c r="B988" s="20"/>
      <c r="D988" s="41"/>
      <c r="E988" s="20"/>
    </row>
    <row r="989">
      <c r="B989" s="20"/>
      <c r="D989" s="41"/>
      <c r="E989" s="20"/>
    </row>
    <row r="990">
      <c r="B990" s="20"/>
      <c r="D990" s="41"/>
      <c r="E990" s="20"/>
    </row>
    <row r="991">
      <c r="B991" s="20"/>
      <c r="D991" s="41"/>
      <c r="E991" s="20"/>
    </row>
    <row r="992">
      <c r="B992" s="20"/>
      <c r="D992" s="41"/>
      <c r="E992" s="20"/>
    </row>
    <row r="993">
      <c r="B993" s="20"/>
      <c r="D993" s="41"/>
      <c r="E993" s="20"/>
    </row>
    <row r="994">
      <c r="B994" s="20"/>
      <c r="D994" s="41"/>
      <c r="E994" s="20"/>
    </row>
    <row r="995">
      <c r="B995" s="20"/>
      <c r="D995" s="41"/>
      <c r="E995" s="20"/>
    </row>
    <row r="996">
      <c r="B996" s="20"/>
      <c r="D996" s="41"/>
      <c r="E996" s="20"/>
    </row>
    <row r="997">
      <c r="B997" s="20"/>
      <c r="D997" s="41"/>
      <c r="E997" s="20"/>
    </row>
    <row r="998">
      <c r="B998" s="20"/>
      <c r="D998" s="41"/>
      <c r="E998" s="20"/>
    </row>
    <row r="999">
      <c r="B999" s="20"/>
      <c r="D999" s="41"/>
      <c r="E999" s="20"/>
    </row>
  </sheetData>
  <dataValidations>
    <dataValidation type="list" allowBlank="1" showDropDown="1" showErrorMessage="1" sqref="D2:D999">
      <formula1>"001,002,003,004,005,006,007,008"</formula1>
    </dataValidation>
    <dataValidation type="list" allowBlank="1" showDropDown="1" showErrorMessage="1" sqref="B2:B999">
      <formula1>"A,B,C,D,E,F"</formula1>
    </dataValidation>
    <dataValidation type="list" allowBlank="1" showDropDown="1" showErrorMessage="1" sqref="E2:E999">
      <formula1>"AC,DT,OS,NR"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4</v>
      </c>
      <c r="C1" s="1" t="s">
        <v>13</v>
      </c>
      <c r="D1" s="7" t="s">
        <v>7</v>
      </c>
      <c r="E1" s="1" t="s">
        <v>12</v>
      </c>
      <c r="F1" s="7" t="s">
        <v>9</v>
      </c>
      <c r="G1" s="1" t="s">
        <v>16</v>
      </c>
      <c r="H1" s="1" t="s">
        <v>326</v>
      </c>
      <c r="I1" s="1" t="s">
        <v>327</v>
      </c>
      <c r="J1" s="1" t="s">
        <v>329</v>
      </c>
      <c r="K1" s="1" t="s">
        <v>330</v>
      </c>
      <c r="L1" s="1" t="s">
        <v>331</v>
      </c>
      <c r="M1" s="1" t="s">
        <v>332</v>
      </c>
      <c r="N1" s="1" t="s">
        <v>333</v>
      </c>
      <c r="O1" s="1" t="s">
        <v>17</v>
      </c>
      <c r="P1" s="1" t="s">
        <v>19</v>
      </c>
      <c r="Q1" s="1" t="s">
        <v>24</v>
      </c>
      <c r="R1" s="1" t="s">
        <v>335</v>
      </c>
      <c r="S1" s="1" t="s">
        <v>337</v>
      </c>
      <c r="T1" s="1" t="s">
        <v>339</v>
      </c>
      <c r="U1" s="1" t="s">
        <v>340</v>
      </c>
      <c r="V1" s="1" t="s">
        <v>343</v>
      </c>
      <c r="W1" s="1" t="s">
        <v>344</v>
      </c>
      <c r="X1" s="1" t="s">
        <v>345</v>
      </c>
      <c r="Y1" s="38" t="s">
        <v>26</v>
      </c>
    </row>
    <row r="2">
      <c r="A2" s="15">
        <v>46303.0</v>
      </c>
      <c r="B2" s="1" t="s">
        <v>99</v>
      </c>
      <c r="C2" s="1" t="s">
        <v>348</v>
      </c>
      <c r="D2" s="7" t="s">
        <v>202</v>
      </c>
      <c r="E2" s="1" t="s">
        <v>98</v>
      </c>
      <c r="F2" s="7" t="s">
        <v>351</v>
      </c>
      <c r="G2" s="1" t="s">
        <v>150</v>
      </c>
      <c r="H2" s="1" t="s">
        <v>289</v>
      </c>
      <c r="I2" s="1" t="s">
        <v>289</v>
      </c>
      <c r="J2" s="1" t="s">
        <v>289</v>
      </c>
      <c r="K2" s="1" t="s">
        <v>289</v>
      </c>
      <c r="L2" s="1" t="s">
        <v>289</v>
      </c>
      <c r="M2" s="1" t="s">
        <v>289</v>
      </c>
      <c r="N2" s="1">
        <v>0.0</v>
      </c>
      <c r="P2" s="1" t="s">
        <v>353</v>
      </c>
      <c r="Q2" s="1" t="s">
        <v>150</v>
      </c>
      <c r="R2" s="1" t="s">
        <v>289</v>
      </c>
      <c r="S2" s="1" t="s">
        <v>289</v>
      </c>
      <c r="T2" s="1" t="s">
        <v>289</v>
      </c>
      <c r="U2" s="1" t="s">
        <v>289</v>
      </c>
      <c r="V2" s="1" t="s">
        <v>289</v>
      </c>
      <c r="W2" s="1" t="s">
        <v>289</v>
      </c>
      <c r="X2" s="1">
        <v>0.0</v>
      </c>
      <c r="Y2" s="20" t="str">
        <f t="shared" ref="Y2:Y459" si="1">if(OR(G2&lt;&gt;Q2, H2&lt;&gt;R2, I2&lt;&gt;S2, J2&lt;&gt;T2, K2&lt;&gt;U2, L2&lt;&gt;V2, M2&lt;&gt;W2, N2&lt;&gt;X2), "FLAG","")</f>
        <v/>
      </c>
    </row>
    <row r="3">
      <c r="A3" s="15">
        <v>46303.0</v>
      </c>
      <c r="B3" s="1" t="s">
        <v>99</v>
      </c>
      <c r="C3" s="1" t="s">
        <v>348</v>
      </c>
      <c r="D3" s="7" t="s">
        <v>202</v>
      </c>
      <c r="E3" s="1" t="s">
        <v>121</v>
      </c>
      <c r="F3" s="41"/>
      <c r="G3" s="1" t="s">
        <v>100</v>
      </c>
      <c r="H3" s="1">
        <v>2.9</v>
      </c>
      <c r="I3" s="1">
        <v>7.3</v>
      </c>
      <c r="J3" s="1">
        <v>5.3</v>
      </c>
      <c r="K3" s="1">
        <v>1.8</v>
      </c>
      <c r="L3" s="1">
        <v>4.7</v>
      </c>
      <c r="M3" s="1">
        <v>2.2</v>
      </c>
      <c r="N3" s="1">
        <v>0.0</v>
      </c>
      <c r="O3" s="1" t="s">
        <v>370</v>
      </c>
      <c r="P3" s="1" t="s">
        <v>353</v>
      </c>
      <c r="Q3" s="1" t="s">
        <v>100</v>
      </c>
      <c r="R3" s="1">
        <v>2.9</v>
      </c>
      <c r="S3" s="1">
        <v>7.3</v>
      </c>
      <c r="T3" s="1">
        <v>5.3</v>
      </c>
      <c r="U3" s="1">
        <v>1.8</v>
      </c>
      <c r="V3" s="1">
        <v>4.7</v>
      </c>
      <c r="W3" s="1">
        <v>2.2</v>
      </c>
      <c r="X3" s="1">
        <v>0.0</v>
      </c>
      <c r="Y3" s="20" t="str">
        <f t="shared" si="1"/>
        <v/>
      </c>
    </row>
    <row r="4">
      <c r="A4" s="15">
        <v>46303.0</v>
      </c>
      <c r="B4" s="1" t="s">
        <v>99</v>
      </c>
      <c r="C4" s="1" t="s">
        <v>348</v>
      </c>
      <c r="D4" s="7" t="s">
        <v>202</v>
      </c>
      <c r="E4" s="1" t="s">
        <v>121</v>
      </c>
      <c r="F4" s="41"/>
      <c r="G4" s="1" t="s">
        <v>100</v>
      </c>
      <c r="H4" s="1">
        <v>8.0</v>
      </c>
      <c r="I4" s="1">
        <v>7.3</v>
      </c>
      <c r="J4" s="1">
        <v>3.8</v>
      </c>
      <c r="K4" s="1">
        <v>5.0</v>
      </c>
      <c r="L4" s="1">
        <v>5.8</v>
      </c>
      <c r="M4" s="1">
        <v>9.2</v>
      </c>
      <c r="N4" s="1">
        <v>0.0</v>
      </c>
      <c r="O4" s="1" t="s">
        <v>370</v>
      </c>
      <c r="P4" s="1" t="s">
        <v>353</v>
      </c>
      <c r="Q4" s="1" t="s">
        <v>100</v>
      </c>
      <c r="R4" s="1">
        <v>8.0</v>
      </c>
      <c r="S4" s="1">
        <v>7.3</v>
      </c>
      <c r="T4" s="1">
        <v>3.8</v>
      </c>
      <c r="U4" s="1">
        <v>5.0</v>
      </c>
      <c r="V4" s="1">
        <v>5.8</v>
      </c>
      <c r="W4" s="1">
        <v>9.2</v>
      </c>
      <c r="X4" s="1">
        <v>0.0</v>
      </c>
      <c r="Y4" s="20" t="str">
        <f t="shared" si="1"/>
        <v/>
      </c>
    </row>
    <row r="5">
      <c r="A5" s="15">
        <v>46303.0</v>
      </c>
      <c r="B5" s="1" t="s">
        <v>99</v>
      </c>
      <c r="C5" s="1" t="s">
        <v>348</v>
      </c>
      <c r="D5" s="7" t="s">
        <v>202</v>
      </c>
      <c r="E5" s="1" t="s">
        <v>121</v>
      </c>
      <c r="F5" s="41"/>
      <c r="G5" s="1" t="s">
        <v>150</v>
      </c>
      <c r="H5" s="1" t="s">
        <v>289</v>
      </c>
      <c r="I5" s="1" t="s">
        <v>289</v>
      </c>
      <c r="J5" s="1" t="s">
        <v>289</v>
      </c>
      <c r="K5" s="1" t="s">
        <v>289</v>
      </c>
      <c r="L5" s="1" t="s">
        <v>289</v>
      </c>
      <c r="M5" s="1" t="s">
        <v>289</v>
      </c>
      <c r="N5" s="1">
        <v>0.0</v>
      </c>
      <c r="O5" s="1" t="s">
        <v>380</v>
      </c>
      <c r="P5" s="1" t="s">
        <v>353</v>
      </c>
      <c r="Q5" s="1" t="s">
        <v>150</v>
      </c>
      <c r="R5" s="1" t="s">
        <v>289</v>
      </c>
      <c r="S5" s="1" t="s">
        <v>289</v>
      </c>
      <c r="T5" s="1" t="s">
        <v>289</v>
      </c>
      <c r="U5" s="1" t="s">
        <v>289</v>
      </c>
      <c r="V5" s="1" t="s">
        <v>289</v>
      </c>
      <c r="W5" s="1" t="s">
        <v>289</v>
      </c>
      <c r="X5" s="1">
        <v>0.0</v>
      </c>
      <c r="Y5" s="20" t="str">
        <f t="shared" si="1"/>
        <v/>
      </c>
    </row>
    <row r="6">
      <c r="A6" s="15">
        <v>46303.0</v>
      </c>
      <c r="B6" s="1" t="s">
        <v>99</v>
      </c>
      <c r="C6" s="1" t="s">
        <v>348</v>
      </c>
      <c r="D6" s="7" t="s">
        <v>202</v>
      </c>
      <c r="E6" s="1" t="s">
        <v>121</v>
      </c>
      <c r="F6" s="41"/>
      <c r="G6" s="1" t="s">
        <v>100</v>
      </c>
      <c r="H6" s="1">
        <v>36.9</v>
      </c>
      <c r="I6" s="1">
        <v>32.4</v>
      </c>
      <c r="J6" s="1">
        <v>31.1</v>
      </c>
      <c r="K6" s="1">
        <v>34.8</v>
      </c>
      <c r="L6" s="1">
        <v>31.7</v>
      </c>
      <c r="M6" s="1">
        <v>24.2</v>
      </c>
      <c r="N6" s="1">
        <v>26.0</v>
      </c>
      <c r="O6" s="1" t="s">
        <v>380</v>
      </c>
      <c r="P6" s="1" t="s">
        <v>353</v>
      </c>
      <c r="Q6" s="1" t="s">
        <v>100</v>
      </c>
      <c r="R6" s="1">
        <v>36.9</v>
      </c>
      <c r="S6" s="1">
        <v>32.4</v>
      </c>
      <c r="T6" s="1">
        <v>31.1</v>
      </c>
      <c r="U6" s="1">
        <v>34.8</v>
      </c>
      <c r="V6" s="1">
        <v>31.7</v>
      </c>
      <c r="W6" s="1">
        <v>24.2</v>
      </c>
      <c r="X6" s="1">
        <v>26.0</v>
      </c>
      <c r="Y6" s="20" t="str">
        <f t="shared" si="1"/>
        <v/>
      </c>
    </row>
    <row r="7">
      <c r="A7" s="15">
        <v>46303.0</v>
      </c>
      <c r="B7" s="1" t="s">
        <v>99</v>
      </c>
      <c r="C7" s="1" t="s">
        <v>348</v>
      </c>
      <c r="D7" s="7" t="s">
        <v>202</v>
      </c>
      <c r="E7" s="1" t="s">
        <v>98</v>
      </c>
      <c r="F7" s="41"/>
      <c r="G7" s="1" t="s">
        <v>100</v>
      </c>
      <c r="H7" s="1">
        <v>43.3</v>
      </c>
      <c r="I7" s="1">
        <v>41.3</v>
      </c>
      <c r="J7" s="1">
        <v>43.3</v>
      </c>
      <c r="K7" s="1">
        <v>43.8</v>
      </c>
      <c r="L7" s="1">
        <v>79.3</v>
      </c>
      <c r="M7" s="1" t="s">
        <v>289</v>
      </c>
      <c r="N7" s="1">
        <v>5.0</v>
      </c>
      <c r="O7" s="1" t="s">
        <v>386</v>
      </c>
      <c r="P7" s="1" t="s">
        <v>353</v>
      </c>
      <c r="Q7" s="1" t="s">
        <v>100</v>
      </c>
      <c r="R7" s="1">
        <v>43.3</v>
      </c>
      <c r="S7" s="1">
        <v>41.3</v>
      </c>
      <c r="T7" s="1">
        <v>43.3</v>
      </c>
      <c r="U7" s="1">
        <v>43.8</v>
      </c>
      <c r="V7" s="1">
        <v>79.3</v>
      </c>
      <c r="W7" s="1" t="s">
        <v>289</v>
      </c>
      <c r="X7" s="1">
        <v>5.0</v>
      </c>
      <c r="Y7" s="20" t="str">
        <f t="shared" si="1"/>
        <v/>
      </c>
    </row>
    <row r="8">
      <c r="A8" s="15">
        <v>46303.0</v>
      </c>
      <c r="B8" s="1" t="s">
        <v>99</v>
      </c>
      <c r="C8" s="1" t="s">
        <v>348</v>
      </c>
      <c r="D8" s="7" t="s">
        <v>202</v>
      </c>
      <c r="E8" s="1" t="s">
        <v>98</v>
      </c>
      <c r="F8" s="7" t="s">
        <v>298</v>
      </c>
      <c r="G8" s="1" t="s">
        <v>150</v>
      </c>
      <c r="H8" s="1" t="s">
        <v>289</v>
      </c>
      <c r="I8" s="1" t="s">
        <v>289</v>
      </c>
      <c r="J8" s="1" t="s">
        <v>289</v>
      </c>
      <c r="K8" s="1" t="s">
        <v>289</v>
      </c>
      <c r="L8" s="1" t="s">
        <v>289</v>
      </c>
      <c r="M8" s="1" t="s">
        <v>289</v>
      </c>
      <c r="N8" s="1">
        <v>0.0</v>
      </c>
      <c r="P8" s="1" t="s">
        <v>353</v>
      </c>
      <c r="Q8" s="1" t="s">
        <v>150</v>
      </c>
      <c r="R8" s="1" t="s">
        <v>289</v>
      </c>
      <c r="S8" s="1" t="s">
        <v>289</v>
      </c>
      <c r="T8" s="1" t="s">
        <v>289</v>
      </c>
      <c r="U8" s="1" t="s">
        <v>289</v>
      </c>
      <c r="V8" s="1" t="s">
        <v>289</v>
      </c>
      <c r="W8" s="1" t="s">
        <v>289</v>
      </c>
      <c r="X8" s="1">
        <v>0.0</v>
      </c>
      <c r="Y8" s="20" t="str">
        <f t="shared" si="1"/>
        <v/>
      </c>
    </row>
    <row r="9">
      <c r="A9" s="15">
        <v>46303.0</v>
      </c>
      <c r="B9" s="1" t="s">
        <v>104</v>
      </c>
      <c r="C9" s="1" t="s">
        <v>348</v>
      </c>
      <c r="D9" s="7" t="s">
        <v>202</v>
      </c>
      <c r="E9" s="1" t="s">
        <v>235</v>
      </c>
      <c r="F9" s="7" t="s">
        <v>242</v>
      </c>
      <c r="G9" s="1" t="s">
        <v>100</v>
      </c>
      <c r="H9" s="1">
        <v>32.0</v>
      </c>
      <c r="I9" s="1">
        <v>26.6</v>
      </c>
      <c r="J9" s="1">
        <v>32.9</v>
      </c>
      <c r="K9" s="1">
        <v>29.8</v>
      </c>
      <c r="L9" s="1">
        <v>32.7</v>
      </c>
      <c r="M9" s="1">
        <v>30.3</v>
      </c>
      <c r="N9" s="1">
        <v>104.0</v>
      </c>
      <c r="P9" s="1" t="s">
        <v>353</v>
      </c>
      <c r="Q9" s="1" t="s">
        <v>100</v>
      </c>
      <c r="R9" s="1">
        <v>32.0</v>
      </c>
      <c r="S9" s="1">
        <v>26.6</v>
      </c>
      <c r="T9" s="1">
        <v>32.9</v>
      </c>
      <c r="U9" s="1">
        <v>29.8</v>
      </c>
      <c r="V9" s="1">
        <v>32.7</v>
      </c>
      <c r="W9" s="1">
        <v>30.3</v>
      </c>
      <c r="X9" s="1">
        <v>104.0</v>
      </c>
      <c r="Y9" s="20" t="str">
        <f t="shared" si="1"/>
        <v/>
      </c>
    </row>
    <row r="10">
      <c r="A10" s="15">
        <v>46303.0</v>
      </c>
      <c r="B10" s="1" t="s">
        <v>104</v>
      </c>
      <c r="C10" s="1" t="s">
        <v>348</v>
      </c>
      <c r="D10" s="7" t="s">
        <v>202</v>
      </c>
      <c r="E10" s="1" t="s">
        <v>235</v>
      </c>
      <c r="F10" s="7" t="s">
        <v>248</v>
      </c>
      <c r="G10" s="1" t="s">
        <v>100</v>
      </c>
      <c r="H10" s="1">
        <v>29.2</v>
      </c>
      <c r="I10" s="1">
        <v>32.5</v>
      </c>
      <c r="J10" s="1">
        <v>34.1</v>
      </c>
      <c r="K10" s="1">
        <v>35.6</v>
      </c>
      <c r="L10" s="1">
        <v>31.2</v>
      </c>
      <c r="M10" s="1">
        <v>33.4</v>
      </c>
      <c r="N10" s="1">
        <v>19.0</v>
      </c>
      <c r="P10" s="1" t="s">
        <v>353</v>
      </c>
      <c r="Q10" s="1" t="s">
        <v>100</v>
      </c>
      <c r="R10" s="1">
        <v>29.2</v>
      </c>
      <c r="S10" s="1">
        <v>32.5</v>
      </c>
      <c r="T10" s="1">
        <v>34.1</v>
      </c>
      <c r="U10" s="1">
        <v>35.6</v>
      </c>
      <c r="V10" s="1">
        <v>31.2</v>
      </c>
      <c r="W10" s="1">
        <v>33.4</v>
      </c>
      <c r="X10" s="1">
        <v>19.0</v>
      </c>
      <c r="Y10" s="20" t="str">
        <f t="shared" si="1"/>
        <v/>
      </c>
    </row>
    <row r="11">
      <c r="A11" s="15">
        <v>46303.0</v>
      </c>
      <c r="B11" s="1" t="s">
        <v>104</v>
      </c>
      <c r="C11" s="1" t="s">
        <v>348</v>
      </c>
      <c r="D11" s="7" t="s">
        <v>202</v>
      </c>
      <c r="E11" s="1" t="s">
        <v>235</v>
      </c>
      <c r="F11" s="7" t="s">
        <v>231</v>
      </c>
      <c r="G11" s="1" t="s">
        <v>100</v>
      </c>
      <c r="H11" s="1">
        <v>34.6</v>
      </c>
      <c r="I11" s="1">
        <v>32.9</v>
      </c>
      <c r="J11" s="1">
        <v>34.8</v>
      </c>
      <c r="K11" s="1">
        <v>32.0</v>
      </c>
      <c r="L11" s="1">
        <v>32.4</v>
      </c>
      <c r="M11" s="1">
        <v>31.4</v>
      </c>
      <c r="N11" s="1">
        <v>76.0</v>
      </c>
      <c r="P11" s="1" t="s">
        <v>353</v>
      </c>
      <c r="Q11" s="1" t="s">
        <v>100</v>
      </c>
      <c r="R11" s="1">
        <v>34.6</v>
      </c>
      <c r="S11" s="1">
        <v>32.9</v>
      </c>
      <c r="T11" s="1">
        <v>34.8</v>
      </c>
      <c r="U11" s="1">
        <v>32.0</v>
      </c>
      <c r="V11" s="1">
        <v>32.4</v>
      </c>
      <c r="W11" s="1">
        <v>31.4</v>
      </c>
      <c r="X11" s="1">
        <v>76.0</v>
      </c>
      <c r="Y11" s="20" t="str">
        <f t="shared" si="1"/>
        <v/>
      </c>
    </row>
    <row r="12">
      <c r="A12" s="15">
        <v>46303.0</v>
      </c>
      <c r="B12" s="1" t="s">
        <v>104</v>
      </c>
      <c r="C12" s="1" t="s">
        <v>348</v>
      </c>
      <c r="D12" s="7" t="s">
        <v>202</v>
      </c>
      <c r="E12" s="1" t="s">
        <v>235</v>
      </c>
      <c r="F12" s="7" t="s">
        <v>253</v>
      </c>
      <c r="G12" s="1" t="s">
        <v>100</v>
      </c>
      <c r="H12" s="1">
        <v>27.9</v>
      </c>
      <c r="I12" s="1">
        <v>29.8</v>
      </c>
      <c r="J12" s="1">
        <v>33.5</v>
      </c>
      <c r="K12" s="1">
        <v>36.6</v>
      </c>
      <c r="L12" s="1">
        <v>37.5</v>
      </c>
      <c r="M12" s="1">
        <v>35.8</v>
      </c>
      <c r="N12" s="1">
        <v>20.0</v>
      </c>
      <c r="P12" s="1" t="s">
        <v>353</v>
      </c>
      <c r="Q12" s="1" t="s">
        <v>100</v>
      </c>
      <c r="R12" s="1">
        <v>27.9</v>
      </c>
      <c r="S12" s="1">
        <v>29.8</v>
      </c>
      <c r="T12" s="1">
        <v>33.5</v>
      </c>
      <c r="U12" s="1">
        <v>36.6</v>
      </c>
      <c r="V12" s="1">
        <v>37.5</v>
      </c>
      <c r="W12" s="1">
        <v>35.8</v>
      </c>
      <c r="X12" s="1">
        <v>20.0</v>
      </c>
      <c r="Y12" s="20" t="str">
        <f t="shared" si="1"/>
        <v/>
      </c>
    </row>
    <row r="13">
      <c r="A13" s="15">
        <v>46303.0</v>
      </c>
      <c r="B13" s="1" t="s">
        <v>104</v>
      </c>
      <c r="C13" s="1" t="s">
        <v>348</v>
      </c>
      <c r="D13" s="7" t="s">
        <v>202</v>
      </c>
      <c r="E13" s="1" t="s">
        <v>194</v>
      </c>
      <c r="F13" s="7" t="s">
        <v>262</v>
      </c>
      <c r="G13" s="1" t="s">
        <v>100</v>
      </c>
      <c r="H13" s="1">
        <v>35.3</v>
      </c>
      <c r="I13" s="1">
        <v>34.5</v>
      </c>
      <c r="J13" s="1">
        <v>32.7</v>
      </c>
      <c r="K13" s="1">
        <v>34.7</v>
      </c>
      <c r="L13" s="1">
        <v>33.8</v>
      </c>
      <c r="M13" s="1">
        <v>30.9</v>
      </c>
      <c r="N13" s="1">
        <v>9.0</v>
      </c>
      <c r="P13" s="1" t="s">
        <v>353</v>
      </c>
      <c r="Q13" s="1" t="s">
        <v>100</v>
      </c>
      <c r="R13" s="1">
        <v>35.3</v>
      </c>
      <c r="S13" s="1">
        <v>34.5</v>
      </c>
      <c r="T13" s="1">
        <v>32.7</v>
      </c>
      <c r="U13" s="1">
        <v>34.7</v>
      </c>
      <c r="V13" s="1">
        <v>33.8</v>
      </c>
      <c r="W13" s="1">
        <v>30.9</v>
      </c>
      <c r="X13" s="1">
        <v>9.0</v>
      </c>
      <c r="Y13" s="20" t="str">
        <f t="shared" si="1"/>
        <v/>
      </c>
    </row>
    <row r="14">
      <c r="A14" s="15">
        <v>46303.0</v>
      </c>
      <c r="B14" s="1" t="s">
        <v>104</v>
      </c>
      <c r="C14" s="1" t="s">
        <v>348</v>
      </c>
      <c r="D14" s="7" t="s">
        <v>202</v>
      </c>
      <c r="E14" s="1" t="s">
        <v>194</v>
      </c>
      <c r="F14" s="7" t="s">
        <v>252</v>
      </c>
      <c r="G14" s="1" t="s">
        <v>100</v>
      </c>
      <c r="H14" s="1">
        <v>35.5</v>
      </c>
      <c r="I14" s="1">
        <v>37.4</v>
      </c>
      <c r="J14" s="1">
        <v>35.9</v>
      </c>
      <c r="K14" s="1">
        <v>39.9</v>
      </c>
      <c r="L14" s="1">
        <v>41.5</v>
      </c>
      <c r="M14" s="1">
        <v>39.1</v>
      </c>
      <c r="N14" s="1">
        <v>6.0</v>
      </c>
      <c r="P14" s="1" t="s">
        <v>353</v>
      </c>
      <c r="Q14" s="1" t="s">
        <v>100</v>
      </c>
      <c r="R14" s="1">
        <v>35.5</v>
      </c>
      <c r="S14" s="1">
        <v>37.4</v>
      </c>
      <c r="T14" s="1">
        <v>35.9</v>
      </c>
      <c r="U14" s="1">
        <v>39.9</v>
      </c>
      <c r="V14" s="1">
        <v>41.5</v>
      </c>
      <c r="W14" s="1">
        <v>39.1</v>
      </c>
      <c r="X14" s="1">
        <v>6.0</v>
      </c>
      <c r="Y14" s="20" t="str">
        <f t="shared" si="1"/>
        <v/>
      </c>
    </row>
    <row r="15">
      <c r="A15" s="15">
        <v>46303.0</v>
      </c>
      <c r="B15" s="1" t="s">
        <v>104</v>
      </c>
      <c r="C15" s="1" t="s">
        <v>348</v>
      </c>
      <c r="D15" s="7" t="s">
        <v>202</v>
      </c>
      <c r="E15" s="1" t="s">
        <v>194</v>
      </c>
      <c r="F15" s="7" t="s">
        <v>418</v>
      </c>
      <c r="G15" s="1" t="s">
        <v>100</v>
      </c>
      <c r="H15" s="1">
        <v>33.3</v>
      </c>
      <c r="I15" s="1">
        <v>36.3</v>
      </c>
      <c r="J15" s="1">
        <v>34.6</v>
      </c>
      <c r="K15" s="1">
        <v>32.5</v>
      </c>
      <c r="L15" s="1" t="s">
        <v>289</v>
      </c>
      <c r="M15" s="1" t="s">
        <v>289</v>
      </c>
      <c r="N15" s="1">
        <v>4.0</v>
      </c>
      <c r="P15" s="1" t="s">
        <v>353</v>
      </c>
      <c r="Q15" s="1" t="s">
        <v>100</v>
      </c>
      <c r="R15" s="1">
        <v>33.3</v>
      </c>
      <c r="S15" s="1">
        <v>36.3</v>
      </c>
      <c r="T15" s="1">
        <v>34.6</v>
      </c>
      <c r="U15" s="1">
        <v>32.5</v>
      </c>
      <c r="V15" s="1" t="s">
        <v>289</v>
      </c>
      <c r="W15" s="1" t="s">
        <v>289</v>
      </c>
      <c r="X15" s="1">
        <v>4.0</v>
      </c>
      <c r="Y15" s="20" t="str">
        <f t="shared" si="1"/>
        <v/>
      </c>
    </row>
    <row r="16">
      <c r="A16" s="15">
        <v>46303.0</v>
      </c>
      <c r="B16" s="1" t="s">
        <v>104</v>
      </c>
      <c r="C16" s="1" t="s">
        <v>348</v>
      </c>
      <c r="D16" s="7" t="s">
        <v>202</v>
      </c>
      <c r="E16" s="20"/>
      <c r="F16" s="7" t="s">
        <v>423</v>
      </c>
      <c r="G16" s="1" t="s">
        <v>150</v>
      </c>
      <c r="H16" s="1" t="s">
        <v>289</v>
      </c>
      <c r="I16" s="1" t="s">
        <v>289</v>
      </c>
      <c r="J16" s="1" t="s">
        <v>289</v>
      </c>
      <c r="K16" s="1" t="s">
        <v>289</v>
      </c>
      <c r="L16" s="1" t="s">
        <v>289</v>
      </c>
      <c r="M16" s="1" t="s">
        <v>289</v>
      </c>
      <c r="N16" s="1">
        <v>0.0</v>
      </c>
      <c r="O16" s="1" t="s">
        <v>425</v>
      </c>
      <c r="P16" s="1" t="s">
        <v>353</v>
      </c>
      <c r="Q16" s="1" t="s">
        <v>150</v>
      </c>
      <c r="R16" s="1" t="s">
        <v>289</v>
      </c>
      <c r="S16" s="1" t="s">
        <v>289</v>
      </c>
      <c r="T16" s="1" t="s">
        <v>289</v>
      </c>
      <c r="U16" s="1" t="s">
        <v>289</v>
      </c>
      <c r="V16" s="1" t="s">
        <v>289</v>
      </c>
      <c r="W16" s="1" t="s">
        <v>289</v>
      </c>
      <c r="X16" s="1">
        <v>0.0</v>
      </c>
      <c r="Y16" s="20" t="str">
        <f t="shared" si="1"/>
        <v/>
      </c>
    </row>
    <row r="17">
      <c r="A17" s="15">
        <v>46303.0</v>
      </c>
      <c r="B17" s="1" t="s">
        <v>209</v>
      </c>
      <c r="C17" s="1" t="s">
        <v>348</v>
      </c>
      <c r="D17" s="7" t="s">
        <v>78</v>
      </c>
      <c r="E17" s="1" t="s">
        <v>194</v>
      </c>
      <c r="F17" s="7" t="s">
        <v>359</v>
      </c>
      <c r="G17" s="1" t="s">
        <v>150</v>
      </c>
      <c r="H17" s="1" t="s">
        <v>289</v>
      </c>
      <c r="I17" s="1" t="s">
        <v>289</v>
      </c>
      <c r="J17" s="1" t="s">
        <v>289</v>
      </c>
      <c r="K17" s="1" t="s">
        <v>289</v>
      </c>
      <c r="L17" s="1" t="s">
        <v>289</v>
      </c>
      <c r="M17" s="1" t="s">
        <v>289</v>
      </c>
      <c r="N17" s="1">
        <v>0.0</v>
      </c>
      <c r="P17" s="1" t="s">
        <v>353</v>
      </c>
      <c r="Q17" s="1" t="s">
        <v>150</v>
      </c>
      <c r="R17" s="1" t="s">
        <v>289</v>
      </c>
      <c r="S17" s="1" t="s">
        <v>289</v>
      </c>
      <c r="T17" s="1" t="s">
        <v>289</v>
      </c>
      <c r="U17" s="1" t="s">
        <v>289</v>
      </c>
      <c r="V17" s="1" t="s">
        <v>289</v>
      </c>
      <c r="W17" s="1" t="s">
        <v>289</v>
      </c>
      <c r="X17" s="1">
        <v>0.0</v>
      </c>
      <c r="Y17" s="20" t="str">
        <f t="shared" si="1"/>
        <v/>
      </c>
    </row>
    <row r="18">
      <c r="A18" s="15">
        <v>46303.0</v>
      </c>
      <c r="B18" s="1" t="s">
        <v>209</v>
      </c>
      <c r="C18" s="1" t="s">
        <v>348</v>
      </c>
      <c r="D18" s="7" t="s">
        <v>78</v>
      </c>
      <c r="E18" s="1" t="s">
        <v>194</v>
      </c>
      <c r="F18" s="7" t="s">
        <v>356</v>
      </c>
      <c r="G18" s="1" t="s">
        <v>150</v>
      </c>
      <c r="H18" s="1" t="s">
        <v>289</v>
      </c>
      <c r="I18" s="1" t="s">
        <v>289</v>
      </c>
      <c r="J18" s="1" t="s">
        <v>289</v>
      </c>
      <c r="K18" s="1" t="s">
        <v>289</v>
      </c>
      <c r="L18" s="1" t="s">
        <v>289</v>
      </c>
      <c r="M18" s="1" t="s">
        <v>289</v>
      </c>
      <c r="N18" s="1">
        <v>0.0</v>
      </c>
      <c r="P18" s="1" t="s">
        <v>353</v>
      </c>
      <c r="Q18" s="1" t="s">
        <v>150</v>
      </c>
      <c r="R18" s="1" t="s">
        <v>289</v>
      </c>
      <c r="S18" s="1" t="s">
        <v>289</v>
      </c>
      <c r="T18" s="1" t="s">
        <v>289</v>
      </c>
      <c r="U18" s="1" t="s">
        <v>289</v>
      </c>
      <c r="V18" s="1" t="s">
        <v>289</v>
      </c>
      <c r="W18" s="1" t="s">
        <v>289</v>
      </c>
      <c r="X18" s="1">
        <v>0.0</v>
      </c>
      <c r="Y18" s="20" t="str">
        <f t="shared" si="1"/>
        <v/>
      </c>
    </row>
    <row r="19">
      <c r="A19" s="15">
        <v>46303.0</v>
      </c>
      <c r="B19" s="1" t="s">
        <v>209</v>
      </c>
      <c r="C19" s="1" t="s">
        <v>348</v>
      </c>
      <c r="D19" s="7" t="s">
        <v>78</v>
      </c>
      <c r="E19" s="1" t="s">
        <v>194</v>
      </c>
      <c r="F19" s="7" t="s">
        <v>188</v>
      </c>
      <c r="G19" s="1" t="s">
        <v>100</v>
      </c>
      <c r="H19" s="1">
        <v>35.4</v>
      </c>
      <c r="I19" s="1">
        <v>34.2</v>
      </c>
      <c r="J19" s="1">
        <v>34.7</v>
      </c>
      <c r="K19" s="1">
        <v>35.5</v>
      </c>
      <c r="L19" s="1">
        <v>36.4</v>
      </c>
      <c r="M19" s="1">
        <v>34.1</v>
      </c>
      <c r="N19" s="1">
        <v>13.0</v>
      </c>
      <c r="P19" s="1" t="s">
        <v>353</v>
      </c>
      <c r="Q19" s="1" t="s">
        <v>100</v>
      </c>
      <c r="R19" s="1">
        <v>35.4</v>
      </c>
      <c r="S19" s="1">
        <v>34.2</v>
      </c>
      <c r="T19" s="1">
        <v>34.7</v>
      </c>
      <c r="U19" s="1">
        <v>35.5</v>
      </c>
      <c r="V19" s="1">
        <v>36.4</v>
      </c>
      <c r="W19" s="1">
        <v>34.1</v>
      </c>
      <c r="X19" s="1">
        <v>13.0</v>
      </c>
      <c r="Y19" s="20" t="str">
        <f t="shared" si="1"/>
        <v/>
      </c>
    </row>
    <row r="20">
      <c r="A20" s="15">
        <v>46303.0</v>
      </c>
      <c r="B20" s="1" t="s">
        <v>209</v>
      </c>
      <c r="C20" s="1" t="s">
        <v>348</v>
      </c>
      <c r="D20" s="7" t="s">
        <v>78</v>
      </c>
      <c r="E20" s="1" t="s">
        <v>194</v>
      </c>
      <c r="F20" s="7" t="s">
        <v>445</v>
      </c>
      <c r="G20" s="1" t="s">
        <v>150</v>
      </c>
      <c r="H20" s="1" t="s">
        <v>289</v>
      </c>
      <c r="I20" s="1" t="s">
        <v>289</v>
      </c>
      <c r="J20" s="1" t="s">
        <v>289</v>
      </c>
      <c r="K20" s="1" t="s">
        <v>289</v>
      </c>
      <c r="L20" s="1" t="s">
        <v>289</v>
      </c>
      <c r="M20" s="1" t="s">
        <v>289</v>
      </c>
      <c r="N20" s="1">
        <v>0.0</v>
      </c>
      <c r="P20" s="1" t="s">
        <v>353</v>
      </c>
      <c r="Q20" s="1" t="s">
        <v>150</v>
      </c>
      <c r="R20" s="1" t="s">
        <v>289</v>
      </c>
      <c r="S20" s="1" t="s">
        <v>289</v>
      </c>
      <c r="T20" s="1" t="s">
        <v>289</v>
      </c>
      <c r="U20" s="1" t="s">
        <v>289</v>
      </c>
      <c r="V20" s="1" t="s">
        <v>289</v>
      </c>
      <c r="W20" s="1" t="s">
        <v>289</v>
      </c>
      <c r="X20" s="1">
        <v>0.0</v>
      </c>
      <c r="Y20" s="20" t="str">
        <f t="shared" si="1"/>
        <v/>
      </c>
    </row>
    <row r="21">
      <c r="A21" s="15">
        <v>46303.0</v>
      </c>
      <c r="B21" s="1" t="s">
        <v>209</v>
      </c>
      <c r="C21" s="1" t="s">
        <v>348</v>
      </c>
      <c r="D21" s="7" t="s">
        <v>78</v>
      </c>
      <c r="E21" s="1" t="s">
        <v>235</v>
      </c>
      <c r="F21" s="41"/>
      <c r="G21" s="1" t="s">
        <v>100</v>
      </c>
      <c r="H21" s="1">
        <v>34.8</v>
      </c>
      <c r="I21" s="1">
        <v>33.1</v>
      </c>
      <c r="J21" s="1">
        <v>32.5</v>
      </c>
      <c r="K21" s="1">
        <v>32.4</v>
      </c>
      <c r="L21" s="1">
        <v>34.3</v>
      </c>
      <c r="M21" s="1">
        <v>33.2</v>
      </c>
      <c r="N21" s="1">
        <v>48.0</v>
      </c>
      <c r="O21" s="1" t="s">
        <v>450</v>
      </c>
      <c r="P21" s="1" t="s">
        <v>353</v>
      </c>
      <c r="Q21" s="1" t="s">
        <v>100</v>
      </c>
      <c r="R21" s="1">
        <v>34.8</v>
      </c>
      <c r="S21" s="1">
        <v>33.1</v>
      </c>
      <c r="T21" s="1">
        <v>32.5</v>
      </c>
      <c r="U21" s="1">
        <v>32.4</v>
      </c>
      <c r="V21" s="1">
        <v>34.3</v>
      </c>
      <c r="W21" s="1">
        <v>33.2</v>
      </c>
      <c r="X21" s="1">
        <v>48.0</v>
      </c>
      <c r="Y21" s="20" t="str">
        <f t="shared" si="1"/>
        <v/>
      </c>
    </row>
    <row r="22">
      <c r="A22" s="15">
        <v>46303.0</v>
      </c>
      <c r="B22" s="1" t="s">
        <v>209</v>
      </c>
      <c r="C22" s="1" t="s">
        <v>348</v>
      </c>
      <c r="D22" s="7" t="s">
        <v>78</v>
      </c>
      <c r="E22" s="1" t="s">
        <v>235</v>
      </c>
      <c r="F22" s="41"/>
      <c r="G22" s="1" t="s">
        <v>100</v>
      </c>
      <c r="H22" s="1">
        <v>29.1</v>
      </c>
      <c r="I22" s="1">
        <v>32.9</v>
      </c>
      <c r="J22" s="1">
        <v>32.0</v>
      </c>
      <c r="K22" s="1">
        <v>34.2</v>
      </c>
      <c r="L22" s="1">
        <v>36.2</v>
      </c>
      <c r="M22" s="1">
        <v>20.3</v>
      </c>
      <c r="N22" s="1">
        <v>27.0</v>
      </c>
      <c r="O22" s="1" t="s">
        <v>450</v>
      </c>
      <c r="P22" s="1" t="s">
        <v>353</v>
      </c>
      <c r="Q22" s="1" t="s">
        <v>100</v>
      </c>
      <c r="R22" s="1">
        <v>29.1</v>
      </c>
      <c r="S22" s="1">
        <v>32.9</v>
      </c>
      <c r="T22" s="1">
        <v>32.0</v>
      </c>
      <c r="U22" s="1">
        <v>34.2</v>
      </c>
      <c r="V22" s="1">
        <v>36.2</v>
      </c>
      <c r="W22" s="1">
        <v>20.3</v>
      </c>
      <c r="X22" s="1">
        <v>27.0</v>
      </c>
      <c r="Y22" s="20" t="str">
        <f t="shared" si="1"/>
        <v/>
      </c>
    </row>
    <row r="23">
      <c r="A23" s="15">
        <v>46303.0</v>
      </c>
      <c r="B23" s="1" t="s">
        <v>209</v>
      </c>
      <c r="C23" s="1" t="s">
        <v>348</v>
      </c>
      <c r="D23" s="7" t="s">
        <v>78</v>
      </c>
      <c r="E23" s="1" t="s">
        <v>235</v>
      </c>
      <c r="F23" s="41"/>
      <c r="G23" s="1" t="s">
        <v>100</v>
      </c>
      <c r="H23" s="1">
        <v>30.7</v>
      </c>
      <c r="I23" s="1">
        <v>41.3</v>
      </c>
      <c r="J23" s="1">
        <v>41.2</v>
      </c>
      <c r="K23" s="1">
        <v>34.9</v>
      </c>
      <c r="L23" s="1">
        <v>37.7</v>
      </c>
      <c r="M23" s="1">
        <v>34.9</v>
      </c>
      <c r="N23" s="1">
        <v>32.0</v>
      </c>
      <c r="O23" s="1" t="s">
        <v>450</v>
      </c>
      <c r="P23" s="1" t="s">
        <v>353</v>
      </c>
      <c r="Q23" s="1" t="s">
        <v>100</v>
      </c>
      <c r="R23" s="1">
        <v>30.7</v>
      </c>
      <c r="S23" s="1">
        <v>41.3</v>
      </c>
      <c r="T23" s="1">
        <v>41.2</v>
      </c>
      <c r="U23" s="1">
        <v>34.9</v>
      </c>
      <c r="V23" s="1">
        <v>37.7</v>
      </c>
      <c r="W23" s="1">
        <v>34.9</v>
      </c>
      <c r="X23" s="1">
        <v>32.0</v>
      </c>
      <c r="Y23" s="20" t="str">
        <f t="shared" si="1"/>
        <v/>
      </c>
    </row>
    <row r="24">
      <c r="A24" s="15">
        <v>46303.0</v>
      </c>
      <c r="B24" s="1" t="s">
        <v>209</v>
      </c>
      <c r="C24" s="1" t="s">
        <v>348</v>
      </c>
      <c r="D24" s="7" t="s">
        <v>227</v>
      </c>
      <c r="E24" s="1" t="s">
        <v>98</v>
      </c>
      <c r="F24" s="7" t="s">
        <v>324</v>
      </c>
      <c r="G24" s="1" t="s">
        <v>100</v>
      </c>
      <c r="H24" s="1">
        <v>32.2</v>
      </c>
      <c r="I24" s="1">
        <v>33.1</v>
      </c>
      <c r="J24" s="1">
        <v>31.3</v>
      </c>
      <c r="K24" s="1">
        <v>30.0</v>
      </c>
      <c r="L24" s="1" t="s">
        <v>289</v>
      </c>
      <c r="M24" s="1" t="s">
        <v>289</v>
      </c>
      <c r="N24" s="1">
        <v>4.0</v>
      </c>
      <c r="P24" s="1" t="s">
        <v>353</v>
      </c>
      <c r="Q24" s="1" t="s">
        <v>100</v>
      </c>
      <c r="R24" s="1">
        <v>32.2</v>
      </c>
      <c r="S24" s="1">
        <v>33.1</v>
      </c>
      <c r="T24" s="1">
        <v>31.3</v>
      </c>
      <c r="U24" s="1">
        <v>30.0</v>
      </c>
      <c r="V24" s="1" t="s">
        <v>289</v>
      </c>
      <c r="W24" s="1" t="s">
        <v>289</v>
      </c>
      <c r="X24" s="1">
        <v>4.0</v>
      </c>
      <c r="Y24" s="20" t="str">
        <f t="shared" si="1"/>
        <v/>
      </c>
    </row>
    <row r="25">
      <c r="A25" s="15">
        <v>46303.0</v>
      </c>
      <c r="B25" s="1" t="s">
        <v>209</v>
      </c>
      <c r="C25" s="1" t="s">
        <v>348</v>
      </c>
      <c r="D25" s="7" t="s">
        <v>227</v>
      </c>
      <c r="E25" s="1" t="s">
        <v>98</v>
      </c>
      <c r="F25" s="7" t="s">
        <v>320</v>
      </c>
      <c r="G25" s="1" t="s">
        <v>150</v>
      </c>
      <c r="H25" s="1" t="s">
        <v>289</v>
      </c>
      <c r="I25" s="1" t="s">
        <v>289</v>
      </c>
      <c r="J25" s="1" t="s">
        <v>289</v>
      </c>
      <c r="K25" s="1" t="s">
        <v>289</v>
      </c>
      <c r="L25" s="1" t="s">
        <v>289</v>
      </c>
      <c r="M25" s="1" t="s">
        <v>289</v>
      </c>
      <c r="N25" s="1">
        <v>0.0</v>
      </c>
      <c r="P25" s="1" t="s">
        <v>353</v>
      </c>
      <c r="Q25" s="1" t="s">
        <v>150</v>
      </c>
      <c r="R25" s="1" t="s">
        <v>289</v>
      </c>
      <c r="S25" s="1" t="s">
        <v>289</v>
      </c>
      <c r="T25" s="1" t="s">
        <v>289</v>
      </c>
      <c r="U25" s="1" t="s">
        <v>289</v>
      </c>
      <c r="V25" s="1" t="s">
        <v>289</v>
      </c>
      <c r="W25" s="1" t="s">
        <v>289</v>
      </c>
      <c r="X25" s="1">
        <v>0.0</v>
      </c>
      <c r="Y25" s="20" t="str">
        <f t="shared" si="1"/>
        <v/>
      </c>
    </row>
    <row r="26">
      <c r="A26" s="15">
        <v>46303.0</v>
      </c>
      <c r="B26" s="1" t="s">
        <v>209</v>
      </c>
      <c r="C26" s="1" t="s">
        <v>348</v>
      </c>
      <c r="D26" s="7" t="s">
        <v>227</v>
      </c>
      <c r="E26" s="1" t="s">
        <v>98</v>
      </c>
      <c r="F26" s="7" t="s">
        <v>320</v>
      </c>
      <c r="G26" s="1" t="s">
        <v>100</v>
      </c>
      <c r="H26" s="1">
        <v>39.4</v>
      </c>
      <c r="I26" s="1">
        <v>43.5</v>
      </c>
      <c r="J26" s="1">
        <v>58.2</v>
      </c>
      <c r="K26" s="1">
        <v>38.4</v>
      </c>
      <c r="L26" s="1" t="s">
        <v>289</v>
      </c>
      <c r="M26" s="1" t="s">
        <v>289</v>
      </c>
      <c r="N26" s="1">
        <v>5.0</v>
      </c>
      <c r="P26" s="1" t="s">
        <v>353</v>
      </c>
      <c r="Q26" s="1" t="s">
        <v>100</v>
      </c>
      <c r="R26" s="1">
        <v>39.4</v>
      </c>
      <c r="S26" s="1">
        <v>43.5</v>
      </c>
      <c r="T26" s="1">
        <v>58.2</v>
      </c>
      <c r="U26" s="1">
        <v>38.4</v>
      </c>
      <c r="V26" s="1" t="s">
        <v>289</v>
      </c>
      <c r="W26" s="1" t="s">
        <v>289</v>
      </c>
      <c r="X26" s="1">
        <v>5.0</v>
      </c>
      <c r="Y26" s="20" t="str">
        <f t="shared" si="1"/>
        <v/>
      </c>
    </row>
    <row r="27">
      <c r="A27" s="15">
        <v>46303.0</v>
      </c>
      <c r="B27" s="1" t="s">
        <v>209</v>
      </c>
      <c r="C27" s="1" t="s">
        <v>348</v>
      </c>
      <c r="D27" s="7" t="s">
        <v>227</v>
      </c>
      <c r="E27" s="1" t="s">
        <v>121</v>
      </c>
      <c r="F27" s="7" t="s">
        <v>372</v>
      </c>
      <c r="G27" s="1" t="s">
        <v>150</v>
      </c>
      <c r="H27" s="1" t="s">
        <v>289</v>
      </c>
      <c r="I27" s="1" t="s">
        <v>289</v>
      </c>
      <c r="J27" s="1" t="s">
        <v>289</v>
      </c>
      <c r="K27" s="1" t="s">
        <v>289</v>
      </c>
      <c r="L27" s="1" t="s">
        <v>289</v>
      </c>
      <c r="M27" s="1" t="s">
        <v>289</v>
      </c>
      <c r="N27" s="1">
        <v>0.0</v>
      </c>
      <c r="P27" s="1" t="s">
        <v>353</v>
      </c>
      <c r="Q27" s="1" t="s">
        <v>150</v>
      </c>
      <c r="R27" s="1" t="s">
        <v>289</v>
      </c>
      <c r="S27" s="1" t="s">
        <v>289</v>
      </c>
      <c r="T27" s="1" t="s">
        <v>289</v>
      </c>
      <c r="U27" s="1" t="s">
        <v>289</v>
      </c>
      <c r="V27" s="1" t="s">
        <v>289</v>
      </c>
      <c r="W27" s="1" t="s">
        <v>289</v>
      </c>
      <c r="X27" s="1">
        <v>0.0</v>
      </c>
      <c r="Y27" s="20" t="str">
        <f t="shared" si="1"/>
        <v/>
      </c>
    </row>
    <row r="28">
      <c r="A28" s="15">
        <v>46303.0</v>
      </c>
      <c r="B28" s="1" t="s">
        <v>209</v>
      </c>
      <c r="C28" s="1" t="s">
        <v>348</v>
      </c>
      <c r="D28" s="7" t="s">
        <v>227</v>
      </c>
      <c r="E28" s="1" t="s">
        <v>121</v>
      </c>
      <c r="F28" s="7" t="s">
        <v>376</v>
      </c>
      <c r="G28" s="1" t="s">
        <v>150</v>
      </c>
      <c r="H28" s="1" t="s">
        <v>289</v>
      </c>
      <c r="I28" s="1" t="s">
        <v>289</v>
      </c>
      <c r="J28" s="1" t="s">
        <v>289</v>
      </c>
      <c r="K28" s="1" t="s">
        <v>289</v>
      </c>
      <c r="L28" s="1" t="s">
        <v>289</v>
      </c>
      <c r="M28" s="1" t="s">
        <v>289</v>
      </c>
      <c r="N28" s="1">
        <v>0.0</v>
      </c>
      <c r="P28" s="1" t="s">
        <v>353</v>
      </c>
      <c r="Q28" s="1" t="s">
        <v>150</v>
      </c>
      <c r="R28" s="1" t="s">
        <v>289</v>
      </c>
      <c r="S28" s="1" t="s">
        <v>289</v>
      </c>
      <c r="T28" s="1" t="s">
        <v>289</v>
      </c>
      <c r="U28" s="1" t="s">
        <v>289</v>
      </c>
      <c r="V28" s="1" t="s">
        <v>289</v>
      </c>
      <c r="W28" s="1" t="s">
        <v>289</v>
      </c>
      <c r="X28" s="1">
        <v>0.0</v>
      </c>
      <c r="Y28" s="20" t="str">
        <f t="shared" si="1"/>
        <v/>
      </c>
    </row>
    <row r="29">
      <c r="A29" s="15">
        <v>46303.0</v>
      </c>
      <c r="B29" s="1" t="s">
        <v>209</v>
      </c>
      <c r="C29" s="1" t="s">
        <v>348</v>
      </c>
      <c r="D29" s="7" t="s">
        <v>227</v>
      </c>
      <c r="E29" s="1" t="s">
        <v>121</v>
      </c>
      <c r="F29" s="7" t="s">
        <v>378</v>
      </c>
      <c r="G29" s="1" t="s">
        <v>150</v>
      </c>
      <c r="H29" s="1" t="s">
        <v>289</v>
      </c>
      <c r="I29" s="1" t="s">
        <v>289</v>
      </c>
      <c r="J29" s="1" t="s">
        <v>289</v>
      </c>
      <c r="K29" s="1" t="s">
        <v>289</v>
      </c>
      <c r="L29" s="1" t="s">
        <v>289</v>
      </c>
      <c r="M29" s="1" t="s">
        <v>289</v>
      </c>
      <c r="N29" s="1">
        <v>0.0</v>
      </c>
      <c r="P29" s="1" t="s">
        <v>353</v>
      </c>
      <c r="Q29" s="1" t="s">
        <v>150</v>
      </c>
      <c r="R29" s="1" t="s">
        <v>289</v>
      </c>
      <c r="S29" s="1" t="s">
        <v>289</v>
      </c>
      <c r="T29" s="1" t="s">
        <v>289</v>
      </c>
      <c r="U29" s="1" t="s">
        <v>289</v>
      </c>
      <c r="V29" s="1" t="s">
        <v>289</v>
      </c>
      <c r="W29" s="1" t="s">
        <v>289</v>
      </c>
      <c r="X29" s="1">
        <v>0.0</v>
      </c>
      <c r="Y29" s="20" t="str">
        <f t="shared" si="1"/>
        <v/>
      </c>
    </row>
    <row r="30">
      <c r="A30" s="15">
        <v>46303.0</v>
      </c>
      <c r="B30" s="1" t="s">
        <v>234</v>
      </c>
      <c r="C30" s="1" t="s">
        <v>348</v>
      </c>
      <c r="D30" s="7" t="s">
        <v>78</v>
      </c>
      <c r="E30" s="1" t="s">
        <v>98</v>
      </c>
      <c r="F30" s="7" t="s">
        <v>483</v>
      </c>
      <c r="G30" s="1" t="s">
        <v>150</v>
      </c>
      <c r="H30" s="1" t="s">
        <v>289</v>
      </c>
      <c r="I30" s="1" t="s">
        <v>289</v>
      </c>
      <c r="J30" s="1" t="s">
        <v>289</v>
      </c>
      <c r="K30" s="1" t="s">
        <v>289</v>
      </c>
      <c r="L30" s="1" t="s">
        <v>289</v>
      </c>
      <c r="M30" s="1" t="s">
        <v>289</v>
      </c>
      <c r="N30" s="1">
        <v>0.0</v>
      </c>
      <c r="P30" s="1" t="s">
        <v>353</v>
      </c>
      <c r="Q30" s="1" t="s">
        <v>150</v>
      </c>
      <c r="R30" s="1" t="s">
        <v>289</v>
      </c>
      <c r="S30" s="1" t="s">
        <v>289</v>
      </c>
      <c r="T30" s="1" t="s">
        <v>289</v>
      </c>
      <c r="U30" s="1" t="s">
        <v>289</v>
      </c>
      <c r="V30" s="1" t="s">
        <v>289</v>
      </c>
      <c r="W30" s="1" t="s">
        <v>289</v>
      </c>
      <c r="X30" s="1">
        <v>0.0</v>
      </c>
      <c r="Y30" s="20" t="str">
        <f t="shared" si="1"/>
        <v/>
      </c>
    </row>
    <row r="31">
      <c r="A31" s="15">
        <v>46303.0</v>
      </c>
      <c r="B31" s="1" t="s">
        <v>234</v>
      </c>
      <c r="C31" s="1" t="s">
        <v>348</v>
      </c>
      <c r="D31" s="7" t="s">
        <v>78</v>
      </c>
      <c r="E31" s="1" t="s">
        <v>98</v>
      </c>
      <c r="F31" s="7" t="s">
        <v>486</v>
      </c>
      <c r="G31" s="1" t="s">
        <v>150</v>
      </c>
      <c r="H31" s="1" t="s">
        <v>289</v>
      </c>
      <c r="I31" s="1" t="s">
        <v>289</v>
      </c>
      <c r="J31" s="1" t="s">
        <v>289</v>
      </c>
      <c r="K31" s="1" t="s">
        <v>289</v>
      </c>
      <c r="L31" s="1" t="s">
        <v>289</v>
      </c>
      <c r="M31" s="1" t="s">
        <v>289</v>
      </c>
      <c r="N31" s="1">
        <v>0.0</v>
      </c>
      <c r="P31" s="1" t="s">
        <v>353</v>
      </c>
      <c r="Q31" s="1" t="s">
        <v>150</v>
      </c>
      <c r="R31" s="1" t="s">
        <v>289</v>
      </c>
      <c r="S31" s="1" t="s">
        <v>289</v>
      </c>
      <c r="T31" s="1" t="s">
        <v>289</v>
      </c>
      <c r="U31" s="1" t="s">
        <v>289</v>
      </c>
      <c r="V31" s="1" t="s">
        <v>289</v>
      </c>
      <c r="W31" s="1" t="s">
        <v>289</v>
      </c>
      <c r="X31" s="1">
        <v>0.0</v>
      </c>
      <c r="Y31" s="20" t="str">
        <f t="shared" si="1"/>
        <v/>
      </c>
    </row>
    <row r="32">
      <c r="A32" s="15">
        <v>46303.0</v>
      </c>
      <c r="B32" s="1" t="s">
        <v>234</v>
      </c>
      <c r="C32" s="1" t="s">
        <v>348</v>
      </c>
      <c r="D32" s="7" t="s">
        <v>78</v>
      </c>
      <c r="E32" s="1" t="s">
        <v>121</v>
      </c>
      <c r="F32" s="7" t="s">
        <v>114</v>
      </c>
      <c r="G32" s="1" t="s">
        <v>100</v>
      </c>
      <c r="H32" s="1">
        <v>28.7</v>
      </c>
      <c r="I32" s="1">
        <v>31.5</v>
      </c>
      <c r="J32" s="1">
        <v>25.6</v>
      </c>
      <c r="K32" s="1">
        <v>33.6</v>
      </c>
      <c r="L32" s="1">
        <v>28.6</v>
      </c>
      <c r="M32" s="1">
        <v>32.4</v>
      </c>
      <c r="N32" s="1">
        <v>23.0</v>
      </c>
      <c r="P32" s="1" t="s">
        <v>353</v>
      </c>
      <c r="Q32" s="1" t="s">
        <v>100</v>
      </c>
      <c r="R32" s="1">
        <v>28.7</v>
      </c>
      <c r="S32" s="1">
        <v>31.5</v>
      </c>
      <c r="T32" s="1">
        <v>25.6</v>
      </c>
      <c r="U32" s="1">
        <v>33.6</v>
      </c>
      <c r="V32" s="1">
        <v>28.6</v>
      </c>
      <c r="W32" s="1">
        <v>32.4</v>
      </c>
      <c r="X32" s="1">
        <v>23.0</v>
      </c>
      <c r="Y32" s="20" t="str">
        <f t="shared" si="1"/>
        <v/>
      </c>
    </row>
    <row r="33">
      <c r="A33" s="15">
        <v>46303.0</v>
      </c>
      <c r="B33" s="1" t="s">
        <v>234</v>
      </c>
      <c r="C33" s="1" t="s">
        <v>348</v>
      </c>
      <c r="D33" s="7" t="s">
        <v>78</v>
      </c>
      <c r="E33" s="1" t="s">
        <v>121</v>
      </c>
      <c r="F33" s="7" t="s">
        <v>152</v>
      </c>
      <c r="G33" s="1" t="s">
        <v>100</v>
      </c>
      <c r="H33" s="1">
        <v>38.6</v>
      </c>
      <c r="I33" s="1">
        <v>38.3</v>
      </c>
      <c r="J33" s="1">
        <v>38.7</v>
      </c>
      <c r="K33" s="1">
        <v>41.6</v>
      </c>
      <c r="L33" s="1">
        <v>31.8</v>
      </c>
      <c r="M33" s="1">
        <v>33.3</v>
      </c>
      <c r="N33" s="1">
        <v>20.0</v>
      </c>
      <c r="P33" s="1" t="s">
        <v>353</v>
      </c>
      <c r="Q33" s="1" t="s">
        <v>100</v>
      </c>
      <c r="R33" s="1">
        <v>38.6</v>
      </c>
      <c r="S33" s="1">
        <v>38.3</v>
      </c>
      <c r="T33" s="1">
        <v>38.7</v>
      </c>
      <c r="U33" s="1">
        <v>41.6</v>
      </c>
      <c r="V33" s="1">
        <v>31.8</v>
      </c>
      <c r="W33" s="1">
        <v>33.3</v>
      </c>
      <c r="X33" s="1">
        <v>20.0</v>
      </c>
      <c r="Y33" s="20" t="str">
        <f t="shared" si="1"/>
        <v/>
      </c>
    </row>
    <row r="34">
      <c r="A34" s="15">
        <v>46303.0</v>
      </c>
      <c r="B34" s="1" t="s">
        <v>234</v>
      </c>
      <c r="C34" s="1" t="s">
        <v>348</v>
      </c>
      <c r="D34" s="7" t="s">
        <v>78</v>
      </c>
      <c r="E34" s="1" t="s">
        <v>121</v>
      </c>
      <c r="F34" s="7" t="s">
        <v>223</v>
      </c>
      <c r="G34" s="1" t="s">
        <v>150</v>
      </c>
      <c r="H34" s="1" t="s">
        <v>289</v>
      </c>
      <c r="I34" s="1" t="s">
        <v>289</v>
      </c>
      <c r="J34" s="1" t="s">
        <v>289</v>
      </c>
      <c r="K34" s="1" t="s">
        <v>289</v>
      </c>
      <c r="L34" s="1" t="s">
        <v>289</v>
      </c>
      <c r="M34" s="1" t="s">
        <v>289</v>
      </c>
      <c r="N34" s="1">
        <v>0.0</v>
      </c>
      <c r="P34" s="1" t="s">
        <v>353</v>
      </c>
      <c r="Q34" s="1" t="s">
        <v>150</v>
      </c>
      <c r="R34" s="1" t="s">
        <v>289</v>
      </c>
      <c r="S34" s="1" t="s">
        <v>289</v>
      </c>
      <c r="T34" s="1" t="s">
        <v>289</v>
      </c>
      <c r="U34" s="1" t="s">
        <v>289</v>
      </c>
      <c r="V34" s="1" t="s">
        <v>289</v>
      </c>
      <c r="W34" s="1" t="s">
        <v>289</v>
      </c>
      <c r="X34" s="1">
        <v>0.0</v>
      </c>
      <c r="Y34" s="20" t="str">
        <f t="shared" si="1"/>
        <v/>
      </c>
    </row>
    <row r="35">
      <c r="A35" s="15">
        <v>46303.0</v>
      </c>
      <c r="B35" s="1" t="s">
        <v>234</v>
      </c>
      <c r="C35" s="1" t="s">
        <v>348</v>
      </c>
      <c r="D35" s="7" t="s">
        <v>78</v>
      </c>
      <c r="E35" s="1" t="s">
        <v>121</v>
      </c>
      <c r="F35" s="7" t="s">
        <v>220</v>
      </c>
      <c r="G35" s="1" t="s">
        <v>150</v>
      </c>
      <c r="H35" s="1" t="s">
        <v>289</v>
      </c>
      <c r="I35" s="1" t="s">
        <v>289</v>
      </c>
      <c r="J35" s="1" t="s">
        <v>289</v>
      </c>
      <c r="K35" s="1" t="s">
        <v>289</v>
      </c>
      <c r="L35" s="1" t="s">
        <v>289</v>
      </c>
      <c r="M35" s="1" t="s">
        <v>289</v>
      </c>
      <c r="N35" s="1">
        <v>0.0</v>
      </c>
      <c r="P35" s="1" t="s">
        <v>353</v>
      </c>
      <c r="Q35" s="1" t="s">
        <v>150</v>
      </c>
      <c r="R35" s="1" t="s">
        <v>289</v>
      </c>
      <c r="S35" s="1" t="s">
        <v>289</v>
      </c>
      <c r="T35" s="1" t="s">
        <v>289</v>
      </c>
      <c r="U35" s="1" t="s">
        <v>289</v>
      </c>
      <c r="V35" s="1" t="s">
        <v>289</v>
      </c>
      <c r="W35" s="1" t="s">
        <v>289</v>
      </c>
      <c r="X35" s="1">
        <v>0.0</v>
      </c>
      <c r="Y35" s="20" t="str">
        <f t="shared" si="1"/>
        <v/>
      </c>
    </row>
    <row r="36">
      <c r="A36" s="15">
        <v>46303.0</v>
      </c>
      <c r="B36" s="1" t="s">
        <v>234</v>
      </c>
      <c r="C36" s="1" t="s">
        <v>348</v>
      </c>
      <c r="D36" s="7" t="s">
        <v>78</v>
      </c>
      <c r="E36" s="1" t="s">
        <v>98</v>
      </c>
      <c r="F36" s="7" t="s">
        <v>80</v>
      </c>
      <c r="G36" s="1" t="s">
        <v>100</v>
      </c>
      <c r="H36" s="1">
        <v>39.0</v>
      </c>
      <c r="I36" s="1">
        <v>39.1</v>
      </c>
      <c r="J36" s="1">
        <v>39.8</v>
      </c>
      <c r="K36" s="1">
        <v>37.1</v>
      </c>
      <c r="L36" s="1" t="s">
        <v>289</v>
      </c>
      <c r="M36" s="1" t="s">
        <v>289</v>
      </c>
      <c r="N36" s="1">
        <v>6.0</v>
      </c>
      <c r="P36" s="1" t="s">
        <v>353</v>
      </c>
      <c r="Q36" s="1" t="s">
        <v>100</v>
      </c>
      <c r="R36" s="1">
        <v>39.0</v>
      </c>
      <c r="S36" s="1">
        <v>39.1</v>
      </c>
      <c r="T36" s="1">
        <v>39.8</v>
      </c>
      <c r="U36" s="1">
        <v>37.1</v>
      </c>
      <c r="V36" s="1" t="s">
        <v>289</v>
      </c>
      <c r="W36" s="1" t="s">
        <v>289</v>
      </c>
      <c r="X36" s="1">
        <v>6.0</v>
      </c>
      <c r="Y36" s="20" t="str">
        <f t="shared" si="1"/>
        <v/>
      </c>
    </row>
    <row r="37">
      <c r="A37" s="15">
        <v>46303.0</v>
      </c>
      <c r="B37" s="1" t="s">
        <v>234</v>
      </c>
      <c r="C37" s="1" t="s">
        <v>348</v>
      </c>
      <c r="D37" s="7" t="s">
        <v>227</v>
      </c>
      <c r="E37" s="1" t="s">
        <v>194</v>
      </c>
      <c r="F37" s="7" t="s">
        <v>514</v>
      </c>
      <c r="G37" s="1" t="s">
        <v>100</v>
      </c>
      <c r="H37" s="1">
        <v>40.4</v>
      </c>
      <c r="I37" s="1">
        <v>36.7</v>
      </c>
      <c r="J37" s="1">
        <v>31.7</v>
      </c>
      <c r="K37" s="1">
        <v>40.0</v>
      </c>
      <c r="L37" s="1">
        <v>29.2</v>
      </c>
      <c r="M37" s="1" t="s">
        <v>289</v>
      </c>
      <c r="N37" s="1">
        <v>6.0</v>
      </c>
      <c r="P37" s="1" t="s">
        <v>353</v>
      </c>
      <c r="Q37" s="1" t="s">
        <v>100</v>
      </c>
      <c r="R37" s="1">
        <v>40.4</v>
      </c>
      <c r="S37" s="1">
        <v>36.7</v>
      </c>
      <c r="T37" s="1">
        <v>31.7</v>
      </c>
      <c r="U37" s="1">
        <v>40.0</v>
      </c>
      <c r="V37" s="1">
        <v>29.2</v>
      </c>
      <c r="W37" s="1" t="s">
        <v>289</v>
      </c>
      <c r="X37" s="1">
        <v>6.0</v>
      </c>
      <c r="Y37" s="20" t="str">
        <f t="shared" si="1"/>
        <v/>
      </c>
    </row>
    <row r="38">
      <c r="A38" s="15">
        <v>46303.0</v>
      </c>
      <c r="B38" s="1" t="s">
        <v>234</v>
      </c>
      <c r="C38" s="1" t="s">
        <v>348</v>
      </c>
      <c r="D38" s="7" t="s">
        <v>227</v>
      </c>
      <c r="E38" s="1" t="s">
        <v>194</v>
      </c>
      <c r="F38" s="7" t="s">
        <v>518</v>
      </c>
      <c r="G38" s="1" t="s">
        <v>100</v>
      </c>
      <c r="H38" s="1">
        <v>29.8</v>
      </c>
      <c r="I38" s="1">
        <v>23.7</v>
      </c>
      <c r="J38" s="1" t="s">
        <v>289</v>
      </c>
      <c r="K38" s="1" t="s">
        <v>289</v>
      </c>
      <c r="L38" s="1" t="s">
        <v>289</v>
      </c>
      <c r="M38" s="1" t="s">
        <v>289</v>
      </c>
      <c r="N38" s="1">
        <v>3.0</v>
      </c>
      <c r="P38" s="1" t="s">
        <v>353</v>
      </c>
      <c r="Q38" s="1" t="s">
        <v>100</v>
      </c>
      <c r="R38" s="1">
        <v>29.8</v>
      </c>
      <c r="S38" s="1">
        <v>23.7</v>
      </c>
      <c r="T38" s="1" t="s">
        <v>289</v>
      </c>
      <c r="U38" s="1" t="s">
        <v>289</v>
      </c>
      <c r="V38" s="1" t="s">
        <v>289</v>
      </c>
      <c r="W38" s="1" t="s">
        <v>289</v>
      </c>
      <c r="X38" s="1">
        <v>3.0</v>
      </c>
      <c r="Y38" s="20" t="str">
        <f t="shared" si="1"/>
        <v/>
      </c>
    </row>
    <row r="39">
      <c r="A39" s="15">
        <v>46303.0</v>
      </c>
      <c r="B39" s="1" t="s">
        <v>234</v>
      </c>
      <c r="C39" s="1" t="s">
        <v>348</v>
      </c>
      <c r="D39" s="7" t="s">
        <v>227</v>
      </c>
      <c r="E39" s="1" t="s">
        <v>194</v>
      </c>
      <c r="F39" s="7" t="s">
        <v>237</v>
      </c>
      <c r="G39" s="1" t="s">
        <v>150</v>
      </c>
      <c r="H39" s="1" t="s">
        <v>289</v>
      </c>
      <c r="I39" s="1" t="s">
        <v>289</v>
      </c>
      <c r="J39" s="1" t="s">
        <v>289</v>
      </c>
      <c r="K39" s="1" t="s">
        <v>289</v>
      </c>
      <c r="L39" s="1" t="s">
        <v>289</v>
      </c>
      <c r="M39" s="1" t="s">
        <v>289</v>
      </c>
      <c r="N39" s="1">
        <v>0.0</v>
      </c>
      <c r="P39" s="1" t="s">
        <v>353</v>
      </c>
      <c r="Q39" s="1" t="s">
        <v>150</v>
      </c>
      <c r="R39" s="1" t="s">
        <v>289</v>
      </c>
      <c r="S39" s="1" t="s">
        <v>289</v>
      </c>
      <c r="T39" s="1" t="s">
        <v>289</v>
      </c>
      <c r="U39" s="1" t="s">
        <v>289</v>
      </c>
      <c r="V39" s="1" t="s">
        <v>289</v>
      </c>
      <c r="W39" s="1" t="s">
        <v>289</v>
      </c>
      <c r="X39" s="1">
        <v>0.0</v>
      </c>
      <c r="Y39" s="20" t="str">
        <f t="shared" si="1"/>
        <v/>
      </c>
    </row>
    <row r="40">
      <c r="A40" s="15">
        <v>46303.0</v>
      </c>
      <c r="B40" s="1" t="s">
        <v>234</v>
      </c>
      <c r="C40" s="1" t="s">
        <v>348</v>
      </c>
      <c r="D40" s="7" t="s">
        <v>227</v>
      </c>
      <c r="E40" s="1" t="s">
        <v>194</v>
      </c>
      <c r="F40" s="7" t="s">
        <v>526</v>
      </c>
      <c r="G40" s="1" t="s">
        <v>100</v>
      </c>
      <c r="H40" s="1">
        <v>35.7</v>
      </c>
      <c r="I40" s="1">
        <v>33.8</v>
      </c>
      <c r="J40" s="1" t="s">
        <v>289</v>
      </c>
      <c r="K40" s="1" t="s">
        <v>289</v>
      </c>
      <c r="L40" s="1" t="s">
        <v>289</v>
      </c>
      <c r="M40" s="1" t="s">
        <v>289</v>
      </c>
      <c r="N40" s="1">
        <v>3.0</v>
      </c>
      <c r="P40" s="1" t="s">
        <v>353</v>
      </c>
      <c r="Q40" s="1" t="s">
        <v>100</v>
      </c>
      <c r="R40" s="1">
        <v>35.7</v>
      </c>
      <c r="S40" s="1">
        <v>33.8</v>
      </c>
      <c r="T40" s="1" t="s">
        <v>289</v>
      </c>
      <c r="U40" s="1" t="s">
        <v>289</v>
      </c>
      <c r="V40" s="1" t="s">
        <v>289</v>
      </c>
      <c r="W40" s="1" t="s">
        <v>289</v>
      </c>
      <c r="X40" s="1">
        <v>3.0</v>
      </c>
      <c r="Y40" s="20" t="str">
        <f t="shared" si="1"/>
        <v/>
      </c>
    </row>
    <row r="41">
      <c r="A41" s="15">
        <v>46303.0</v>
      </c>
      <c r="B41" s="1" t="s">
        <v>234</v>
      </c>
      <c r="C41" s="1" t="s">
        <v>348</v>
      </c>
      <c r="D41" s="7" t="s">
        <v>227</v>
      </c>
      <c r="E41" s="1" t="s">
        <v>194</v>
      </c>
      <c r="F41" s="7" t="s">
        <v>531</v>
      </c>
      <c r="G41" s="1" t="s">
        <v>100</v>
      </c>
      <c r="H41" s="1">
        <v>33.9</v>
      </c>
      <c r="I41" s="1">
        <v>37.8</v>
      </c>
      <c r="J41" s="1">
        <v>38.4</v>
      </c>
      <c r="K41" s="1">
        <v>39.2</v>
      </c>
      <c r="L41" s="1">
        <v>29.3</v>
      </c>
      <c r="M41" s="1">
        <v>27.8</v>
      </c>
      <c r="N41" s="1">
        <v>7.0</v>
      </c>
      <c r="P41" s="1" t="s">
        <v>353</v>
      </c>
      <c r="Q41" s="1" t="s">
        <v>100</v>
      </c>
      <c r="R41" s="1">
        <v>33.9</v>
      </c>
      <c r="S41" s="1">
        <v>37.8</v>
      </c>
      <c r="T41" s="1">
        <v>38.4</v>
      </c>
      <c r="U41" s="1">
        <v>39.2</v>
      </c>
      <c r="V41" s="1">
        <v>29.3</v>
      </c>
      <c r="W41" s="1">
        <v>27.8</v>
      </c>
      <c r="X41" s="1">
        <v>7.0</v>
      </c>
      <c r="Y41" s="20" t="str">
        <f t="shared" si="1"/>
        <v/>
      </c>
    </row>
    <row r="42">
      <c r="A42" s="15">
        <v>46303.0</v>
      </c>
      <c r="B42" s="1" t="s">
        <v>234</v>
      </c>
      <c r="C42" s="1" t="s">
        <v>348</v>
      </c>
      <c r="D42" s="7" t="s">
        <v>227</v>
      </c>
      <c r="E42" s="1" t="s">
        <v>194</v>
      </c>
      <c r="F42" s="7" t="s">
        <v>537</v>
      </c>
      <c r="G42" s="1" t="s">
        <v>100</v>
      </c>
      <c r="H42" s="1">
        <v>32.1</v>
      </c>
      <c r="I42" s="1">
        <v>33.5</v>
      </c>
      <c r="J42" s="1">
        <v>33.2</v>
      </c>
      <c r="K42" s="1">
        <v>32.5</v>
      </c>
      <c r="L42" s="1" t="s">
        <v>289</v>
      </c>
      <c r="M42" s="1" t="s">
        <v>289</v>
      </c>
      <c r="N42" s="1">
        <v>4.0</v>
      </c>
      <c r="P42" s="1" t="s">
        <v>353</v>
      </c>
      <c r="Q42" s="1" t="s">
        <v>100</v>
      </c>
      <c r="R42" s="1">
        <v>32.1</v>
      </c>
      <c r="S42" s="1">
        <v>33.5</v>
      </c>
      <c r="T42" s="1">
        <v>33.2</v>
      </c>
      <c r="U42" s="1">
        <v>32.5</v>
      </c>
      <c r="V42" s="1" t="s">
        <v>289</v>
      </c>
      <c r="W42" s="1" t="s">
        <v>289</v>
      </c>
      <c r="X42" s="1">
        <v>4.0</v>
      </c>
      <c r="Y42" s="20" t="str">
        <f t="shared" si="1"/>
        <v/>
      </c>
    </row>
    <row r="43">
      <c r="A43" s="15">
        <v>46303.0</v>
      </c>
      <c r="B43" s="1" t="s">
        <v>234</v>
      </c>
      <c r="C43" s="1" t="s">
        <v>348</v>
      </c>
      <c r="D43" s="7" t="s">
        <v>227</v>
      </c>
      <c r="E43" s="1" t="s">
        <v>194</v>
      </c>
      <c r="F43" s="7" t="s">
        <v>247</v>
      </c>
      <c r="G43" s="1" t="s">
        <v>150</v>
      </c>
      <c r="H43" s="1" t="s">
        <v>289</v>
      </c>
      <c r="I43" s="1" t="s">
        <v>289</v>
      </c>
      <c r="J43" s="1" t="s">
        <v>289</v>
      </c>
      <c r="K43" s="1" t="s">
        <v>289</v>
      </c>
      <c r="L43" s="1" t="s">
        <v>289</v>
      </c>
      <c r="M43" s="1" t="s">
        <v>289</v>
      </c>
      <c r="N43" s="1">
        <v>0.0</v>
      </c>
      <c r="P43" s="1" t="s">
        <v>353</v>
      </c>
      <c r="Q43" s="1" t="s">
        <v>150</v>
      </c>
      <c r="R43" s="1" t="s">
        <v>289</v>
      </c>
      <c r="S43" s="1" t="s">
        <v>289</v>
      </c>
      <c r="T43" s="1" t="s">
        <v>289</v>
      </c>
      <c r="U43" s="1" t="s">
        <v>289</v>
      </c>
      <c r="V43" s="1" t="s">
        <v>289</v>
      </c>
      <c r="W43" s="1" t="s">
        <v>289</v>
      </c>
      <c r="X43" s="1">
        <v>0.0</v>
      </c>
      <c r="Y43" s="20" t="str">
        <f t="shared" si="1"/>
        <v/>
      </c>
    </row>
    <row r="44">
      <c r="A44" s="15">
        <v>46303.0</v>
      </c>
      <c r="B44" s="1" t="s">
        <v>192</v>
      </c>
      <c r="C44" s="1" t="s">
        <v>348</v>
      </c>
      <c r="D44" s="7" t="s">
        <v>281</v>
      </c>
      <c r="E44" s="1" t="s">
        <v>194</v>
      </c>
      <c r="F44" s="7" t="s">
        <v>303</v>
      </c>
      <c r="G44" s="1" t="s">
        <v>100</v>
      </c>
      <c r="H44" s="1">
        <v>35.3</v>
      </c>
      <c r="I44" s="1">
        <v>35.7</v>
      </c>
      <c r="J44" s="1">
        <v>35.7</v>
      </c>
      <c r="K44" s="1">
        <v>38.6</v>
      </c>
      <c r="L44" s="1" t="s">
        <v>289</v>
      </c>
      <c r="M44" s="1" t="s">
        <v>289</v>
      </c>
      <c r="N44" s="1">
        <v>4.0</v>
      </c>
      <c r="P44" s="1" t="s">
        <v>353</v>
      </c>
      <c r="Q44" s="1" t="s">
        <v>100</v>
      </c>
      <c r="R44" s="1">
        <v>35.3</v>
      </c>
      <c r="S44" s="1">
        <v>35.7</v>
      </c>
      <c r="T44" s="1">
        <v>35.7</v>
      </c>
      <c r="U44" s="1">
        <v>38.6</v>
      </c>
      <c r="V44" s="1" t="s">
        <v>289</v>
      </c>
      <c r="W44" s="1" t="s">
        <v>289</v>
      </c>
      <c r="X44" s="1">
        <v>4.0</v>
      </c>
      <c r="Y44" s="20" t="str">
        <f t="shared" si="1"/>
        <v/>
      </c>
    </row>
    <row r="45">
      <c r="A45" s="15">
        <v>46303.0</v>
      </c>
      <c r="B45" s="1" t="s">
        <v>192</v>
      </c>
      <c r="C45" s="1" t="s">
        <v>348</v>
      </c>
      <c r="D45" s="7" t="s">
        <v>281</v>
      </c>
      <c r="E45" s="1" t="s">
        <v>194</v>
      </c>
      <c r="F45" s="7" t="s">
        <v>546</v>
      </c>
      <c r="G45" s="1" t="s">
        <v>100</v>
      </c>
      <c r="H45" s="1">
        <v>36.6</v>
      </c>
      <c r="I45" s="1">
        <v>36.9</v>
      </c>
      <c r="J45" s="1">
        <v>37.7</v>
      </c>
      <c r="K45" s="1">
        <v>35.7</v>
      </c>
      <c r="L45" s="1">
        <v>36.0</v>
      </c>
      <c r="M45" s="1">
        <v>34.9</v>
      </c>
      <c r="N45" s="1">
        <v>8.0</v>
      </c>
      <c r="P45" s="1" t="s">
        <v>353</v>
      </c>
      <c r="Q45" s="1" t="s">
        <v>100</v>
      </c>
      <c r="R45" s="1">
        <v>36.6</v>
      </c>
      <c r="S45" s="1">
        <v>36.9</v>
      </c>
      <c r="T45" s="1">
        <v>37.7</v>
      </c>
      <c r="U45" s="1">
        <v>35.7</v>
      </c>
      <c r="V45" s="1">
        <v>36.0</v>
      </c>
      <c r="W45" s="1">
        <v>34.9</v>
      </c>
      <c r="X45" s="1">
        <v>8.0</v>
      </c>
      <c r="Y45" s="20" t="str">
        <f t="shared" si="1"/>
        <v/>
      </c>
    </row>
    <row r="46">
      <c r="A46" s="15">
        <v>46303.0</v>
      </c>
      <c r="B46" s="1" t="s">
        <v>192</v>
      </c>
      <c r="C46" s="1" t="s">
        <v>348</v>
      </c>
      <c r="D46" s="7" t="s">
        <v>281</v>
      </c>
      <c r="E46" s="1" t="s">
        <v>194</v>
      </c>
      <c r="F46" s="7" t="s">
        <v>551</v>
      </c>
      <c r="G46" s="1" t="s">
        <v>100</v>
      </c>
      <c r="H46" s="1">
        <v>30.9</v>
      </c>
      <c r="I46" s="1">
        <v>28.7</v>
      </c>
      <c r="J46" s="1">
        <v>33.0</v>
      </c>
      <c r="K46" s="1">
        <v>32.8</v>
      </c>
      <c r="L46" s="1">
        <v>34.0</v>
      </c>
      <c r="M46" s="1">
        <v>35.0</v>
      </c>
      <c r="N46" s="1">
        <v>9.0</v>
      </c>
      <c r="P46" s="1" t="s">
        <v>353</v>
      </c>
      <c r="Q46" s="1" t="s">
        <v>100</v>
      </c>
      <c r="R46" s="1">
        <v>30.9</v>
      </c>
      <c r="S46" s="1">
        <v>28.7</v>
      </c>
      <c r="T46" s="1">
        <v>33.0</v>
      </c>
      <c r="U46" s="1">
        <v>32.8</v>
      </c>
      <c r="V46" s="1">
        <v>34.0</v>
      </c>
      <c r="W46" s="1">
        <v>35.0</v>
      </c>
      <c r="X46" s="1">
        <v>9.0</v>
      </c>
      <c r="Y46" s="20" t="str">
        <f t="shared" si="1"/>
        <v/>
      </c>
    </row>
    <row r="47">
      <c r="A47" s="15">
        <v>46303.0</v>
      </c>
      <c r="B47" s="1" t="s">
        <v>192</v>
      </c>
      <c r="C47" s="1" t="s">
        <v>348</v>
      </c>
      <c r="D47" s="7" t="s">
        <v>281</v>
      </c>
      <c r="E47" s="1" t="s">
        <v>194</v>
      </c>
      <c r="F47" s="7" t="s">
        <v>554</v>
      </c>
      <c r="G47" s="1" t="s">
        <v>100</v>
      </c>
      <c r="H47" s="1">
        <v>35.6</v>
      </c>
      <c r="I47" s="1">
        <v>37.9</v>
      </c>
      <c r="J47" s="1">
        <v>35.9</v>
      </c>
      <c r="K47" s="1">
        <v>35.2</v>
      </c>
      <c r="L47" s="1">
        <v>32.9</v>
      </c>
      <c r="M47" s="1" t="s">
        <v>289</v>
      </c>
      <c r="N47" s="1">
        <v>6.0</v>
      </c>
      <c r="P47" s="1" t="s">
        <v>353</v>
      </c>
      <c r="Q47" s="1" t="s">
        <v>100</v>
      </c>
      <c r="R47" s="1">
        <v>35.6</v>
      </c>
      <c r="S47" s="1">
        <v>37.9</v>
      </c>
      <c r="T47" s="1">
        <v>35.9</v>
      </c>
      <c r="U47" s="1">
        <v>35.2</v>
      </c>
      <c r="V47" s="1">
        <v>32.9</v>
      </c>
      <c r="W47" s="1" t="s">
        <v>289</v>
      </c>
      <c r="X47" s="1">
        <v>6.0</v>
      </c>
      <c r="Y47" s="20" t="str">
        <f t="shared" si="1"/>
        <v/>
      </c>
    </row>
    <row r="48">
      <c r="A48" s="15">
        <v>46303.0</v>
      </c>
      <c r="B48" s="1" t="s">
        <v>64</v>
      </c>
      <c r="C48" s="1" t="s">
        <v>348</v>
      </c>
      <c r="D48" s="7" t="s">
        <v>281</v>
      </c>
      <c r="E48" s="1" t="s">
        <v>121</v>
      </c>
      <c r="F48" s="7" t="s">
        <v>390</v>
      </c>
      <c r="G48" s="1" t="s">
        <v>150</v>
      </c>
      <c r="H48" s="1" t="s">
        <v>289</v>
      </c>
      <c r="I48" s="1" t="s">
        <v>289</v>
      </c>
      <c r="J48" s="1" t="s">
        <v>289</v>
      </c>
      <c r="K48" s="1" t="s">
        <v>289</v>
      </c>
      <c r="L48" s="1" t="s">
        <v>289</v>
      </c>
      <c r="M48" s="1" t="s">
        <v>289</v>
      </c>
      <c r="N48" s="1">
        <v>0.0</v>
      </c>
      <c r="P48" s="1" t="s">
        <v>353</v>
      </c>
      <c r="Q48" s="1" t="s">
        <v>150</v>
      </c>
      <c r="R48" s="1" t="s">
        <v>289</v>
      </c>
      <c r="S48" s="1" t="s">
        <v>289</v>
      </c>
      <c r="T48" s="1" t="s">
        <v>289</v>
      </c>
      <c r="U48" s="1" t="s">
        <v>289</v>
      </c>
      <c r="V48" s="1" t="s">
        <v>289</v>
      </c>
      <c r="W48" s="1" t="s">
        <v>289</v>
      </c>
      <c r="X48" s="1">
        <v>0.0</v>
      </c>
      <c r="Y48" s="20" t="str">
        <f t="shared" si="1"/>
        <v/>
      </c>
    </row>
    <row r="49">
      <c r="A49" s="15">
        <v>46303.0</v>
      </c>
      <c r="B49" s="1" t="s">
        <v>64</v>
      </c>
      <c r="C49" s="1" t="s">
        <v>348</v>
      </c>
      <c r="D49" s="7" t="s">
        <v>281</v>
      </c>
      <c r="E49" s="1" t="s">
        <v>121</v>
      </c>
      <c r="F49" s="7" t="s">
        <v>382</v>
      </c>
      <c r="G49" s="1" t="s">
        <v>150</v>
      </c>
      <c r="H49" s="1" t="s">
        <v>289</v>
      </c>
      <c r="I49" s="1" t="s">
        <v>289</v>
      </c>
      <c r="J49" s="1" t="s">
        <v>289</v>
      </c>
      <c r="K49" s="1" t="s">
        <v>289</v>
      </c>
      <c r="L49" s="1" t="s">
        <v>289</v>
      </c>
      <c r="M49" s="1" t="s">
        <v>289</v>
      </c>
      <c r="N49" s="1">
        <v>0.0</v>
      </c>
      <c r="P49" s="1" t="s">
        <v>353</v>
      </c>
      <c r="Q49" s="1" t="s">
        <v>150</v>
      </c>
      <c r="R49" s="1" t="s">
        <v>289</v>
      </c>
      <c r="S49" s="1" t="s">
        <v>289</v>
      </c>
      <c r="T49" s="1" t="s">
        <v>289</v>
      </c>
      <c r="U49" s="1" t="s">
        <v>289</v>
      </c>
      <c r="V49" s="1" t="s">
        <v>289</v>
      </c>
      <c r="W49" s="1" t="s">
        <v>289</v>
      </c>
      <c r="X49" s="1">
        <v>0.0</v>
      </c>
      <c r="Y49" s="20" t="str">
        <f t="shared" si="1"/>
        <v/>
      </c>
    </row>
    <row r="50">
      <c r="A50" s="15">
        <v>46303.0</v>
      </c>
      <c r="B50" s="1" t="s">
        <v>64</v>
      </c>
      <c r="C50" s="1" t="s">
        <v>348</v>
      </c>
      <c r="D50" s="7" t="s">
        <v>281</v>
      </c>
      <c r="E50" s="1" t="s">
        <v>121</v>
      </c>
      <c r="F50" s="7" t="s">
        <v>282</v>
      </c>
      <c r="G50" s="1" t="s">
        <v>100</v>
      </c>
      <c r="H50" s="1">
        <v>27.4</v>
      </c>
      <c r="I50" s="1">
        <v>26.2</v>
      </c>
      <c r="J50" s="1">
        <v>34.0</v>
      </c>
      <c r="K50" s="1">
        <v>31.6</v>
      </c>
      <c r="L50" s="1">
        <v>34.0</v>
      </c>
      <c r="M50" s="1" t="s">
        <v>289</v>
      </c>
      <c r="N50" s="1">
        <v>12.0</v>
      </c>
      <c r="P50" s="1" t="s">
        <v>353</v>
      </c>
      <c r="Q50" s="1" t="s">
        <v>100</v>
      </c>
      <c r="R50" s="1">
        <v>27.4</v>
      </c>
      <c r="S50" s="1">
        <v>26.2</v>
      </c>
      <c r="T50" s="1">
        <v>34.0</v>
      </c>
      <c r="U50" s="1">
        <v>31.6</v>
      </c>
      <c r="V50" s="1">
        <v>34.0</v>
      </c>
      <c r="W50" s="1" t="s">
        <v>289</v>
      </c>
      <c r="X50" s="1">
        <v>12.0</v>
      </c>
      <c r="Y50" s="20" t="str">
        <f t="shared" si="1"/>
        <v/>
      </c>
    </row>
    <row r="51">
      <c r="A51" s="15">
        <v>46303.0</v>
      </c>
      <c r="B51" s="1" t="s">
        <v>64</v>
      </c>
      <c r="C51" s="1" t="s">
        <v>348</v>
      </c>
      <c r="D51" s="7" t="s">
        <v>281</v>
      </c>
      <c r="E51" s="1" t="s">
        <v>98</v>
      </c>
      <c r="F51" s="7" t="s">
        <v>285</v>
      </c>
      <c r="G51" s="1" t="s">
        <v>100</v>
      </c>
      <c r="H51" s="1">
        <v>37.2</v>
      </c>
      <c r="I51" s="1">
        <v>34.6</v>
      </c>
      <c r="J51" s="1">
        <v>36.9</v>
      </c>
      <c r="K51" s="1">
        <v>33.7</v>
      </c>
      <c r="L51" s="1">
        <v>32.7</v>
      </c>
      <c r="M51" s="1" t="s">
        <v>289</v>
      </c>
      <c r="N51" s="1">
        <v>6.0</v>
      </c>
      <c r="P51" s="1" t="s">
        <v>353</v>
      </c>
      <c r="Q51" s="1" t="s">
        <v>100</v>
      </c>
      <c r="R51" s="1">
        <v>37.2</v>
      </c>
      <c r="S51" s="1">
        <v>34.6</v>
      </c>
      <c r="T51" s="1">
        <v>36.9</v>
      </c>
      <c r="U51" s="1">
        <v>33.7</v>
      </c>
      <c r="V51" s="1">
        <v>32.7</v>
      </c>
      <c r="W51" s="1" t="s">
        <v>289</v>
      </c>
      <c r="X51" s="1">
        <v>6.0</v>
      </c>
      <c r="Y51" s="20" t="str">
        <f t="shared" si="1"/>
        <v/>
      </c>
    </row>
    <row r="52">
      <c r="A52" s="15">
        <v>46303.0</v>
      </c>
      <c r="B52" s="1" t="s">
        <v>64</v>
      </c>
      <c r="C52" s="1" t="s">
        <v>348</v>
      </c>
      <c r="D52" s="7" t="s">
        <v>281</v>
      </c>
      <c r="E52" s="1" t="s">
        <v>98</v>
      </c>
      <c r="F52" s="7" t="s">
        <v>296</v>
      </c>
      <c r="G52" s="1" t="s">
        <v>100</v>
      </c>
      <c r="H52" s="1">
        <v>33.6</v>
      </c>
      <c r="I52" s="1">
        <v>37.1</v>
      </c>
      <c r="J52" s="1">
        <v>38.1</v>
      </c>
      <c r="K52" s="1">
        <v>34.2</v>
      </c>
      <c r="L52" s="1">
        <v>37.7</v>
      </c>
      <c r="M52" s="1">
        <v>36.5</v>
      </c>
      <c r="N52" s="1">
        <v>11.0</v>
      </c>
      <c r="P52" s="1" t="s">
        <v>353</v>
      </c>
      <c r="Q52" s="1" t="s">
        <v>100</v>
      </c>
      <c r="R52" s="1">
        <v>33.6</v>
      </c>
      <c r="S52" s="1">
        <v>37.1</v>
      </c>
      <c r="T52" s="1">
        <v>38.1</v>
      </c>
      <c r="U52" s="1">
        <v>34.2</v>
      </c>
      <c r="V52" s="1">
        <v>37.7</v>
      </c>
      <c r="W52" s="1">
        <v>36.5</v>
      </c>
      <c r="X52" s="1">
        <v>11.0</v>
      </c>
      <c r="Y52" s="20" t="str">
        <f t="shared" si="1"/>
        <v/>
      </c>
    </row>
    <row r="53">
      <c r="A53" s="15">
        <v>46303.0</v>
      </c>
      <c r="B53" s="1" t="s">
        <v>64</v>
      </c>
      <c r="C53" s="1" t="s">
        <v>348</v>
      </c>
      <c r="D53" s="7" t="s">
        <v>281</v>
      </c>
      <c r="E53" s="1" t="s">
        <v>98</v>
      </c>
      <c r="F53" s="7" t="s">
        <v>290</v>
      </c>
      <c r="G53" s="1" t="s">
        <v>100</v>
      </c>
      <c r="H53" s="1">
        <v>36.8</v>
      </c>
      <c r="I53" s="1">
        <v>36.1</v>
      </c>
      <c r="J53" s="1">
        <v>39.4</v>
      </c>
      <c r="K53" s="1">
        <v>37.6</v>
      </c>
      <c r="L53" s="1" t="s">
        <v>289</v>
      </c>
      <c r="M53" s="1" t="s">
        <v>289</v>
      </c>
      <c r="N53" s="1">
        <v>7.0</v>
      </c>
      <c r="P53" s="1" t="s">
        <v>353</v>
      </c>
      <c r="Q53" s="1" t="s">
        <v>100</v>
      </c>
      <c r="R53" s="1">
        <v>36.8</v>
      </c>
      <c r="S53" s="1">
        <v>36.1</v>
      </c>
      <c r="T53" s="1">
        <v>39.4</v>
      </c>
      <c r="U53" s="1">
        <v>37.6</v>
      </c>
      <c r="V53" s="1" t="s">
        <v>289</v>
      </c>
      <c r="W53" s="1" t="s">
        <v>289</v>
      </c>
      <c r="X53" s="1">
        <v>7.0</v>
      </c>
      <c r="Y53" s="20" t="str">
        <f t="shared" si="1"/>
        <v/>
      </c>
    </row>
    <row r="54">
      <c r="A54" s="15">
        <v>46303.0</v>
      </c>
      <c r="B54" s="1" t="s">
        <v>64</v>
      </c>
      <c r="C54" s="1" t="s">
        <v>348</v>
      </c>
      <c r="D54" s="7" t="s">
        <v>281</v>
      </c>
      <c r="E54" s="1" t="s">
        <v>98</v>
      </c>
      <c r="F54" s="7" t="s">
        <v>402</v>
      </c>
      <c r="G54" s="1" t="s">
        <v>150</v>
      </c>
      <c r="H54" s="1" t="s">
        <v>289</v>
      </c>
      <c r="I54" s="1" t="s">
        <v>289</v>
      </c>
      <c r="J54" s="1" t="s">
        <v>289</v>
      </c>
      <c r="K54" s="1" t="s">
        <v>289</v>
      </c>
      <c r="L54" s="1" t="s">
        <v>289</v>
      </c>
      <c r="M54" s="1" t="s">
        <v>289</v>
      </c>
      <c r="N54" s="1">
        <v>0.0</v>
      </c>
      <c r="P54" s="1" t="s">
        <v>353</v>
      </c>
      <c r="Q54" s="1" t="s">
        <v>150</v>
      </c>
      <c r="R54" s="1" t="s">
        <v>289</v>
      </c>
      <c r="S54" s="1" t="s">
        <v>289</v>
      </c>
      <c r="T54" s="1" t="s">
        <v>289</v>
      </c>
      <c r="U54" s="1" t="s">
        <v>289</v>
      </c>
      <c r="V54" s="1" t="s">
        <v>289</v>
      </c>
      <c r="W54" s="1" t="s">
        <v>289</v>
      </c>
      <c r="X54" s="1">
        <v>0.0</v>
      </c>
      <c r="Y54" s="20" t="str">
        <f t="shared" si="1"/>
        <v/>
      </c>
    </row>
    <row r="55">
      <c r="A55" s="15">
        <v>46310.0</v>
      </c>
      <c r="B55" s="1" t="s">
        <v>407</v>
      </c>
      <c r="C55" s="1" t="s">
        <v>587</v>
      </c>
      <c r="D55" s="7" t="s">
        <v>338</v>
      </c>
      <c r="E55" s="1" t="s">
        <v>121</v>
      </c>
      <c r="F55" s="7" t="s">
        <v>367</v>
      </c>
      <c r="G55" s="1" t="s">
        <v>100</v>
      </c>
      <c r="H55" s="1">
        <v>32.8</v>
      </c>
      <c r="I55" s="1">
        <v>33.7</v>
      </c>
      <c r="J55" s="1">
        <v>25.6</v>
      </c>
      <c r="K55" s="1">
        <v>31.2</v>
      </c>
      <c r="L55" s="1">
        <v>36.9</v>
      </c>
      <c r="M55" s="1">
        <v>30.7</v>
      </c>
      <c r="N55" s="1">
        <v>15.0</v>
      </c>
      <c r="P55" s="1" t="s">
        <v>589</v>
      </c>
      <c r="Q55" s="1" t="s">
        <v>100</v>
      </c>
      <c r="R55" s="1">
        <v>32.8</v>
      </c>
      <c r="S55" s="1">
        <v>33.7</v>
      </c>
      <c r="T55" s="1">
        <v>25.6</v>
      </c>
      <c r="U55" s="1">
        <v>31.2</v>
      </c>
      <c r="V55" s="1">
        <v>36.9</v>
      </c>
      <c r="W55" s="1">
        <v>30.7</v>
      </c>
      <c r="X55" s="1">
        <v>15.0</v>
      </c>
      <c r="Y55" s="20" t="str">
        <f t="shared" si="1"/>
        <v/>
      </c>
    </row>
    <row r="56">
      <c r="A56" s="15">
        <v>46310.0</v>
      </c>
      <c r="B56" s="1" t="s">
        <v>407</v>
      </c>
      <c r="C56" s="1" t="s">
        <v>587</v>
      </c>
      <c r="D56" s="7" t="s">
        <v>338</v>
      </c>
      <c r="E56" s="1" t="s">
        <v>121</v>
      </c>
      <c r="F56" s="7" t="s">
        <v>374</v>
      </c>
      <c r="G56" s="1" t="s">
        <v>100</v>
      </c>
      <c r="H56" s="1">
        <v>32.7</v>
      </c>
      <c r="I56" s="1">
        <v>30.2</v>
      </c>
      <c r="J56" s="1">
        <v>34.2</v>
      </c>
      <c r="K56" s="1">
        <v>36.4</v>
      </c>
      <c r="L56" s="1">
        <v>26.2</v>
      </c>
      <c r="M56" s="1" t="s">
        <v>289</v>
      </c>
      <c r="N56" s="1">
        <v>8.0</v>
      </c>
      <c r="P56" s="1" t="s">
        <v>589</v>
      </c>
      <c r="Q56" s="1" t="s">
        <v>100</v>
      </c>
      <c r="R56" s="1">
        <v>32.7</v>
      </c>
      <c r="S56" s="1">
        <v>30.2</v>
      </c>
      <c r="T56" s="1">
        <v>34.2</v>
      </c>
      <c r="U56" s="1">
        <v>36.4</v>
      </c>
      <c r="V56" s="1">
        <v>26.2</v>
      </c>
      <c r="W56" s="1" t="s">
        <v>289</v>
      </c>
      <c r="X56" s="1">
        <v>8.0</v>
      </c>
      <c r="Y56" s="20" t="str">
        <f t="shared" si="1"/>
        <v/>
      </c>
    </row>
    <row r="57">
      <c r="A57" s="15">
        <v>46310.0</v>
      </c>
      <c r="B57" s="1" t="s">
        <v>407</v>
      </c>
      <c r="C57" s="1" t="s">
        <v>587</v>
      </c>
      <c r="D57" s="7" t="s">
        <v>338</v>
      </c>
      <c r="E57" s="1" t="s">
        <v>121</v>
      </c>
      <c r="F57" s="7" t="s">
        <v>597</v>
      </c>
      <c r="G57" s="1" t="s">
        <v>100</v>
      </c>
      <c r="H57" s="1">
        <v>29.5</v>
      </c>
      <c r="I57" s="1">
        <v>37.4</v>
      </c>
      <c r="J57" s="1">
        <v>29.4</v>
      </c>
      <c r="K57" s="1">
        <v>35.0</v>
      </c>
      <c r="L57" s="1">
        <v>33.2</v>
      </c>
      <c r="M57" s="1">
        <v>36.5</v>
      </c>
      <c r="N57" s="1">
        <v>112.0</v>
      </c>
      <c r="P57" s="1" t="s">
        <v>589</v>
      </c>
      <c r="Q57" s="1" t="s">
        <v>100</v>
      </c>
      <c r="R57" s="1">
        <v>29.5</v>
      </c>
      <c r="S57" s="1">
        <v>37.4</v>
      </c>
      <c r="T57" s="1">
        <v>29.4</v>
      </c>
      <c r="U57" s="1">
        <v>35.0</v>
      </c>
      <c r="V57" s="1">
        <v>33.2</v>
      </c>
      <c r="W57" s="1">
        <v>36.5</v>
      </c>
      <c r="X57" s="1">
        <v>112.0</v>
      </c>
      <c r="Y57" s="20" t="str">
        <f t="shared" si="1"/>
        <v/>
      </c>
    </row>
    <row r="58">
      <c r="A58" s="15">
        <v>46310.0</v>
      </c>
      <c r="B58" s="1" t="s">
        <v>407</v>
      </c>
      <c r="C58" s="1" t="s">
        <v>587</v>
      </c>
      <c r="D58" s="7" t="s">
        <v>338</v>
      </c>
      <c r="E58" s="1" t="s">
        <v>121</v>
      </c>
      <c r="F58" s="7" t="s">
        <v>602</v>
      </c>
      <c r="G58" s="1" t="s">
        <v>100</v>
      </c>
      <c r="H58" s="1">
        <v>31.2</v>
      </c>
      <c r="I58" s="1">
        <v>30.7</v>
      </c>
      <c r="J58" s="1">
        <v>30.7</v>
      </c>
      <c r="K58" s="1">
        <v>30.0</v>
      </c>
      <c r="L58" s="1">
        <v>29.8</v>
      </c>
      <c r="M58" s="1" t="s">
        <v>289</v>
      </c>
      <c r="N58" s="1">
        <v>13.0</v>
      </c>
      <c r="P58" s="1" t="s">
        <v>589</v>
      </c>
      <c r="Q58" s="1" t="s">
        <v>100</v>
      </c>
      <c r="R58" s="1">
        <v>31.2</v>
      </c>
      <c r="S58" s="1">
        <v>30.7</v>
      </c>
      <c r="T58" s="1">
        <v>30.7</v>
      </c>
      <c r="U58" s="1">
        <v>30.0</v>
      </c>
      <c r="V58" s="1">
        <v>29.8</v>
      </c>
      <c r="W58" s="1" t="s">
        <v>289</v>
      </c>
      <c r="X58" s="1">
        <v>13.0</v>
      </c>
      <c r="Y58" s="20" t="str">
        <f t="shared" si="1"/>
        <v/>
      </c>
    </row>
    <row r="59">
      <c r="A59" s="15">
        <v>46310.0</v>
      </c>
      <c r="B59" s="1" t="s">
        <v>407</v>
      </c>
      <c r="C59" s="1" t="s">
        <v>587</v>
      </c>
      <c r="D59" s="7" t="s">
        <v>338</v>
      </c>
      <c r="E59" s="1" t="s">
        <v>98</v>
      </c>
      <c r="F59" s="7" t="s">
        <v>418</v>
      </c>
      <c r="G59" s="1" t="s">
        <v>100</v>
      </c>
      <c r="H59" s="1">
        <v>35.6</v>
      </c>
      <c r="I59" s="1">
        <v>25.5</v>
      </c>
      <c r="J59" s="1">
        <v>35.3</v>
      </c>
      <c r="K59" s="1">
        <v>34.9</v>
      </c>
      <c r="L59" s="1">
        <v>36.4</v>
      </c>
      <c r="M59" s="1">
        <v>31.2</v>
      </c>
      <c r="N59" s="1">
        <v>12.0</v>
      </c>
      <c r="P59" s="1" t="s">
        <v>589</v>
      </c>
      <c r="Q59" s="1" t="s">
        <v>100</v>
      </c>
      <c r="R59" s="1">
        <v>35.6</v>
      </c>
      <c r="S59" s="1">
        <v>25.5</v>
      </c>
      <c r="T59" s="1">
        <v>35.3</v>
      </c>
      <c r="U59" s="1">
        <v>34.9</v>
      </c>
      <c r="V59" s="1">
        <v>36.4</v>
      </c>
      <c r="W59" s="1">
        <v>31.2</v>
      </c>
      <c r="X59" s="1">
        <v>12.0</v>
      </c>
      <c r="Y59" s="20" t="str">
        <f t="shared" si="1"/>
        <v/>
      </c>
    </row>
    <row r="60">
      <c r="A60" s="15">
        <v>46310.0</v>
      </c>
      <c r="B60" s="1" t="s">
        <v>407</v>
      </c>
      <c r="C60" s="1" t="s">
        <v>587</v>
      </c>
      <c r="D60" s="7" t="s">
        <v>338</v>
      </c>
      <c r="E60" s="1" t="s">
        <v>98</v>
      </c>
      <c r="F60" s="7" t="s">
        <v>611</v>
      </c>
      <c r="G60" s="1" t="s">
        <v>100</v>
      </c>
      <c r="H60" s="1">
        <v>38.7</v>
      </c>
      <c r="I60" s="1">
        <v>38.4</v>
      </c>
      <c r="J60" s="1">
        <v>35.6</v>
      </c>
      <c r="K60" s="1" t="s">
        <v>289</v>
      </c>
      <c r="L60" s="1" t="s">
        <v>289</v>
      </c>
      <c r="M60" s="1" t="s">
        <v>289</v>
      </c>
      <c r="N60" s="1">
        <v>7.0</v>
      </c>
      <c r="P60" s="1" t="s">
        <v>589</v>
      </c>
      <c r="Q60" s="1" t="s">
        <v>100</v>
      </c>
      <c r="R60" s="1">
        <v>38.7</v>
      </c>
      <c r="S60" s="1">
        <v>38.4</v>
      </c>
      <c r="T60" s="1">
        <v>35.6</v>
      </c>
      <c r="U60" s="1" t="s">
        <v>289</v>
      </c>
      <c r="V60" s="1" t="s">
        <v>289</v>
      </c>
      <c r="W60" s="1" t="s">
        <v>289</v>
      </c>
      <c r="X60" s="1">
        <v>7.0</v>
      </c>
      <c r="Y60" s="20" t="str">
        <f t="shared" si="1"/>
        <v/>
      </c>
    </row>
    <row r="61">
      <c r="A61" s="15">
        <v>46310.0</v>
      </c>
      <c r="B61" s="1" t="s">
        <v>407</v>
      </c>
      <c r="C61" s="1" t="s">
        <v>587</v>
      </c>
      <c r="D61" s="7" t="s">
        <v>338</v>
      </c>
      <c r="E61" s="1" t="s">
        <v>98</v>
      </c>
      <c r="F61" s="7" t="s">
        <v>422</v>
      </c>
      <c r="G61" s="1" t="s">
        <v>100</v>
      </c>
      <c r="H61" s="1">
        <v>31.9</v>
      </c>
      <c r="I61" s="1">
        <v>32.6</v>
      </c>
      <c r="J61" s="1">
        <v>30.2</v>
      </c>
      <c r="K61" s="1">
        <v>30.3</v>
      </c>
      <c r="L61" s="1" t="s">
        <v>289</v>
      </c>
      <c r="M61" s="1" t="s">
        <v>289</v>
      </c>
      <c r="N61" s="1">
        <v>5.0</v>
      </c>
      <c r="P61" s="1" t="s">
        <v>589</v>
      </c>
      <c r="Q61" s="1" t="s">
        <v>100</v>
      </c>
      <c r="R61" s="1">
        <v>31.9</v>
      </c>
      <c r="S61" s="1">
        <v>32.6</v>
      </c>
      <c r="T61" s="1">
        <v>30.2</v>
      </c>
      <c r="U61" s="1">
        <v>30.3</v>
      </c>
      <c r="V61" s="1" t="s">
        <v>289</v>
      </c>
      <c r="W61" s="1" t="s">
        <v>289</v>
      </c>
      <c r="X61" s="1">
        <v>5.0</v>
      </c>
      <c r="Y61" s="20" t="str">
        <f t="shared" si="1"/>
        <v/>
      </c>
    </row>
    <row r="62">
      <c r="A62" s="15">
        <v>46310.0</v>
      </c>
      <c r="B62" s="1" t="s">
        <v>407</v>
      </c>
      <c r="C62" s="1" t="s">
        <v>587</v>
      </c>
      <c r="D62" s="7" t="s">
        <v>364</v>
      </c>
      <c r="E62" s="1" t="s">
        <v>121</v>
      </c>
      <c r="F62" s="7" t="s">
        <v>549</v>
      </c>
      <c r="G62" s="1" t="s">
        <v>100</v>
      </c>
      <c r="H62" s="1">
        <v>34.6</v>
      </c>
      <c r="I62" s="1">
        <v>36.6</v>
      </c>
      <c r="J62" s="1">
        <v>25.6</v>
      </c>
      <c r="K62" s="1">
        <v>37.7</v>
      </c>
      <c r="L62" s="1">
        <v>38.5</v>
      </c>
      <c r="M62" s="1" t="s">
        <v>289</v>
      </c>
      <c r="N62" s="1">
        <v>13.0</v>
      </c>
      <c r="P62" s="1" t="s">
        <v>589</v>
      </c>
      <c r="Q62" s="1" t="s">
        <v>100</v>
      </c>
      <c r="R62" s="1">
        <v>34.6</v>
      </c>
      <c r="S62" s="1">
        <v>36.6</v>
      </c>
      <c r="T62" s="1">
        <v>25.6</v>
      </c>
      <c r="U62" s="1">
        <v>37.7</v>
      </c>
      <c r="V62" s="1">
        <v>38.5</v>
      </c>
      <c r="W62" s="1" t="s">
        <v>289</v>
      </c>
      <c r="X62" s="1">
        <v>13.0</v>
      </c>
      <c r="Y62" s="20" t="str">
        <f t="shared" si="1"/>
        <v/>
      </c>
    </row>
    <row r="63">
      <c r="A63" s="15">
        <v>46310.0</v>
      </c>
      <c r="B63" s="1" t="s">
        <v>407</v>
      </c>
      <c r="C63" s="1" t="s">
        <v>587</v>
      </c>
      <c r="D63" s="7" t="s">
        <v>364</v>
      </c>
      <c r="E63" s="1" t="s">
        <v>98</v>
      </c>
      <c r="F63" s="7" t="s">
        <v>559</v>
      </c>
      <c r="G63" s="1" t="s">
        <v>100</v>
      </c>
      <c r="H63" s="1">
        <v>32.7</v>
      </c>
      <c r="I63" s="1">
        <v>28.9</v>
      </c>
      <c r="J63" s="1">
        <v>33.0</v>
      </c>
      <c r="K63" s="1" t="s">
        <v>289</v>
      </c>
      <c r="L63" s="1" t="s">
        <v>289</v>
      </c>
      <c r="M63" s="1" t="s">
        <v>289</v>
      </c>
      <c r="N63" s="1">
        <v>3.0</v>
      </c>
      <c r="P63" s="1" t="s">
        <v>589</v>
      </c>
      <c r="Q63" s="1" t="s">
        <v>100</v>
      </c>
      <c r="R63" s="1">
        <v>32.7</v>
      </c>
      <c r="S63" s="1">
        <v>28.9</v>
      </c>
      <c r="T63" s="1">
        <v>33.0</v>
      </c>
      <c r="U63" s="1" t="s">
        <v>289</v>
      </c>
      <c r="V63" s="1" t="s">
        <v>289</v>
      </c>
      <c r="W63" s="1" t="s">
        <v>289</v>
      </c>
      <c r="X63" s="1">
        <v>3.0</v>
      </c>
      <c r="Y63" s="20" t="str">
        <f t="shared" si="1"/>
        <v/>
      </c>
    </row>
    <row r="64">
      <c r="A64" s="15">
        <v>46310.0</v>
      </c>
      <c r="B64" s="1" t="s">
        <v>407</v>
      </c>
      <c r="C64" s="1" t="s">
        <v>587</v>
      </c>
      <c r="D64" s="7" t="s">
        <v>364</v>
      </c>
      <c r="E64" s="1" t="s">
        <v>98</v>
      </c>
      <c r="F64" s="7" t="s">
        <v>555</v>
      </c>
      <c r="G64" s="1" t="s">
        <v>100</v>
      </c>
      <c r="H64" s="1">
        <v>35.3</v>
      </c>
      <c r="I64" s="1">
        <v>36.4</v>
      </c>
      <c r="J64" s="1">
        <v>36.5</v>
      </c>
      <c r="K64" s="1">
        <v>28.9</v>
      </c>
      <c r="L64" s="1">
        <v>34.3</v>
      </c>
      <c r="M64" s="1" t="s">
        <v>289</v>
      </c>
      <c r="N64" s="1">
        <v>6.0</v>
      </c>
      <c r="P64" s="1" t="s">
        <v>589</v>
      </c>
      <c r="Q64" s="1" t="s">
        <v>100</v>
      </c>
      <c r="R64" s="1">
        <v>35.3</v>
      </c>
      <c r="S64" s="1">
        <v>36.4</v>
      </c>
      <c r="T64" s="1">
        <v>36.5</v>
      </c>
      <c r="U64" s="1">
        <v>28.9</v>
      </c>
      <c r="V64" s="1">
        <v>34.3</v>
      </c>
      <c r="W64" s="1" t="s">
        <v>289</v>
      </c>
      <c r="X64" s="1">
        <v>6.0</v>
      </c>
      <c r="Y64" s="20" t="str">
        <f t="shared" si="1"/>
        <v/>
      </c>
    </row>
    <row r="65">
      <c r="A65" s="15">
        <v>46310.0</v>
      </c>
      <c r="B65" s="1" t="s">
        <v>407</v>
      </c>
      <c r="C65" s="1" t="s">
        <v>587</v>
      </c>
      <c r="D65" s="7" t="s">
        <v>364</v>
      </c>
      <c r="E65" s="1" t="s">
        <v>194</v>
      </c>
      <c r="F65" s="7" t="s">
        <v>564</v>
      </c>
      <c r="G65" s="1" t="s">
        <v>100</v>
      </c>
      <c r="H65" s="1">
        <v>37.2</v>
      </c>
      <c r="I65" s="1">
        <v>38.3</v>
      </c>
      <c r="J65" s="1">
        <v>36.6</v>
      </c>
      <c r="K65" s="1" t="s">
        <v>289</v>
      </c>
      <c r="L65" s="1" t="s">
        <v>289</v>
      </c>
      <c r="M65" s="1" t="s">
        <v>289</v>
      </c>
      <c r="N65" s="1">
        <v>5.0</v>
      </c>
      <c r="P65" s="1" t="s">
        <v>589</v>
      </c>
      <c r="Q65" s="1" t="s">
        <v>100</v>
      </c>
      <c r="R65" s="1">
        <v>37.2</v>
      </c>
      <c r="S65" s="1">
        <v>38.3</v>
      </c>
      <c r="T65" s="1">
        <v>36.6</v>
      </c>
      <c r="U65" s="1" t="s">
        <v>289</v>
      </c>
      <c r="V65" s="1" t="s">
        <v>289</v>
      </c>
      <c r="W65" s="1" t="s">
        <v>289</v>
      </c>
      <c r="X65" s="1">
        <v>5.0</v>
      </c>
      <c r="Y65" s="20" t="str">
        <f t="shared" si="1"/>
        <v/>
      </c>
    </row>
    <row r="66">
      <c r="A66" s="15">
        <v>46310.0</v>
      </c>
      <c r="B66" s="1" t="s">
        <v>407</v>
      </c>
      <c r="C66" s="1" t="s">
        <v>587</v>
      </c>
      <c r="D66" s="7" t="s">
        <v>364</v>
      </c>
      <c r="E66" s="1" t="s">
        <v>235</v>
      </c>
      <c r="F66" s="7" t="s">
        <v>593</v>
      </c>
      <c r="G66" s="1" t="s">
        <v>100</v>
      </c>
      <c r="H66" s="1">
        <v>22.5</v>
      </c>
      <c r="I66" s="1">
        <v>26.5</v>
      </c>
      <c r="J66" s="1">
        <v>32.2</v>
      </c>
      <c r="K66" s="1">
        <v>31.7</v>
      </c>
      <c r="L66" s="1">
        <v>32.9</v>
      </c>
      <c r="M66" s="1">
        <v>27.3</v>
      </c>
      <c r="N66" s="1">
        <v>88.0</v>
      </c>
      <c r="P66" s="1" t="s">
        <v>589</v>
      </c>
      <c r="Q66" s="1" t="s">
        <v>100</v>
      </c>
      <c r="R66" s="1">
        <v>22.5</v>
      </c>
      <c r="S66" s="1">
        <v>26.5</v>
      </c>
      <c r="T66" s="1">
        <v>32.2</v>
      </c>
      <c r="U66" s="1">
        <v>31.7</v>
      </c>
      <c r="V66" s="1">
        <v>32.9</v>
      </c>
      <c r="W66" s="1">
        <v>27.3</v>
      </c>
      <c r="X66" s="1">
        <v>88.0</v>
      </c>
      <c r="Y66" s="20" t="str">
        <f t="shared" si="1"/>
        <v/>
      </c>
    </row>
    <row r="67">
      <c r="A67" s="15">
        <v>46310.0</v>
      </c>
      <c r="B67" s="1" t="s">
        <v>407</v>
      </c>
      <c r="C67" s="1" t="s">
        <v>587</v>
      </c>
      <c r="D67" s="7" t="s">
        <v>364</v>
      </c>
      <c r="E67" s="1" t="s">
        <v>235</v>
      </c>
      <c r="F67" s="7" t="s">
        <v>570</v>
      </c>
      <c r="G67" s="1" t="s">
        <v>100</v>
      </c>
      <c r="H67" s="1">
        <v>33.6</v>
      </c>
      <c r="I67" s="1">
        <v>30.6</v>
      </c>
      <c r="J67" s="1">
        <v>31.8</v>
      </c>
      <c r="K67" s="1">
        <v>32.0</v>
      </c>
      <c r="L67" s="1">
        <v>31.3</v>
      </c>
      <c r="M67" s="1">
        <v>36.2</v>
      </c>
      <c r="N67" s="1">
        <v>14.0</v>
      </c>
      <c r="P67" s="1" t="s">
        <v>589</v>
      </c>
      <c r="Q67" s="1" t="s">
        <v>100</v>
      </c>
      <c r="R67" s="1">
        <v>33.6</v>
      </c>
      <c r="S67" s="1">
        <v>30.6</v>
      </c>
      <c r="T67" s="1">
        <v>31.8</v>
      </c>
      <c r="U67" s="1">
        <v>32.0</v>
      </c>
      <c r="V67" s="1">
        <v>31.3</v>
      </c>
      <c r="W67" s="1">
        <v>36.2</v>
      </c>
      <c r="X67" s="1">
        <v>14.0</v>
      </c>
      <c r="Y67" s="20" t="str">
        <f t="shared" si="1"/>
        <v/>
      </c>
    </row>
    <row r="68">
      <c r="A68" s="15">
        <v>46310.0</v>
      </c>
      <c r="B68" s="1" t="s">
        <v>407</v>
      </c>
      <c r="C68" s="1" t="s">
        <v>587</v>
      </c>
      <c r="D68" s="7" t="s">
        <v>364</v>
      </c>
      <c r="E68" s="1" t="s">
        <v>235</v>
      </c>
      <c r="F68" s="7" t="s">
        <v>576</v>
      </c>
      <c r="G68" s="1" t="s">
        <v>100</v>
      </c>
      <c r="H68" s="1">
        <v>34.7</v>
      </c>
      <c r="I68" s="1">
        <v>36.2</v>
      </c>
      <c r="J68" s="1">
        <v>32.0</v>
      </c>
      <c r="K68" s="1">
        <v>34.7</v>
      </c>
      <c r="L68" s="1">
        <v>37.2</v>
      </c>
      <c r="M68" s="1">
        <v>38.1</v>
      </c>
      <c r="N68" s="1">
        <v>40.0</v>
      </c>
      <c r="P68" s="1" t="s">
        <v>589</v>
      </c>
      <c r="Q68" s="1" t="s">
        <v>100</v>
      </c>
      <c r="R68" s="1">
        <v>34.7</v>
      </c>
      <c r="S68" s="1">
        <v>36.2</v>
      </c>
      <c r="T68" s="1">
        <v>32.0</v>
      </c>
      <c r="U68" s="1">
        <v>34.7</v>
      </c>
      <c r="V68" s="1">
        <v>37.2</v>
      </c>
      <c r="W68" s="1">
        <v>38.1</v>
      </c>
      <c r="X68" s="1">
        <v>40.0</v>
      </c>
      <c r="Y68" s="20" t="str">
        <f t="shared" si="1"/>
        <v/>
      </c>
    </row>
    <row r="69">
      <c r="A69" s="15">
        <v>46310.0</v>
      </c>
      <c r="B69" s="1" t="s">
        <v>407</v>
      </c>
      <c r="C69" s="1" t="s">
        <v>587</v>
      </c>
      <c r="D69" s="7" t="s">
        <v>364</v>
      </c>
      <c r="E69" s="1" t="s">
        <v>235</v>
      </c>
      <c r="F69" s="7" t="s">
        <v>586</v>
      </c>
      <c r="G69" s="1" t="s">
        <v>100</v>
      </c>
      <c r="H69" s="1">
        <v>32.4</v>
      </c>
      <c r="I69" s="1">
        <v>31.4</v>
      </c>
      <c r="J69" s="1">
        <v>34.8</v>
      </c>
      <c r="K69" s="1">
        <v>32.3</v>
      </c>
      <c r="L69" s="1">
        <v>33.8</v>
      </c>
      <c r="M69" s="1">
        <v>32.9</v>
      </c>
      <c r="N69" s="1">
        <v>30.0</v>
      </c>
      <c r="P69" s="1" t="s">
        <v>589</v>
      </c>
      <c r="Q69" s="1" t="s">
        <v>100</v>
      </c>
      <c r="R69" s="1">
        <v>32.4</v>
      </c>
      <c r="S69" s="1">
        <v>31.4</v>
      </c>
      <c r="T69" s="1">
        <v>34.8</v>
      </c>
      <c r="U69" s="1">
        <v>32.3</v>
      </c>
      <c r="V69" s="1">
        <v>33.8</v>
      </c>
      <c r="W69" s="1">
        <v>32.9</v>
      </c>
      <c r="X69" s="1">
        <v>30.0</v>
      </c>
      <c r="Y69" s="20" t="str">
        <f t="shared" si="1"/>
        <v/>
      </c>
    </row>
    <row r="70">
      <c r="A70" s="15">
        <v>46310.0</v>
      </c>
      <c r="B70" s="1" t="s">
        <v>407</v>
      </c>
      <c r="C70" s="1" t="s">
        <v>587</v>
      </c>
      <c r="D70" s="7" t="s">
        <v>364</v>
      </c>
      <c r="E70" s="1" t="s">
        <v>235</v>
      </c>
      <c r="F70" s="7" t="s">
        <v>581</v>
      </c>
      <c r="G70" s="1" t="s">
        <v>100</v>
      </c>
      <c r="H70" s="1">
        <v>38.0</v>
      </c>
      <c r="I70" s="1">
        <v>34.7</v>
      </c>
      <c r="J70" s="1">
        <v>30.3</v>
      </c>
      <c r="K70" s="1">
        <v>35.7</v>
      </c>
      <c r="L70" s="1">
        <v>29.9</v>
      </c>
      <c r="M70" s="1">
        <v>38.2</v>
      </c>
      <c r="N70" s="1">
        <v>39.0</v>
      </c>
      <c r="P70" s="1" t="s">
        <v>589</v>
      </c>
      <c r="Q70" s="1" t="s">
        <v>100</v>
      </c>
      <c r="R70" s="1">
        <v>38.0</v>
      </c>
      <c r="S70" s="1">
        <v>34.7</v>
      </c>
      <c r="T70" s="1">
        <v>30.3</v>
      </c>
      <c r="U70" s="1">
        <v>35.7</v>
      </c>
      <c r="V70" s="1">
        <v>29.9</v>
      </c>
      <c r="W70" s="1">
        <v>38.2</v>
      </c>
      <c r="X70" s="1">
        <v>39.0</v>
      </c>
      <c r="Y70" s="20" t="str">
        <f t="shared" si="1"/>
        <v/>
      </c>
    </row>
    <row r="71">
      <c r="A71" s="15">
        <v>46310.0</v>
      </c>
      <c r="B71" s="1" t="s">
        <v>407</v>
      </c>
      <c r="C71" s="1" t="s">
        <v>587</v>
      </c>
      <c r="D71" s="7" t="s">
        <v>364</v>
      </c>
      <c r="E71" s="1" t="s">
        <v>235</v>
      </c>
      <c r="F71" s="7" t="s">
        <v>606</v>
      </c>
      <c r="G71" s="1" t="s">
        <v>100</v>
      </c>
      <c r="H71" s="1">
        <v>33.6</v>
      </c>
      <c r="I71" s="1">
        <v>29.6</v>
      </c>
      <c r="J71" s="1">
        <v>34.0</v>
      </c>
      <c r="K71" s="1">
        <v>31.2</v>
      </c>
      <c r="L71" s="1">
        <v>29.8</v>
      </c>
      <c r="M71" s="1">
        <v>26.4</v>
      </c>
      <c r="N71" s="1">
        <v>67.0</v>
      </c>
      <c r="P71" s="1" t="s">
        <v>589</v>
      </c>
      <c r="Q71" s="1" t="s">
        <v>100</v>
      </c>
      <c r="R71" s="1">
        <v>33.6</v>
      </c>
      <c r="S71" s="1">
        <v>29.6</v>
      </c>
      <c r="T71" s="1">
        <v>34.0</v>
      </c>
      <c r="U71" s="1">
        <v>31.2</v>
      </c>
      <c r="V71" s="1">
        <v>29.8</v>
      </c>
      <c r="W71" s="1">
        <v>26.4</v>
      </c>
      <c r="X71" s="1">
        <v>67.0</v>
      </c>
      <c r="Y71" s="20" t="str">
        <f t="shared" si="1"/>
        <v/>
      </c>
    </row>
    <row r="72">
      <c r="A72" s="15">
        <v>46310.0</v>
      </c>
      <c r="B72" s="1" t="s">
        <v>407</v>
      </c>
      <c r="C72" s="1" t="s">
        <v>587</v>
      </c>
      <c r="D72" s="7" t="s">
        <v>364</v>
      </c>
      <c r="E72" s="1" t="s">
        <v>235</v>
      </c>
      <c r="F72" s="7" t="s">
        <v>600</v>
      </c>
      <c r="G72" s="1" t="s">
        <v>100</v>
      </c>
      <c r="H72" s="1">
        <v>35.8</v>
      </c>
      <c r="I72" s="1">
        <v>40.3</v>
      </c>
      <c r="J72" s="1">
        <v>30.1</v>
      </c>
      <c r="K72" s="1">
        <v>27.2</v>
      </c>
      <c r="L72" s="1">
        <v>31.7</v>
      </c>
      <c r="M72" s="1">
        <v>32.1</v>
      </c>
      <c r="N72" s="1">
        <v>28.0</v>
      </c>
      <c r="P72" s="1" t="s">
        <v>589</v>
      </c>
      <c r="Q72" s="1" t="s">
        <v>100</v>
      </c>
      <c r="R72" s="1">
        <v>35.8</v>
      </c>
      <c r="S72" s="1">
        <v>40.3</v>
      </c>
      <c r="T72" s="1">
        <v>30.1</v>
      </c>
      <c r="U72" s="1">
        <v>27.2</v>
      </c>
      <c r="V72" s="1">
        <v>31.7</v>
      </c>
      <c r="W72" s="1">
        <v>32.1</v>
      </c>
      <c r="X72" s="1">
        <v>28.0</v>
      </c>
      <c r="Y72" s="20" t="str">
        <f t="shared" si="1"/>
        <v/>
      </c>
    </row>
    <row r="73">
      <c r="A73" s="15">
        <v>46310.0</v>
      </c>
      <c r="B73" s="1" t="s">
        <v>407</v>
      </c>
      <c r="C73" s="1" t="s">
        <v>587</v>
      </c>
      <c r="D73" s="7" t="s">
        <v>364</v>
      </c>
      <c r="E73" s="1" t="s">
        <v>235</v>
      </c>
      <c r="F73" s="7" t="s">
        <v>613</v>
      </c>
      <c r="G73" s="1" t="s">
        <v>100</v>
      </c>
      <c r="H73" s="1">
        <v>34.9</v>
      </c>
      <c r="I73" s="1">
        <v>34.9</v>
      </c>
      <c r="J73" s="1">
        <v>33.2</v>
      </c>
      <c r="K73" s="1">
        <v>33.5</v>
      </c>
      <c r="L73" s="1" t="s">
        <v>289</v>
      </c>
      <c r="M73" s="1" t="s">
        <v>289</v>
      </c>
      <c r="N73" s="1">
        <v>15.0</v>
      </c>
      <c r="P73" s="1" t="s">
        <v>589</v>
      </c>
      <c r="Q73" s="1" t="s">
        <v>100</v>
      </c>
      <c r="R73" s="1">
        <v>34.9</v>
      </c>
      <c r="S73" s="1">
        <v>34.9</v>
      </c>
      <c r="T73" s="1">
        <v>33.2</v>
      </c>
      <c r="U73" s="1">
        <v>33.5</v>
      </c>
      <c r="V73" s="1" t="s">
        <v>289</v>
      </c>
      <c r="W73" s="1" t="s">
        <v>289</v>
      </c>
      <c r="X73" s="1">
        <v>15.0</v>
      </c>
      <c r="Y73" s="20" t="str">
        <f t="shared" si="1"/>
        <v/>
      </c>
    </row>
    <row r="74">
      <c r="A74" s="15">
        <v>46310.0</v>
      </c>
      <c r="B74" s="1" t="s">
        <v>407</v>
      </c>
      <c r="C74" s="1" t="s">
        <v>587</v>
      </c>
      <c r="D74" s="7" t="s">
        <v>364</v>
      </c>
      <c r="E74" s="1" t="s">
        <v>235</v>
      </c>
      <c r="F74" s="7" t="s">
        <v>625</v>
      </c>
      <c r="G74" s="1" t="s">
        <v>100</v>
      </c>
      <c r="H74" s="1">
        <v>37.0</v>
      </c>
      <c r="I74" s="1">
        <v>34.1</v>
      </c>
      <c r="J74" s="1">
        <v>34.9</v>
      </c>
      <c r="K74" s="1">
        <v>36.7</v>
      </c>
      <c r="L74" s="1">
        <v>39.7</v>
      </c>
      <c r="M74" s="1">
        <v>40.6</v>
      </c>
      <c r="N74" s="1" t="s">
        <v>289</v>
      </c>
      <c r="P74" s="1" t="s">
        <v>589</v>
      </c>
      <c r="Q74" s="1" t="s">
        <v>100</v>
      </c>
      <c r="R74" s="1">
        <v>37.0</v>
      </c>
      <c r="S74" s="1">
        <v>34.1</v>
      </c>
      <c r="T74" s="1">
        <v>34.9</v>
      </c>
      <c r="U74" s="1">
        <v>36.7</v>
      </c>
      <c r="V74" s="1">
        <v>39.7</v>
      </c>
      <c r="W74" s="1">
        <v>40.6</v>
      </c>
      <c r="X74" s="1" t="s">
        <v>289</v>
      </c>
      <c r="Y74" s="20" t="str">
        <f t="shared" si="1"/>
        <v/>
      </c>
    </row>
    <row r="75">
      <c r="A75" s="15">
        <v>46310.0</v>
      </c>
      <c r="B75" s="1" t="s">
        <v>407</v>
      </c>
      <c r="C75" s="1" t="s">
        <v>587</v>
      </c>
      <c r="D75" s="7" t="s">
        <v>350</v>
      </c>
      <c r="E75" s="1" t="s">
        <v>98</v>
      </c>
      <c r="F75" s="7" t="s">
        <v>641</v>
      </c>
      <c r="G75" s="1" t="s">
        <v>100</v>
      </c>
      <c r="H75" s="1">
        <v>35.9</v>
      </c>
      <c r="I75" s="1">
        <v>36.1</v>
      </c>
      <c r="J75" s="1">
        <v>34.6</v>
      </c>
      <c r="K75" s="1">
        <v>34.3</v>
      </c>
      <c r="L75" s="1" t="s">
        <v>289</v>
      </c>
      <c r="M75" s="1" t="s">
        <v>289</v>
      </c>
      <c r="N75" s="1">
        <v>4.0</v>
      </c>
      <c r="P75" s="1" t="s">
        <v>589</v>
      </c>
      <c r="Q75" s="1" t="s">
        <v>100</v>
      </c>
      <c r="R75" s="1">
        <v>35.9</v>
      </c>
      <c r="S75" s="1">
        <v>36.1</v>
      </c>
      <c r="T75" s="1">
        <v>34.6</v>
      </c>
      <c r="U75" s="1">
        <v>34.3</v>
      </c>
      <c r="V75" s="1" t="s">
        <v>289</v>
      </c>
      <c r="W75" s="1" t="s">
        <v>289</v>
      </c>
      <c r="X75" s="1">
        <v>4.0</v>
      </c>
      <c r="Y75" s="20" t="str">
        <f t="shared" si="1"/>
        <v/>
      </c>
    </row>
    <row r="76">
      <c r="A76" s="15">
        <v>46310.0</v>
      </c>
      <c r="B76" s="1" t="s">
        <v>407</v>
      </c>
      <c r="C76" s="1" t="s">
        <v>587</v>
      </c>
      <c r="D76" s="7" t="s">
        <v>350</v>
      </c>
      <c r="E76" s="1" t="s">
        <v>98</v>
      </c>
      <c r="F76" s="7" t="s">
        <v>643</v>
      </c>
      <c r="G76" s="1" t="s">
        <v>100</v>
      </c>
      <c r="H76" s="1">
        <v>31.4</v>
      </c>
      <c r="I76" s="1">
        <v>31.4</v>
      </c>
      <c r="J76" s="1">
        <v>31.9</v>
      </c>
      <c r="K76" s="1">
        <v>33.8</v>
      </c>
      <c r="L76" s="1">
        <v>32.5</v>
      </c>
      <c r="M76" s="1" t="s">
        <v>289</v>
      </c>
      <c r="N76" s="1">
        <v>6.0</v>
      </c>
      <c r="P76" s="1" t="s">
        <v>589</v>
      </c>
      <c r="Q76" s="1" t="s">
        <v>100</v>
      </c>
      <c r="R76" s="1">
        <v>31.4</v>
      </c>
      <c r="S76" s="1">
        <v>31.4</v>
      </c>
      <c r="T76" s="1">
        <v>31.9</v>
      </c>
      <c r="U76" s="1">
        <v>33.8</v>
      </c>
      <c r="V76" s="1">
        <v>32.5</v>
      </c>
      <c r="W76" s="1" t="s">
        <v>289</v>
      </c>
      <c r="X76" s="1">
        <v>6.0</v>
      </c>
      <c r="Y76" s="20" t="str">
        <f t="shared" si="1"/>
        <v/>
      </c>
    </row>
    <row r="77">
      <c r="A77" s="15">
        <v>46310.0</v>
      </c>
      <c r="B77" s="1" t="s">
        <v>407</v>
      </c>
      <c r="C77" s="1" t="s">
        <v>587</v>
      </c>
      <c r="D77" s="7" t="s">
        <v>338</v>
      </c>
      <c r="E77" s="1" t="s">
        <v>194</v>
      </c>
      <c r="F77" s="7" t="s">
        <v>645</v>
      </c>
      <c r="G77" s="1" t="s">
        <v>100</v>
      </c>
      <c r="H77" s="1">
        <v>35.9</v>
      </c>
      <c r="I77" s="1">
        <v>37.1</v>
      </c>
      <c r="J77" s="1">
        <v>33.9</v>
      </c>
      <c r="K77" s="1">
        <v>33.8</v>
      </c>
      <c r="L77" s="1">
        <v>34.8</v>
      </c>
      <c r="M77" s="1" t="s">
        <v>289</v>
      </c>
      <c r="N77" s="1">
        <v>6.0</v>
      </c>
      <c r="P77" s="1" t="s">
        <v>589</v>
      </c>
      <c r="Q77" s="1" t="s">
        <v>100</v>
      </c>
      <c r="R77" s="1">
        <v>35.9</v>
      </c>
      <c r="S77" s="1">
        <v>37.1</v>
      </c>
      <c r="T77" s="1">
        <v>33.9</v>
      </c>
      <c r="U77" s="1">
        <v>33.8</v>
      </c>
      <c r="V77" s="1">
        <v>34.8</v>
      </c>
      <c r="W77" s="1" t="s">
        <v>289</v>
      </c>
      <c r="X77" s="1">
        <v>6.0</v>
      </c>
      <c r="Y77" s="20" t="str">
        <f t="shared" si="1"/>
        <v/>
      </c>
    </row>
    <row r="78">
      <c r="A78" s="15">
        <v>46310.0</v>
      </c>
      <c r="B78" s="1" t="s">
        <v>407</v>
      </c>
      <c r="C78" s="1" t="s">
        <v>587</v>
      </c>
      <c r="D78" s="7" t="s">
        <v>338</v>
      </c>
      <c r="E78" s="1" t="s">
        <v>194</v>
      </c>
      <c r="F78" s="7" t="s">
        <v>647</v>
      </c>
      <c r="G78" s="1" t="s">
        <v>100</v>
      </c>
      <c r="H78" s="1">
        <v>31.9</v>
      </c>
      <c r="I78" s="1">
        <v>33.1</v>
      </c>
      <c r="J78" s="1">
        <v>35.1</v>
      </c>
      <c r="K78" s="1">
        <v>37.4</v>
      </c>
      <c r="L78" s="1">
        <v>38.1</v>
      </c>
      <c r="M78" s="1">
        <v>36.6</v>
      </c>
      <c r="N78" s="1">
        <v>6.0</v>
      </c>
      <c r="P78" s="1" t="s">
        <v>589</v>
      </c>
      <c r="Q78" s="1" t="s">
        <v>100</v>
      </c>
      <c r="R78" s="1">
        <v>31.9</v>
      </c>
      <c r="S78" s="1">
        <v>33.1</v>
      </c>
      <c r="T78" s="1">
        <v>35.1</v>
      </c>
      <c r="U78" s="1">
        <v>37.4</v>
      </c>
      <c r="V78" s="1">
        <v>38.1</v>
      </c>
      <c r="W78" s="1">
        <v>36.6</v>
      </c>
      <c r="X78" s="1">
        <v>6.0</v>
      </c>
      <c r="Y78" s="20" t="str">
        <f t="shared" si="1"/>
        <v/>
      </c>
    </row>
    <row r="79">
      <c r="A79" s="15">
        <v>46310.0</v>
      </c>
      <c r="B79" s="1" t="s">
        <v>407</v>
      </c>
      <c r="C79" s="1" t="s">
        <v>587</v>
      </c>
      <c r="D79" s="7" t="s">
        <v>338</v>
      </c>
      <c r="E79" s="1" t="s">
        <v>194</v>
      </c>
      <c r="F79" s="7" t="s">
        <v>649</v>
      </c>
      <c r="G79" s="1" t="s">
        <v>100</v>
      </c>
      <c r="H79" s="1">
        <v>30.5</v>
      </c>
      <c r="I79" s="1">
        <v>30.9</v>
      </c>
      <c r="J79" s="1">
        <v>26.5</v>
      </c>
      <c r="K79" s="1">
        <v>27.9</v>
      </c>
      <c r="L79" s="1" t="s">
        <v>289</v>
      </c>
      <c r="M79" s="1" t="s">
        <v>289</v>
      </c>
      <c r="N79" s="1">
        <v>4.0</v>
      </c>
      <c r="P79" s="1" t="s">
        <v>589</v>
      </c>
      <c r="Q79" s="1" t="s">
        <v>100</v>
      </c>
      <c r="R79" s="1">
        <v>30.5</v>
      </c>
      <c r="S79" s="1">
        <v>30.9</v>
      </c>
      <c r="T79" s="1">
        <v>26.5</v>
      </c>
      <c r="U79" s="1">
        <v>27.9</v>
      </c>
      <c r="V79" s="1" t="s">
        <v>289</v>
      </c>
      <c r="W79" s="1" t="s">
        <v>289</v>
      </c>
      <c r="X79" s="1">
        <v>4.0</v>
      </c>
      <c r="Y79" s="20" t="str">
        <f t="shared" si="1"/>
        <v/>
      </c>
    </row>
    <row r="80">
      <c r="A80" s="15">
        <v>46310.0</v>
      </c>
      <c r="B80" s="1" t="s">
        <v>407</v>
      </c>
      <c r="C80" s="1" t="s">
        <v>587</v>
      </c>
      <c r="D80" s="7" t="s">
        <v>338</v>
      </c>
      <c r="E80" s="1" t="s">
        <v>235</v>
      </c>
      <c r="F80" s="7" t="s">
        <v>416</v>
      </c>
      <c r="G80" s="1" t="s">
        <v>100</v>
      </c>
      <c r="H80" s="1">
        <v>35.2</v>
      </c>
      <c r="I80" s="1">
        <v>30.8</v>
      </c>
      <c r="J80" s="1">
        <v>33.9</v>
      </c>
      <c r="K80" s="1">
        <v>34.5</v>
      </c>
      <c r="L80" s="1">
        <v>32.4</v>
      </c>
      <c r="M80" s="1">
        <v>32.5</v>
      </c>
      <c r="N80" s="1">
        <v>59.0</v>
      </c>
      <c r="P80" s="1" t="s">
        <v>589</v>
      </c>
      <c r="Q80" s="1" t="s">
        <v>100</v>
      </c>
      <c r="R80" s="1">
        <v>35.2</v>
      </c>
      <c r="S80" s="1">
        <v>30.8</v>
      </c>
      <c r="T80" s="1">
        <v>33.9</v>
      </c>
      <c r="U80" s="1">
        <v>34.5</v>
      </c>
      <c r="V80" s="1">
        <v>32.4</v>
      </c>
      <c r="W80" s="1">
        <v>32.5</v>
      </c>
      <c r="X80" s="1">
        <v>59.0</v>
      </c>
      <c r="Y80" s="20" t="str">
        <f t="shared" si="1"/>
        <v/>
      </c>
    </row>
    <row r="81">
      <c r="A81" s="15">
        <v>46310.0</v>
      </c>
      <c r="B81" s="1" t="s">
        <v>407</v>
      </c>
      <c r="C81" s="1" t="s">
        <v>587</v>
      </c>
      <c r="D81" s="7" t="s">
        <v>350</v>
      </c>
      <c r="E81" s="1" t="s">
        <v>194</v>
      </c>
      <c r="F81" s="7" t="s">
        <v>410</v>
      </c>
      <c r="G81" s="1" t="s">
        <v>150</v>
      </c>
      <c r="H81" s="1" t="s">
        <v>289</v>
      </c>
      <c r="I81" s="1" t="s">
        <v>289</v>
      </c>
      <c r="J81" s="1" t="s">
        <v>289</v>
      </c>
      <c r="K81" s="1" t="s">
        <v>289</v>
      </c>
      <c r="L81" s="1" t="s">
        <v>289</v>
      </c>
      <c r="M81" s="1" t="s">
        <v>289</v>
      </c>
      <c r="N81" s="1" t="s">
        <v>289</v>
      </c>
      <c r="P81" s="1" t="s">
        <v>589</v>
      </c>
      <c r="Q81" s="1" t="s">
        <v>150</v>
      </c>
      <c r="R81" s="1" t="s">
        <v>289</v>
      </c>
      <c r="S81" s="1" t="s">
        <v>289</v>
      </c>
      <c r="T81" s="1" t="s">
        <v>289</v>
      </c>
      <c r="U81" s="1" t="s">
        <v>289</v>
      </c>
      <c r="V81" s="1" t="s">
        <v>289</v>
      </c>
      <c r="W81" s="1" t="s">
        <v>289</v>
      </c>
      <c r="X81" s="1" t="s">
        <v>289</v>
      </c>
      <c r="Y81" s="20" t="str">
        <f t="shared" si="1"/>
        <v/>
      </c>
    </row>
    <row r="82">
      <c r="A82" s="15">
        <v>46310.0</v>
      </c>
      <c r="B82" s="1" t="s">
        <v>407</v>
      </c>
      <c r="C82" s="1" t="s">
        <v>587</v>
      </c>
      <c r="D82" s="7" t="s">
        <v>350</v>
      </c>
      <c r="E82" s="1" t="s">
        <v>194</v>
      </c>
      <c r="F82" s="7" t="s">
        <v>421</v>
      </c>
      <c r="G82" s="1" t="s">
        <v>150</v>
      </c>
      <c r="H82" s="1" t="s">
        <v>289</v>
      </c>
      <c r="I82" s="1" t="s">
        <v>289</v>
      </c>
      <c r="J82" s="1" t="s">
        <v>289</v>
      </c>
      <c r="K82" s="1" t="s">
        <v>289</v>
      </c>
      <c r="L82" s="1" t="s">
        <v>289</v>
      </c>
      <c r="M82" s="1" t="s">
        <v>289</v>
      </c>
      <c r="N82" s="1" t="s">
        <v>289</v>
      </c>
      <c r="P82" s="1" t="s">
        <v>589</v>
      </c>
      <c r="Q82" s="1" t="s">
        <v>150</v>
      </c>
      <c r="R82" s="1" t="s">
        <v>289</v>
      </c>
      <c r="S82" s="1" t="s">
        <v>289</v>
      </c>
      <c r="T82" s="1" t="s">
        <v>289</v>
      </c>
      <c r="U82" s="1" t="s">
        <v>289</v>
      </c>
      <c r="V82" s="1" t="s">
        <v>289</v>
      </c>
      <c r="W82" s="1" t="s">
        <v>289</v>
      </c>
      <c r="X82" s="1" t="s">
        <v>289</v>
      </c>
      <c r="Y82" s="20" t="str">
        <f t="shared" si="1"/>
        <v/>
      </c>
    </row>
    <row r="83">
      <c r="A83" s="15">
        <v>46310.0</v>
      </c>
      <c r="B83" s="1" t="s">
        <v>407</v>
      </c>
      <c r="C83" s="1" t="s">
        <v>587</v>
      </c>
      <c r="D83" s="7" t="s">
        <v>350</v>
      </c>
      <c r="E83" s="1" t="s">
        <v>194</v>
      </c>
      <c r="F83" s="7" t="s">
        <v>651</v>
      </c>
      <c r="G83" s="1" t="s">
        <v>100</v>
      </c>
      <c r="H83" s="1">
        <v>39.6</v>
      </c>
      <c r="I83" s="1">
        <v>38.7</v>
      </c>
      <c r="J83" s="1">
        <v>38.6</v>
      </c>
      <c r="K83" s="1">
        <v>35.4</v>
      </c>
      <c r="L83" s="1">
        <v>35.8</v>
      </c>
      <c r="M83" s="1" t="s">
        <v>289</v>
      </c>
      <c r="N83" s="1">
        <v>6.0</v>
      </c>
      <c r="P83" s="1" t="s">
        <v>589</v>
      </c>
      <c r="Q83" s="1" t="s">
        <v>100</v>
      </c>
      <c r="R83" s="1">
        <v>39.6</v>
      </c>
      <c r="S83" s="1">
        <v>38.7</v>
      </c>
      <c r="T83" s="1">
        <v>38.6</v>
      </c>
      <c r="U83" s="1">
        <v>35.4</v>
      </c>
      <c r="V83" s="1">
        <v>35.8</v>
      </c>
      <c r="W83" s="1" t="s">
        <v>289</v>
      </c>
      <c r="X83" s="1">
        <v>6.0</v>
      </c>
      <c r="Y83" s="20" t="str">
        <f t="shared" si="1"/>
        <v/>
      </c>
    </row>
    <row r="84">
      <c r="A84" s="15">
        <v>46310.0</v>
      </c>
      <c r="B84" s="1" t="s">
        <v>407</v>
      </c>
      <c r="C84" s="1" t="s">
        <v>587</v>
      </c>
      <c r="D84" s="7" t="s">
        <v>350</v>
      </c>
      <c r="E84" s="1" t="s">
        <v>194</v>
      </c>
      <c r="F84" s="7" t="s">
        <v>652</v>
      </c>
      <c r="G84" s="1" t="s">
        <v>100</v>
      </c>
      <c r="H84" s="1">
        <v>26.6</v>
      </c>
      <c r="I84" s="1">
        <v>28.6</v>
      </c>
      <c r="J84" s="1">
        <v>26.8</v>
      </c>
      <c r="K84" s="1">
        <v>30.0</v>
      </c>
      <c r="L84" s="1" t="s">
        <v>289</v>
      </c>
      <c r="M84" s="1" t="s">
        <v>289</v>
      </c>
      <c r="N84" s="1">
        <v>6.0</v>
      </c>
      <c r="P84" s="1" t="s">
        <v>589</v>
      </c>
      <c r="Q84" s="1" t="s">
        <v>100</v>
      </c>
      <c r="R84" s="1">
        <v>26.6</v>
      </c>
      <c r="S84" s="1">
        <v>28.6</v>
      </c>
      <c r="T84" s="1">
        <v>26.8</v>
      </c>
      <c r="U84" s="1">
        <v>30.0</v>
      </c>
      <c r="V84" s="1" t="s">
        <v>289</v>
      </c>
      <c r="W84" s="1" t="s">
        <v>289</v>
      </c>
      <c r="X84" s="1">
        <v>6.0</v>
      </c>
      <c r="Y84" s="20" t="str">
        <f t="shared" si="1"/>
        <v/>
      </c>
    </row>
    <row r="85">
      <c r="A85" s="15">
        <v>46310.0</v>
      </c>
      <c r="B85" s="1" t="s">
        <v>407</v>
      </c>
      <c r="C85" s="1" t="s">
        <v>587</v>
      </c>
      <c r="D85" s="7" t="s">
        <v>350</v>
      </c>
      <c r="E85" s="1" t="s">
        <v>194</v>
      </c>
      <c r="F85" s="7" t="s">
        <v>432</v>
      </c>
      <c r="G85" s="1" t="s">
        <v>100</v>
      </c>
      <c r="H85" s="1">
        <v>25.7</v>
      </c>
      <c r="I85" s="1">
        <v>22.5</v>
      </c>
      <c r="J85" s="1">
        <v>27.4</v>
      </c>
      <c r="K85" s="1">
        <v>27.9</v>
      </c>
      <c r="L85" s="1">
        <v>26.1</v>
      </c>
      <c r="M85" s="1">
        <v>36.9</v>
      </c>
      <c r="N85" s="1">
        <v>13.0</v>
      </c>
      <c r="P85" s="1" t="s">
        <v>589</v>
      </c>
      <c r="Q85" s="1" t="s">
        <v>100</v>
      </c>
      <c r="R85" s="1">
        <v>25.7</v>
      </c>
      <c r="S85" s="1">
        <v>22.5</v>
      </c>
      <c r="T85" s="1">
        <v>27.4</v>
      </c>
      <c r="U85" s="1">
        <v>27.9</v>
      </c>
      <c r="V85" s="1">
        <v>26.1</v>
      </c>
      <c r="W85" s="1">
        <v>36.9</v>
      </c>
      <c r="X85" s="1">
        <v>13.0</v>
      </c>
      <c r="Y85" s="20" t="str">
        <f t="shared" si="1"/>
        <v/>
      </c>
    </row>
    <row r="86">
      <c r="A86" s="15">
        <v>46310.0</v>
      </c>
      <c r="B86" s="1" t="s">
        <v>407</v>
      </c>
      <c r="C86" s="1" t="s">
        <v>587</v>
      </c>
      <c r="D86" s="7" t="s">
        <v>350</v>
      </c>
      <c r="E86" s="1" t="s">
        <v>121</v>
      </c>
      <c r="F86" s="7" t="s">
        <v>655</v>
      </c>
      <c r="G86" s="1" t="s">
        <v>100</v>
      </c>
      <c r="H86" s="1">
        <v>39.4</v>
      </c>
      <c r="I86" s="1">
        <v>25.8</v>
      </c>
      <c r="J86" s="1">
        <v>39.7</v>
      </c>
      <c r="K86" s="1">
        <v>39.6</v>
      </c>
      <c r="L86" s="1">
        <v>38.4</v>
      </c>
      <c r="M86" s="1">
        <v>35.0</v>
      </c>
      <c r="N86" s="1">
        <v>10.0</v>
      </c>
      <c r="P86" s="1" t="s">
        <v>589</v>
      </c>
      <c r="Q86" s="1" t="s">
        <v>100</v>
      </c>
      <c r="R86" s="1">
        <v>39.4</v>
      </c>
      <c r="S86" s="1">
        <v>25.8</v>
      </c>
      <c r="T86" s="1">
        <v>39.7</v>
      </c>
      <c r="U86" s="1">
        <v>39.6</v>
      </c>
      <c r="V86" s="1">
        <v>38.4</v>
      </c>
      <c r="W86" s="1">
        <v>35.0</v>
      </c>
      <c r="X86" s="1">
        <v>10.0</v>
      </c>
      <c r="Y86" s="20" t="str">
        <f t="shared" si="1"/>
        <v/>
      </c>
    </row>
    <row r="87">
      <c r="A87" s="15">
        <v>46310.0</v>
      </c>
      <c r="B87" s="1" t="s">
        <v>407</v>
      </c>
      <c r="C87" s="1" t="s">
        <v>587</v>
      </c>
      <c r="D87" s="7" t="s">
        <v>350</v>
      </c>
      <c r="E87" s="1" t="s">
        <v>121</v>
      </c>
      <c r="F87" s="7" t="s">
        <v>657</v>
      </c>
      <c r="G87" s="1" t="s">
        <v>100</v>
      </c>
      <c r="H87" s="1">
        <v>32.7</v>
      </c>
      <c r="I87" s="1">
        <v>29.9</v>
      </c>
      <c r="J87" s="1">
        <v>33.2</v>
      </c>
      <c r="K87" s="1" t="s">
        <v>289</v>
      </c>
      <c r="L87" s="1" t="s">
        <v>289</v>
      </c>
      <c r="M87" s="1" t="s">
        <v>289</v>
      </c>
      <c r="N87" s="1">
        <v>6.0</v>
      </c>
      <c r="P87" s="1" t="s">
        <v>589</v>
      </c>
      <c r="Q87" s="1" t="s">
        <v>100</v>
      </c>
      <c r="R87" s="1">
        <v>32.7</v>
      </c>
      <c r="S87" s="1">
        <v>29.9</v>
      </c>
      <c r="T87" s="1">
        <v>33.2</v>
      </c>
      <c r="U87" s="1" t="s">
        <v>289</v>
      </c>
      <c r="V87" s="1" t="s">
        <v>289</v>
      </c>
      <c r="W87" s="1" t="s">
        <v>289</v>
      </c>
      <c r="X87" s="1">
        <v>6.0</v>
      </c>
      <c r="Y87" s="20" t="str">
        <f t="shared" si="1"/>
        <v/>
      </c>
    </row>
    <row r="88">
      <c r="A88" s="15">
        <v>46310.0</v>
      </c>
      <c r="B88" s="1" t="s">
        <v>407</v>
      </c>
      <c r="C88" s="1" t="s">
        <v>587</v>
      </c>
      <c r="D88" s="7" t="s">
        <v>350</v>
      </c>
      <c r="E88" s="1" t="s">
        <v>121</v>
      </c>
      <c r="F88" s="7" t="s">
        <v>659</v>
      </c>
      <c r="G88" s="1" t="s">
        <v>100</v>
      </c>
      <c r="H88" s="1">
        <v>36.3</v>
      </c>
      <c r="I88" s="1">
        <v>35.8</v>
      </c>
      <c r="J88" s="1">
        <v>34.1</v>
      </c>
      <c r="K88" s="1">
        <v>34.8</v>
      </c>
      <c r="L88" s="1">
        <v>33.3</v>
      </c>
      <c r="M88" s="1" t="s">
        <v>289</v>
      </c>
      <c r="N88" s="1">
        <v>9.0</v>
      </c>
      <c r="P88" s="1" t="s">
        <v>589</v>
      </c>
      <c r="Q88" s="1" t="s">
        <v>100</v>
      </c>
      <c r="R88" s="1">
        <v>36.3</v>
      </c>
      <c r="S88" s="1">
        <v>35.8</v>
      </c>
      <c r="T88" s="1">
        <v>34.1</v>
      </c>
      <c r="U88" s="1">
        <v>34.8</v>
      </c>
      <c r="V88" s="1">
        <v>33.3</v>
      </c>
      <c r="W88" s="1" t="s">
        <v>289</v>
      </c>
      <c r="X88" s="1">
        <v>9.0</v>
      </c>
      <c r="Y88" s="20" t="str">
        <f t="shared" si="1"/>
        <v/>
      </c>
    </row>
    <row r="89">
      <c r="A89" s="15">
        <v>46310.0</v>
      </c>
      <c r="B89" s="1" t="s">
        <v>407</v>
      </c>
      <c r="C89" s="1" t="s">
        <v>587</v>
      </c>
      <c r="D89" s="7" t="s">
        <v>350</v>
      </c>
      <c r="E89" s="1" t="s">
        <v>121</v>
      </c>
      <c r="F89" s="7" t="s">
        <v>662</v>
      </c>
      <c r="G89" s="1" t="s">
        <v>100</v>
      </c>
      <c r="H89" s="1">
        <v>34.1</v>
      </c>
      <c r="I89" s="1">
        <v>35.6</v>
      </c>
      <c r="J89" s="1">
        <v>34.9</v>
      </c>
      <c r="K89" s="1">
        <v>35.2</v>
      </c>
      <c r="L89" s="1">
        <v>33.1</v>
      </c>
      <c r="M89" s="1">
        <v>30.5</v>
      </c>
      <c r="N89" s="1">
        <v>8.0</v>
      </c>
      <c r="P89" s="1" t="s">
        <v>589</v>
      </c>
      <c r="Q89" s="1" t="s">
        <v>100</v>
      </c>
      <c r="R89" s="1">
        <v>34.1</v>
      </c>
      <c r="S89" s="1">
        <v>35.6</v>
      </c>
      <c r="T89" s="1">
        <v>34.9</v>
      </c>
      <c r="U89" s="1">
        <v>35.2</v>
      </c>
      <c r="V89" s="1">
        <v>33.1</v>
      </c>
      <c r="W89" s="1">
        <v>30.5</v>
      </c>
      <c r="X89" s="1">
        <v>8.0</v>
      </c>
      <c r="Y89" s="20" t="str">
        <f t="shared" si="1"/>
        <v/>
      </c>
    </row>
    <row r="90">
      <c r="A90" s="15">
        <v>46310.0</v>
      </c>
      <c r="B90" s="1" t="s">
        <v>407</v>
      </c>
      <c r="C90" s="1" t="s">
        <v>587</v>
      </c>
      <c r="D90" s="7" t="s">
        <v>114</v>
      </c>
      <c r="E90" s="1" t="s">
        <v>121</v>
      </c>
      <c r="F90" s="7" t="s">
        <v>664</v>
      </c>
      <c r="G90" s="1" t="s">
        <v>100</v>
      </c>
      <c r="H90" s="1">
        <v>26.8</v>
      </c>
      <c r="I90" s="1">
        <v>20.4</v>
      </c>
      <c r="J90" s="1">
        <v>27.2</v>
      </c>
      <c r="K90" s="1">
        <v>25.3</v>
      </c>
      <c r="L90" s="1">
        <v>28.6</v>
      </c>
      <c r="M90" s="1">
        <v>26.0</v>
      </c>
      <c r="N90" s="1">
        <v>7.0</v>
      </c>
      <c r="P90" s="1" t="s">
        <v>589</v>
      </c>
      <c r="Q90" s="1" t="s">
        <v>100</v>
      </c>
      <c r="R90" s="1">
        <v>26.8</v>
      </c>
      <c r="S90" s="1">
        <v>20.4</v>
      </c>
      <c r="T90" s="1">
        <v>27.2</v>
      </c>
      <c r="U90" s="1">
        <v>25.3</v>
      </c>
      <c r="V90" s="1">
        <v>28.6</v>
      </c>
      <c r="W90" s="1">
        <v>26.0</v>
      </c>
      <c r="X90" s="1">
        <v>7.0</v>
      </c>
      <c r="Y90" s="20" t="str">
        <f t="shared" si="1"/>
        <v/>
      </c>
    </row>
    <row r="91">
      <c r="A91" s="15">
        <v>46310.0</v>
      </c>
      <c r="B91" s="1" t="s">
        <v>407</v>
      </c>
      <c r="C91" s="1" t="s">
        <v>587</v>
      </c>
      <c r="D91" s="7" t="s">
        <v>114</v>
      </c>
      <c r="E91" s="1" t="s">
        <v>121</v>
      </c>
      <c r="F91" s="7" t="s">
        <v>666</v>
      </c>
      <c r="G91" s="1" t="s">
        <v>100</v>
      </c>
      <c r="H91" s="1">
        <v>29.2</v>
      </c>
      <c r="I91" s="1">
        <v>29.8</v>
      </c>
      <c r="J91" s="1">
        <v>30.4</v>
      </c>
      <c r="K91" s="1">
        <v>31.2</v>
      </c>
      <c r="L91" s="1">
        <v>26.6</v>
      </c>
      <c r="M91" s="1">
        <v>24.4</v>
      </c>
      <c r="N91" s="1">
        <v>14.0</v>
      </c>
      <c r="P91" s="1" t="s">
        <v>589</v>
      </c>
      <c r="Q91" s="1" t="s">
        <v>100</v>
      </c>
      <c r="R91" s="1">
        <v>29.2</v>
      </c>
      <c r="S91" s="1">
        <v>29.8</v>
      </c>
      <c r="T91" s="1">
        <v>30.4</v>
      </c>
      <c r="U91" s="1">
        <v>31.2</v>
      </c>
      <c r="V91" s="1">
        <v>26.6</v>
      </c>
      <c r="W91" s="1">
        <v>24.4</v>
      </c>
      <c r="X91" s="1">
        <v>14.0</v>
      </c>
      <c r="Y91" s="20" t="str">
        <f t="shared" si="1"/>
        <v/>
      </c>
    </row>
    <row r="92">
      <c r="A92" s="15">
        <v>46310.0</v>
      </c>
      <c r="B92" s="1" t="s">
        <v>407</v>
      </c>
      <c r="C92" s="1" t="s">
        <v>587</v>
      </c>
      <c r="D92" s="7" t="s">
        <v>114</v>
      </c>
      <c r="E92" s="1" t="s">
        <v>235</v>
      </c>
      <c r="F92" s="7" t="s">
        <v>470</v>
      </c>
      <c r="G92" s="1" t="s">
        <v>100</v>
      </c>
      <c r="H92" s="1">
        <v>22.1</v>
      </c>
      <c r="I92" s="1">
        <v>18.9</v>
      </c>
      <c r="J92" s="1">
        <v>25.7</v>
      </c>
      <c r="K92" s="1">
        <v>26.1</v>
      </c>
      <c r="L92" s="1">
        <v>29.6</v>
      </c>
      <c r="M92" s="1">
        <v>17.3</v>
      </c>
      <c r="N92" s="1">
        <v>19.0</v>
      </c>
      <c r="P92" s="1" t="s">
        <v>589</v>
      </c>
      <c r="Q92" s="1" t="s">
        <v>100</v>
      </c>
      <c r="R92" s="1">
        <v>22.1</v>
      </c>
      <c r="S92" s="1">
        <v>18.9</v>
      </c>
      <c r="T92" s="1">
        <v>25.7</v>
      </c>
      <c r="U92" s="1">
        <v>26.1</v>
      </c>
      <c r="V92" s="1">
        <v>29.6</v>
      </c>
      <c r="W92" s="1">
        <v>17.3</v>
      </c>
      <c r="X92" s="1">
        <v>19.0</v>
      </c>
      <c r="Y92" s="20" t="str">
        <f t="shared" si="1"/>
        <v/>
      </c>
    </row>
    <row r="93">
      <c r="A93" s="15">
        <v>46310.0</v>
      </c>
      <c r="B93" s="1" t="s">
        <v>407</v>
      </c>
      <c r="C93" s="1" t="s">
        <v>587</v>
      </c>
      <c r="D93" s="7" t="s">
        <v>114</v>
      </c>
      <c r="E93" s="1" t="s">
        <v>235</v>
      </c>
      <c r="F93" s="7" t="s">
        <v>494</v>
      </c>
      <c r="G93" s="1" t="s">
        <v>100</v>
      </c>
      <c r="H93" s="1">
        <v>29.8</v>
      </c>
      <c r="I93" s="1">
        <v>34.5</v>
      </c>
      <c r="J93" s="1">
        <v>32.2</v>
      </c>
      <c r="K93" s="1">
        <v>31.0</v>
      </c>
      <c r="L93" s="1">
        <v>30.0</v>
      </c>
      <c r="M93" s="1">
        <v>30.4</v>
      </c>
      <c r="N93" s="1">
        <v>12.0</v>
      </c>
      <c r="P93" s="1" t="s">
        <v>589</v>
      </c>
      <c r="Q93" s="1" t="s">
        <v>100</v>
      </c>
      <c r="R93" s="1">
        <v>29.8</v>
      </c>
      <c r="S93" s="1">
        <v>34.5</v>
      </c>
      <c r="T93" s="1">
        <v>32.2</v>
      </c>
      <c r="U93" s="1">
        <v>31.0</v>
      </c>
      <c r="V93" s="1">
        <v>30.0</v>
      </c>
      <c r="W93" s="1">
        <v>30.4</v>
      </c>
      <c r="X93" s="1">
        <v>12.0</v>
      </c>
      <c r="Y93" s="20" t="str">
        <f t="shared" si="1"/>
        <v/>
      </c>
    </row>
    <row r="94">
      <c r="A94" s="15">
        <v>46310.0</v>
      </c>
      <c r="B94" s="1" t="s">
        <v>407</v>
      </c>
      <c r="C94" s="1" t="s">
        <v>587</v>
      </c>
      <c r="D94" s="7" t="s">
        <v>114</v>
      </c>
      <c r="E94" s="1" t="s">
        <v>235</v>
      </c>
      <c r="F94" s="7" t="s">
        <v>499</v>
      </c>
      <c r="G94" s="1" t="s">
        <v>100</v>
      </c>
      <c r="H94" s="1">
        <v>31.2</v>
      </c>
      <c r="I94" s="1">
        <v>33.9</v>
      </c>
      <c r="J94" s="1">
        <v>29.3</v>
      </c>
      <c r="K94" s="1">
        <v>35.5</v>
      </c>
      <c r="L94" s="1">
        <v>30.6</v>
      </c>
      <c r="M94" s="1">
        <v>28.9</v>
      </c>
      <c r="N94" s="1">
        <v>98.0</v>
      </c>
      <c r="P94" s="1" t="s">
        <v>589</v>
      </c>
      <c r="Q94" s="1" t="s">
        <v>100</v>
      </c>
      <c r="R94" s="1">
        <v>31.2</v>
      </c>
      <c r="S94" s="1">
        <v>33.9</v>
      </c>
      <c r="T94" s="1">
        <v>29.3</v>
      </c>
      <c r="U94" s="1">
        <v>35.5</v>
      </c>
      <c r="V94" s="1">
        <v>30.6</v>
      </c>
      <c r="W94" s="1">
        <v>28.9</v>
      </c>
      <c r="X94" s="1">
        <v>98.0</v>
      </c>
      <c r="Y94" s="20" t="str">
        <f t="shared" si="1"/>
        <v/>
      </c>
    </row>
    <row r="95">
      <c r="A95" s="15">
        <v>46310.0</v>
      </c>
      <c r="B95" s="1" t="s">
        <v>407</v>
      </c>
      <c r="C95" s="1" t="s">
        <v>587</v>
      </c>
      <c r="D95" s="7" t="s">
        <v>114</v>
      </c>
      <c r="E95" s="1" t="s">
        <v>98</v>
      </c>
      <c r="F95" s="7" t="s">
        <v>672</v>
      </c>
      <c r="G95" s="1" t="s">
        <v>100</v>
      </c>
      <c r="H95" s="1">
        <v>24.1</v>
      </c>
      <c r="I95" s="1">
        <v>35.8</v>
      </c>
      <c r="J95" s="1">
        <v>31.3</v>
      </c>
      <c r="K95" s="1">
        <v>33.4</v>
      </c>
      <c r="L95" s="1" t="s">
        <v>289</v>
      </c>
      <c r="M95" s="1" t="s">
        <v>289</v>
      </c>
      <c r="N95" s="1">
        <v>4.0</v>
      </c>
      <c r="P95" s="1" t="s">
        <v>589</v>
      </c>
      <c r="Q95" s="1" t="s">
        <v>100</v>
      </c>
      <c r="R95" s="1">
        <v>24.1</v>
      </c>
      <c r="S95" s="1">
        <v>35.8</v>
      </c>
      <c r="T95" s="1">
        <v>31.3</v>
      </c>
      <c r="U95" s="1">
        <v>33.4</v>
      </c>
      <c r="V95" s="1" t="s">
        <v>289</v>
      </c>
      <c r="W95" s="1" t="s">
        <v>289</v>
      </c>
      <c r="X95" s="1">
        <v>4.0</v>
      </c>
      <c r="Y95" s="20" t="str">
        <f t="shared" si="1"/>
        <v/>
      </c>
    </row>
    <row r="96">
      <c r="A96" s="15">
        <v>46310.0</v>
      </c>
      <c r="B96" s="1" t="s">
        <v>407</v>
      </c>
      <c r="C96" s="1" t="s">
        <v>587</v>
      </c>
      <c r="D96" s="7" t="s">
        <v>114</v>
      </c>
      <c r="E96" s="1" t="s">
        <v>98</v>
      </c>
      <c r="F96" s="7" t="s">
        <v>675</v>
      </c>
      <c r="G96" s="1" t="s">
        <v>100</v>
      </c>
      <c r="H96" s="1">
        <v>36.5</v>
      </c>
      <c r="I96" s="1">
        <v>39.2</v>
      </c>
      <c r="J96" s="1">
        <v>38.3</v>
      </c>
      <c r="K96" s="1">
        <v>33.1</v>
      </c>
      <c r="L96" s="1">
        <v>35.1</v>
      </c>
      <c r="M96" s="1" t="s">
        <v>289</v>
      </c>
      <c r="N96" s="1">
        <v>7.0</v>
      </c>
      <c r="P96" s="1" t="s">
        <v>589</v>
      </c>
      <c r="Q96" s="1" t="s">
        <v>100</v>
      </c>
      <c r="R96" s="1">
        <v>36.5</v>
      </c>
      <c r="S96" s="1">
        <v>39.2</v>
      </c>
      <c r="T96" s="1">
        <v>38.3</v>
      </c>
      <c r="U96" s="1">
        <v>33.1</v>
      </c>
      <c r="V96" s="1">
        <v>35.1</v>
      </c>
      <c r="W96" s="1" t="s">
        <v>289</v>
      </c>
      <c r="X96" s="1">
        <v>7.0</v>
      </c>
      <c r="Y96" s="20" t="str">
        <f t="shared" si="1"/>
        <v/>
      </c>
    </row>
    <row r="97">
      <c r="A97" s="15">
        <v>46310.0</v>
      </c>
      <c r="B97" s="1" t="s">
        <v>407</v>
      </c>
      <c r="C97" s="1" t="s">
        <v>587</v>
      </c>
      <c r="D97" s="7" t="s">
        <v>114</v>
      </c>
      <c r="E97" s="1" t="s">
        <v>98</v>
      </c>
      <c r="F97" s="7" t="s">
        <v>678</v>
      </c>
      <c r="G97" s="1" t="s">
        <v>100</v>
      </c>
      <c r="H97" s="1">
        <v>34.6</v>
      </c>
      <c r="I97" s="1">
        <v>31.4</v>
      </c>
      <c r="J97" s="1">
        <v>18.9</v>
      </c>
      <c r="K97" s="1">
        <v>34.2</v>
      </c>
      <c r="L97" s="1" t="s">
        <v>289</v>
      </c>
      <c r="M97" s="1" t="s">
        <v>289</v>
      </c>
      <c r="N97" s="1">
        <v>6.0</v>
      </c>
      <c r="P97" s="1" t="s">
        <v>589</v>
      </c>
      <c r="Q97" s="1" t="s">
        <v>100</v>
      </c>
      <c r="R97" s="1">
        <v>34.6</v>
      </c>
      <c r="S97" s="1">
        <v>31.4</v>
      </c>
      <c r="T97" s="1">
        <v>18.9</v>
      </c>
      <c r="U97" s="1">
        <v>34.2</v>
      </c>
      <c r="V97" s="1" t="s">
        <v>289</v>
      </c>
      <c r="W97" s="1" t="s">
        <v>289</v>
      </c>
      <c r="X97" s="1">
        <v>6.0</v>
      </c>
      <c r="Y97" s="20" t="str">
        <f t="shared" si="1"/>
        <v/>
      </c>
    </row>
    <row r="98">
      <c r="A98" s="15">
        <v>46310.0</v>
      </c>
      <c r="B98" s="1" t="s">
        <v>407</v>
      </c>
      <c r="C98" s="1" t="s">
        <v>587</v>
      </c>
      <c r="D98" s="7" t="s">
        <v>114</v>
      </c>
      <c r="E98" s="1" t="s">
        <v>98</v>
      </c>
      <c r="F98" s="1" t="s">
        <v>682</v>
      </c>
      <c r="G98" s="1" t="s">
        <v>100</v>
      </c>
      <c r="H98" s="1">
        <v>33.3</v>
      </c>
      <c r="I98" s="1">
        <v>32.0</v>
      </c>
      <c r="J98" s="1">
        <v>31.3</v>
      </c>
      <c r="K98" s="1">
        <v>20.3</v>
      </c>
      <c r="L98" s="1" t="s">
        <v>289</v>
      </c>
      <c r="M98" s="1" t="s">
        <v>289</v>
      </c>
      <c r="N98" s="1">
        <v>4.0</v>
      </c>
      <c r="P98" s="1" t="s">
        <v>589</v>
      </c>
      <c r="Q98" s="1" t="s">
        <v>100</v>
      </c>
      <c r="R98" s="1">
        <v>33.3</v>
      </c>
      <c r="S98" s="1">
        <v>32.0</v>
      </c>
      <c r="T98" s="1">
        <v>31.3</v>
      </c>
      <c r="U98" s="1">
        <v>20.3</v>
      </c>
      <c r="V98" s="1" t="s">
        <v>289</v>
      </c>
      <c r="W98" s="1" t="s">
        <v>289</v>
      </c>
      <c r="X98" s="1">
        <v>4.0</v>
      </c>
      <c r="Y98" s="20" t="str">
        <f t="shared" si="1"/>
        <v/>
      </c>
    </row>
    <row r="99">
      <c r="A99" s="15">
        <v>46310.0</v>
      </c>
      <c r="B99" s="1" t="s">
        <v>407</v>
      </c>
      <c r="C99" s="1" t="s">
        <v>587</v>
      </c>
      <c r="D99" s="7" t="s">
        <v>114</v>
      </c>
      <c r="E99" s="1" t="s">
        <v>98</v>
      </c>
      <c r="F99" s="7" t="s">
        <v>683</v>
      </c>
      <c r="G99" s="1" t="s">
        <v>100</v>
      </c>
      <c r="H99" s="1">
        <v>29.7</v>
      </c>
      <c r="I99" s="1">
        <v>28.9</v>
      </c>
      <c r="J99" s="1">
        <v>23.4</v>
      </c>
      <c r="K99" s="1">
        <v>26.8</v>
      </c>
      <c r="L99" s="1">
        <v>20.5</v>
      </c>
      <c r="M99" s="1">
        <v>30.0</v>
      </c>
      <c r="N99" s="1">
        <v>13.0</v>
      </c>
      <c r="P99" s="1" t="s">
        <v>589</v>
      </c>
      <c r="Q99" s="1" t="s">
        <v>100</v>
      </c>
      <c r="R99" s="1">
        <v>29.7</v>
      </c>
      <c r="S99" s="1">
        <v>28.9</v>
      </c>
      <c r="T99" s="1">
        <v>23.4</v>
      </c>
      <c r="U99" s="1">
        <v>26.8</v>
      </c>
      <c r="V99" s="1">
        <v>20.5</v>
      </c>
      <c r="W99" s="1">
        <v>30.0</v>
      </c>
      <c r="X99" s="1">
        <v>13.0</v>
      </c>
      <c r="Y99" s="20" t="str">
        <f t="shared" si="1"/>
        <v/>
      </c>
    </row>
    <row r="100">
      <c r="A100" s="15">
        <v>46310.0</v>
      </c>
      <c r="B100" s="1" t="s">
        <v>407</v>
      </c>
      <c r="C100" s="1" t="s">
        <v>587</v>
      </c>
      <c r="D100" s="7" t="s">
        <v>114</v>
      </c>
      <c r="E100" s="1" t="s">
        <v>98</v>
      </c>
      <c r="F100" s="7" t="s">
        <v>685</v>
      </c>
      <c r="G100" s="1" t="s">
        <v>100</v>
      </c>
      <c r="H100" s="1">
        <v>21.9</v>
      </c>
      <c r="I100" s="1">
        <v>23.4</v>
      </c>
      <c r="J100" s="1">
        <v>25.6</v>
      </c>
      <c r="K100" s="1">
        <v>26.9</v>
      </c>
      <c r="L100" s="1">
        <v>29.9</v>
      </c>
      <c r="M100" s="1" t="s">
        <v>289</v>
      </c>
      <c r="N100" s="1">
        <v>5.0</v>
      </c>
      <c r="P100" s="1" t="s">
        <v>589</v>
      </c>
      <c r="Q100" s="1" t="s">
        <v>100</v>
      </c>
      <c r="R100" s="1">
        <v>21.9</v>
      </c>
      <c r="S100" s="1">
        <v>23.4</v>
      </c>
      <c r="T100" s="1">
        <v>25.6</v>
      </c>
      <c r="U100" s="1">
        <v>26.9</v>
      </c>
      <c r="V100" s="1">
        <v>29.9</v>
      </c>
      <c r="W100" s="1" t="s">
        <v>289</v>
      </c>
      <c r="X100" s="1">
        <v>5.0</v>
      </c>
      <c r="Y100" s="20" t="str">
        <f t="shared" si="1"/>
        <v/>
      </c>
    </row>
    <row r="101">
      <c r="A101" s="15">
        <v>46310.0</v>
      </c>
      <c r="B101" s="1" t="s">
        <v>407</v>
      </c>
      <c r="C101" s="1" t="s">
        <v>587</v>
      </c>
      <c r="D101" s="7" t="s">
        <v>114</v>
      </c>
      <c r="E101" s="1" t="s">
        <v>98</v>
      </c>
      <c r="F101" s="7" t="s">
        <v>686</v>
      </c>
      <c r="G101" s="1" t="s">
        <v>100</v>
      </c>
      <c r="H101" s="1">
        <v>22.0</v>
      </c>
      <c r="I101" s="1">
        <v>23.6</v>
      </c>
      <c r="J101" s="1">
        <v>19.7</v>
      </c>
      <c r="K101" s="1" t="s">
        <v>289</v>
      </c>
      <c r="L101" s="1" t="s">
        <v>289</v>
      </c>
      <c r="M101" s="1" t="s">
        <v>289</v>
      </c>
      <c r="N101" s="1">
        <v>4.0</v>
      </c>
      <c r="P101" s="1" t="s">
        <v>589</v>
      </c>
      <c r="Q101" s="1" t="s">
        <v>100</v>
      </c>
      <c r="R101" s="1">
        <v>22.0</v>
      </c>
      <c r="S101" s="1">
        <v>23.6</v>
      </c>
      <c r="T101" s="1">
        <v>19.7</v>
      </c>
      <c r="U101" s="1" t="s">
        <v>289</v>
      </c>
      <c r="V101" s="1" t="s">
        <v>289</v>
      </c>
      <c r="W101" s="1" t="s">
        <v>289</v>
      </c>
      <c r="X101" s="1">
        <v>4.0</v>
      </c>
      <c r="Y101" s="20" t="str">
        <f t="shared" si="1"/>
        <v/>
      </c>
    </row>
    <row r="102">
      <c r="A102" s="15">
        <v>46310.0</v>
      </c>
      <c r="B102" s="1" t="s">
        <v>407</v>
      </c>
      <c r="C102" s="1" t="s">
        <v>587</v>
      </c>
      <c r="D102" s="7" t="s">
        <v>114</v>
      </c>
      <c r="E102" s="1" t="s">
        <v>235</v>
      </c>
      <c r="F102" s="7" t="s">
        <v>527</v>
      </c>
      <c r="G102" s="1" t="s">
        <v>100</v>
      </c>
      <c r="H102" s="1">
        <v>34.6</v>
      </c>
      <c r="I102" s="1">
        <v>28.2</v>
      </c>
      <c r="J102" s="1">
        <v>32.1</v>
      </c>
      <c r="K102" s="1">
        <v>22.7</v>
      </c>
      <c r="L102" s="1">
        <v>18.8</v>
      </c>
      <c r="M102" s="1">
        <v>20.3</v>
      </c>
      <c r="N102" s="1">
        <v>7.0</v>
      </c>
      <c r="P102" s="1" t="s">
        <v>589</v>
      </c>
      <c r="Q102" s="1" t="s">
        <v>100</v>
      </c>
      <c r="R102" s="1">
        <v>34.6</v>
      </c>
      <c r="S102" s="1">
        <v>28.2</v>
      </c>
      <c r="T102" s="1">
        <v>32.1</v>
      </c>
      <c r="U102" s="1">
        <v>22.7</v>
      </c>
      <c r="V102" s="1">
        <v>18.8</v>
      </c>
      <c r="W102" s="1">
        <v>20.3</v>
      </c>
      <c r="X102" s="1">
        <v>7.0</v>
      </c>
      <c r="Y102" s="20" t="str">
        <f t="shared" si="1"/>
        <v/>
      </c>
    </row>
    <row r="103">
      <c r="A103" s="15">
        <v>46310.0</v>
      </c>
      <c r="B103" s="1" t="s">
        <v>407</v>
      </c>
      <c r="C103" s="1" t="s">
        <v>587</v>
      </c>
      <c r="D103" s="7" t="s">
        <v>114</v>
      </c>
      <c r="E103" s="1" t="s">
        <v>98</v>
      </c>
      <c r="F103" s="7" t="s">
        <v>675</v>
      </c>
      <c r="G103" s="1" t="s">
        <v>100</v>
      </c>
      <c r="H103" s="1">
        <v>37.9</v>
      </c>
      <c r="I103" s="1">
        <v>32.6</v>
      </c>
      <c r="J103" s="1">
        <v>38.3</v>
      </c>
      <c r="K103" s="1">
        <v>38.0</v>
      </c>
      <c r="L103" s="1">
        <v>35.9</v>
      </c>
      <c r="M103" s="1" t="s">
        <v>289</v>
      </c>
      <c r="N103" s="1">
        <v>7.0</v>
      </c>
      <c r="P103" s="1" t="s">
        <v>589</v>
      </c>
      <c r="Q103" s="1" t="s">
        <v>100</v>
      </c>
      <c r="R103" s="1">
        <v>37.9</v>
      </c>
      <c r="S103" s="1">
        <v>32.6</v>
      </c>
      <c r="T103" s="1">
        <v>38.3</v>
      </c>
      <c r="U103" s="1">
        <v>38.0</v>
      </c>
      <c r="V103" s="1">
        <v>35.9</v>
      </c>
      <c r="W103" s="1" t="s">
        <v>289</v>
      </c>
      <c r="X103" s="1">
        <v>7.0</v>
      </c>
      <c r="Y103" s="20" t="str">
        <f t="shared" si="1"/>
        <v/>
      </c>
    </row>
    <row r="104">
      <c r="A104" s="15">
        <v>46310.0</v>
      </c>
      <c r="B104" s="1" t="s">
        <v>407</v>
      </c>
      <c r="C104" s="1" t="s">
        <v>587</v>
      </c>
      <c r="D104" s="7" t="s">
        <v>114</v>
      </c>
      <c r="E104" s="1" t="s">
        <v>235</v>
      </c>
      <c r="F104" s="7" t="s">
        <v>289</v>
      </c>
      <c r="G104" s="1" t="s">
        <v>100</v>
      </c>
      <c r="H104" s="1">
        <v>30.5</v>
      </c>
      <c r="I104" s="1">
        <v>26.5</v>
      </c>
      <c r="J104" s="1">
        <v>28.2</v>
      </c>
      <c r="K104" s="1">
        <v>28.2</v>
      </c>
      <c r="L104" s="1">
        <v>27.5</v>
      </c>
      <c r="M104" s="1">
        <v>30.7</v>
      </c>
      <c r="N104" s="1">
        <v>7.0</v>
      </c>
      <c r="P104" s="1" t="s">
        <v>589</v>
      </c>
      <c r="Q104" s="1" t="s">
        <v>100</v>
      </c>
      <c r="R104" s="1">
        <v>30.5</v>
      </c>
      <c r="S104" s="1">
        <v>26.5</v>
      </c>
      <c r="T104" s="1">
        <v>28.2</v>
      </c>
      <c r="U104" s="1">
        <v>28.2</v>
      </c>
      <c r="V104" s="1">
        <v>27.5</v>
      </c>
      <c r="W104" s="1">
        <v>30.7</v>
      </c>
      <c r="X104" s="1">
        <v>7.0</v>
      </c>
      <c r="Y104" s="20" t="str">
        <f t="shared" si="1"/>
        <v/>
      </c>
    </row>
    <row r="105">
      <c r="B105" s="20"/>
      <c r="D105" s="41"/>
      <c r="E105" s="20"/>
      <c r="F105" s="41"/>
      <c r="G105" s="20"/>
      <c r="Q105" s="20"/>
      <c r="Y105" s="20" t="str">
        <f t="shared" si="1"/>
        <v/>
      </c>
    </row>
    <row r="106">
      <c r="B106" s="20"/>
      <c r="D106" s="41"/>
      <c r="E106" s="20"/>
      <c r="F106" s="41"/>
      <c r="G106" s="20"/>
      <c r="Q106" s="20"/>
      <c r="Y106" s="20" t="str">
        <f t="shared" si="1"/>
        <v/>
      </c>
    </row>
    <row r="107">
      <c r="B107" s="20"/>
      <c r="D107" s="41"/>
      <c r="E107" s="20"/>
      <c r="F107" s="41"/>
      <c r="G107" s="20"/>
      <c r="Q107" s="20"/>
      <c r="Y107" s="20" t="str">
        <f t="shared" si="1"/>
        <v/>
      </c>
    </row>
    <row r="108">
      <c r="B108" s="20"/>
      <c r="D108" s="41"/>
      <c r="E108" s="20"/>
      <c r="F108" s="41"/>
      <c r="G108" s="20"/>
      <c r="Q108" s="20"/>
      <c r="Y108" s="20" t="str">
        <f t="shared" si="1"/>
        <v/>
      </c>
    </row>
    <row r="109">
      <c r="B109" s="20"/>
      <c r="D109" s="41"/>
      <c r="E109" s="20"/>
      <c r="F109" s="41"/>
      <c r="G109" s="20"/>
      <c r="Q109" s="20"/>
      <c r="Y109" s="20" t="str">
        <f t="shared" si="1"/>
        <v/>
      </c>
    </row>
    <row r="110">
      <c r="B110" s="20"/>
      <c r="D110" s="41"/>
      <c r="E110" s="20"/>
      <c r="F110" s="41"/>
      <c r="G110" s="20"/>
      <c r="Q110" s="20"/>
      <c r="Y110" s="20" t="str">
        <f t="shared" si="1"/>
        <v/>
      </c>
    </row>
    <row r="111">
      <c r="B111" s="20"/>
      <c r="D111" s="41"/>
      <c r="E111" s="20"/>
      <c r="F111" s="41"/>
      <c r="G111" s="20"/>
      <c r="Q111" s="20"/>
      <c r="Y111" s="20" t="str">
        <f t="shared" si="1"/>
        <v/>
      </c>
    </row>
    <row r="112">
      <c r="B112" s="20"/>
      <c r="D112" s="41"/>
      <c r="E112" s="20"/>
      <c r="F112" s="41"/>
      <c r="G112" s="20"/>
      <c r="Q112" s="20"/>
      <c r="Y112" s="20" t="str">
        <f t="shared" si="1"/>
        <v/>
      </c>
    </row>
    <row r="113">
      <c r="B113" s="20"/>
      <c r="D113" s="41"/>
      <c r="E113" s="20"/>
      <c r="F113" s="41"/>
      <c r="G113" s="20"/>
      <c r="Q113" s="20"/>
      <c r="Y113" s="20" t="str">
        <f t="shared" si="1"/>
        <v/>
      </c>
    </row>
    <row r="114">
      <c r="B114" s="20"/>
      <c r="D114" s="41"/>
      <c r="E114" s="20"/>
      <c r="F114" s="41"/>
      <c r="G114" s="20"/>
      <c r="Q114" s="20"/>
      <c r="Y114" s="20" t="str">
        <f t="shared" si="1"/>
        <v/>
      </c>
    </row>
    <row r="115">
      <c r="B115" s="20"/>
      <c r="D115" s="41"/>
      <c r="E115" s="20"/>
      <c r="F115" s="41"/>
      <c r="G115" s="20"/>
      <c r="Q115" s="20"/>
      <c r="Y115" s="20" t="str">
        <f t="shared" si="1"/>
        <v/>
      </c>
    </row>
    <row r="116">
      <c r="B116" s="20"/>
      <c r="D116" s="41"/>
      <c r="E116" s="20"/>
      <c r="F116" s="41"/>
      <c r="G116" s="20"/>
      <c r="Q116" s="20"/>
      <c r="Y116" s="20" t="str">
        <f t="shared" si="1"/>
        <v/>
      </c>
    </row>
    <row r="117">
      <c r="B117" s="20"/>
      <c r="D117" s="41"/>
      <c r="E117" s="20"/>
      <c r="F117" s="41"/>
      <c r="G117" s="20"/>
      <c r="Q117" s="20"/>
      <c r="Y117" s="20" t="str">
        <f t="shared" si="1"/>
        <v/>
      </c>
    </row>
    <row r="118">
      <c r="B118" s="20"/>
      <c r="D118" s="41"/>
      <c r="E118" s="20"/>
      <c r="F118" s="41"/>
      <c r="G118" s="20"/>
      <c r="Q118" s="20"/>
      <c r="Y118" s="20" t="str">
        <f t="shared" si="1"/>
        <v/>
      </c>
    </row>
    <row r="119">
      <c r="B119" s="20"/>
      <c r="D119" s="41"/>
      <c r="E119" s="20"/>
      <c r="F119" s="41"/>
      <c r="G119" s="20"/>
      <c r="Q119" s="20"/>
      <c r="Y119" s="20" t="str">
        <f t="shared" si="1"/>
        <v/>
      </c>
    </row>
    <row r="120">
      <c r="B120" s="20"/>
      <c r="D120" s="41"/>
      <c r="E120" s="20"/>
      <c r="F120" s="41"/>
      <c r="G120" s="20"/>
      <c r="Q120" s="20"/>
      <c r="Y120" s="20" t="str">
        <f t="shared" si="1"/>
        <v/>
      </c>
    </row>
    <row r="121">
      <c r="B121" s="20"/>
      <c r="D121" s="41"/>
      <c r="E121" s="20"/>
      <c r="F121" s="41"/>
      <c r="G121" s="20"/>
      <c r="Q121" s="20"/>
      <c r="Y121" s="20" t="str">
        <f t="shared" si="1"/>
        <v/>
      </c>
    </row>
    <row r="122">
      <c r="B122" s="20"/>
      <c r="D122" s="41"/>
      <c r="E122" s="20"/>
      <c r="F122" s="41"/>
      <c r="G122" s="20"/>
      <c r="Q122" s="20"/>
      <c r="Y122" s="20" t="str">
        <f t="shared" si="1"/>
        <v/>
      </c>
    </row>
    <row r="123">
      <c r="B123" s="20"/>
      <c r="D123" s="41"/>
      <c r="E123" s="20"/>
      <c r="F123" s="41"/>
      <c r="G123" s="20"/>
      <c r="Q123" s="20"/>
      <c r="Y123" s="20" t="str">
        <f t="shared" si="1"/>
        <v/>
      </c>
    </row>
    <row r="124">
      <c r="B124" s="20"/>
      <c r="D124" s="41"/>
      <c r="E124" s="20"/>
      <c r="F124" s="41"/>
      <c r="G124" s="20"/>
      <c r="Q124" s="20"/>
      <c r="Y124" s="20" t="str">
        <f t="shared" si="1"/>
        <v/>
      </c>
    </row>
    <row r="125">
      <c r="B125" s="20"/>
      <c r="D125" s="41"/>
      <c r="E125" s="20"/>
      <c r="F125" s="41"/>
      <c r="G125" s="20"/>
      <c r="Q125" s="20"/>
      <c r="Y125" s="20" t="str">
        <f t="shared" si="1"/>
        <v/>
      </c>
    </row>
    <row r="126">
      <c r="B126" s="20"/>
      <c r="D126" s="41"/>
      <c r="E126" s="20"/>
      <c r="F126" s="41"/>
      <c r="G126" s="20"/>
      <c r="Q126" s="20"/>
      <c r="Y126" s="20" t="str">
        <f t="shared" si="1"/>
        <v/>
      </c>
    </row>
    <row r="127">
      <c r="B127" s="20"/>
      <c r="D127" s="41"/>
      <c r="E127" s="20"/>
      <c r="F127" s="41"/>
      <c r="G127" s="20"/>
      <c r="Q127" s="20"/>
      <c r="Y127" s="20" t="str">
        <f t="shared" si="1"/>
        <v/>
      </c>
    </row>
    <row r="128">
      <c r="B128" s="20"/>
      <c r="D128" s="41"/>
      <c r="E128" s="20"/>
      <c r="F128" s="41"/>
      <c r="G128" s="20"/>
      <c r="Q128" s="20"/>
      <c r="Y128" s="20" t="str">
        <f t="shared" si="1"/>
        <v/>
      </c>
    </row>
    <row r="129">
      <c r="B129" s="20"/>
      <c r="D129" s="41"/>
      <c r="E129" s="20"/>
      <c r="F129" s="41"/>
      <c r="G129" s="20"/>
      <c r="Q129" s="20"/>
      <c r="Y129" s="20" t="str">
        <f t="shared" si="1"/>
        <v/>
      </c>
    </row>
    <row r="130">
      <c r="B130" s="20"/>
      <c r="D130" s="41"/>
      <c r="E130" s="20"/>
      <c r="F130" s="41"/>
      <c r="G130" s="20"/>
      <c r="Q130" s="20"/>
      <c r="Y130" s="20" t="str">
        <f t="shared" si="1"/>
        <v/>
      </c>
    </row>
    <row r="131">
      <c r="B131" s="20"/>
      <c r="D131" s="41"/>
      <c r="E131" s="20"/>
      <c r="F131" s="41"/>
      <c r="G131" s="20"/>
      <c r="Q131" s="20"/>
      <c r="Y131" s="20" t="str">
        <f t="shared" si="1"/>
        <v/>
      </c>
    </row>
    <row r="132">
      <c r="B132" s="20"/>
      <c r="D132" s="41"/>
      <c r="E132" s="20"/>
      <c r="F132" s="41"/>
      <c r="G132" s="20"/>
      <c r="Q132" s="20"/>
      <c r="Y132" s="20" t="str">
        <f t="shared" si="1"/>
        <v/>
      </c>
    </row>
    <row r="133">
      <c r="B133" s="20"/>
      <c r="D133" s="41"/>
      <c r="E133" s="20"/>
      <c r="F133" s="41"/>
      <c r="G133" s="20"/>
      <c r="Q133" s="20"/>
      <c r="Y133" s="20" t="str">
        <f t="shared" si="1"/>
        <v/>
      </c>
    </row>
    <row r="134">
      <c r="B134" s="20"/>
      <c r="D134" s="41"/>
      <c r="E134" s="20"/>
      <c r="F134" s="41"/>
      <c r="G134" s="20"/>
      <c r="Q134" s="20"/>
      <c r="Y134" s="20" t="str">
        <f t="shared" si="1"/>
        <v/>
      </c>
    </row>
    <row r="135">
      <c r="B135" s="20"/>
      <c r="D135" s="41"/>
      <c r="E135" s="20"/>
      <c r="F135" s="41"/>
      <c r="G135" s="20"/>
      <c r="Q135" s="20"/>
      <c r="Y135" s="20" t="str">
        <f t="shared" si="1"/>
        <v/>
      </c>
    </row>
    <row r="136">
      <c r="B136" s="20"/>
      <c r="D136" s="41"/>
      <c r="E136" s="20"/>
      <c r="F136" s="41"/>
      <c r="G136" s="20"/>
      <c r="Q136" s="20"/>
      <c r="Y136" s="20" t="str">
        <f t="shared" si="1"/>
        <v/>
      </c>
    </row>
    <row r="137">
      <c r="B137" s="20"/>
      <c r="D137" s="41"/>
      <c r="E137" s="20"/>
      <c r="F137" s="41"/>
      <c r="G137" s="20"/>
      <c r="Q137" s="20"/>
      <c r="Y137" s="20" t="str">
        <f t="shared" si="1"/>
        <v/>
      </c>
    </row>
    <row r="138">
      <c r="B138" s="20"/>
      <c r="D138" s="41"/>
      <c r="E138" s="20"/>
      <c r="F138" s="41"/>
      <c r="G138" s="20"/>
      <c r="Q138" s="20"/>
      <c r="Y138" s="20" t="str">
        <f t="shared" si="1"/>
        <v/>
      </c>
    </row>
    <row r="139">
      <c r="B139" s="20"/>
      <c r="D139" s="41"/>
      <c r="E139" s="20"/>
      <c r="F139" s="41"/>
      <c r="G139" s="20"/>
      <c r="Q139" s="20"/>
      <c r="Y139" s="20" t="str">
        <f t="shared" si="1"/>
        <v/>
      </c>
    </row>
    <row r="140">
      <c r="B140" s="20"/>
      <c r="D140" s="41"/>
      <c r="E140" s="20"/>
      <c r="F140" s="41"/>
      <c r="G140" s="20"/>
      <c r="Q140" s="20"/>
      <c r="Y140" s="20" t="str">
        <f t="shared" si="1"/>
        <v/>
      </c>
    </row>
    <row r="141">
      <c r="B141" s="20"/>
      <c r="D141" s="41"/>
      <c r="E141" s="20"/>
      <c r="F141" s="41"/>
      <c r="G141" s="20"/>
      <c r="Q141" s="20"/>
      <c r="Y141" s="20" t="str">
        <f t="shared" si="1"/>
        <v/>
      </c>
    </row>
    <row r="142">
      <c r="B142" s="20"/>
      <c r="D142" s="41"/>
      <c r="E142" s="20"/>
      <c r="F142" s="41"/>
      <c r="G142" s="20"/>
      <c r="Q142" s="20"/>
      <c r="Y142" s="20" t="str">
        <f t="shared" si="1"/>
        <v/>
      </c>
    </row>
    <row r="143">
      <c r="B143" s="20"/>
      <c r="D143" s="41"/>
      <c r="E143" s="20"/>
      <c r="F143" s="41"/>
      <c r="G143" s="20"/>
      <c r="Q143" s="20"/>
      <c r="Y143" s="20" t="str">
        <f t="shared" si="1"/>
        <v/>
      </c>
    </row>
    <row r="144">
      <c r="B144" s="20"/>
      <c r="D144" s="41"/>
      <c r="E144" s="20"/>
      <c r="F144" s="41"/>
      <c r="G144" s="20"/>
      <c r="Q144" s="20"/>
      <c r="Y144" s="20" t="str">
        <f t="shared" si="1"/>
        <v/>
      </c>
    </row>
    <row r="145">
      <c r="B145" s="20"/>
      <c r="D145" s="41"/>
      <c r="E145" s="20"/>
      <c r="F145" s="41"/>
      <c r="G145" s="20"/>
      <c r="Q145" s="20"/>
      <c r="Y145" s="20" t="str">
        <f t="shared" si="1"/>
        <v/>
      </c>
    </row>
    <row r="146">
      <c r="B146" s="20"/>
      <c r="D146" s="41"/>
      <c r="E146" s="20"/>
      <c r="F146" s="41"/>
      <c r="G146" s="20"/>
      <c r="Q146" s="20"/>
      <c r="Y146" s="20" t="str">
        <f t="shared" si="1"/>
        <v/>
      </c>
    </row>
    <row r="147">
      <c r="B147" s="20"/>
      <c r="D147" s="41"/>
      <c r="E147" s="20"/>
      <c r="F147" s="41"/>
      <c r="G147" s="20"/>
      <c r="Q147" s="20"/>
      <c r="Y147" s="20" t="str">
        <f t="shared" si="1"/>
        <v/>
      </c>
    </row>
    <row r="148">
      <c r="B148" s="20"/>
      <c r="D148" s="41"/>
      <c r="E148" s="20"/>
      <c r="F148" s="41"/>
      <c r="G148" s="20"/>
      <c r="Q148" s="20"/>
      <c r="Y148" s="20" t="str">
        <f t="shared" si="1"/>
        <v/>
      </c>
    </row>
    <row r="149">
      <c r="B149" s="20"/>
      <c r="D149" s="41"/>
      <c r="E149" s="20"/>
      <c r="F149" s="41"/>
      <c r="G149" s="20"/>
      <c r="Q149" s="20"/>
      <c r="Y149" s="20" t="str">
        <f t="shared" si="1"/>
        <v/>
      </c>
    </row>
    <row r="150">
      <c r="B150" s="20"/>
      <c r="D150" s="41"/>
      <c r="E150" s="20"/>
      <c r="F150" s="41"/>
      <c r="G150" s="20"/>
      <c r="Q150" s="20"/>
      <c r="Y150" s="20" t="str">
        <f t="shared" si="1"/>
        <v/>
      </c>
    </row>
    <row r="151">
      <c r="B151" s="20"/>
      <c r="D151" s="41"/>
      <c r="E151" s="20"/>
      <c r="F151" s="41"/>
      <c r="G151" s="20"/>
      <c r="Q151" s="20"/>
      <c r="Y151" s="20" t="str">
        <f t="shared" si="1"/>
        <v/>
      </c>
    </row>
    <row r="152">
      <c r="B152" s="20"/>
      <c r="D152" s="41"/>
      <c r="E152" s="20"/>
      <c r="F152" s="41"/>
      <c r="G152" s="20"/>
      <c r="Q152" s="20"/>
      <c r="Y152" s="20" t="str">
        <f t="shared" si="1"/>
        <v/>
      </c>
    </row>
    <row r="153">
      <c r="B153" s="20"/>
      <c r="D153" s="41"/>
      <c r="E153" s="20"/>
      <c r="F153" s="41"/>
      <c r="G153" s="20"/>
      <c r="Q153" s="20"/>
      <c r="Y153" s="20" t="str">
        <f t="shared" si="1"/>
        <v/>
      </c>
    </row>
    <row r="154">
      <c r="B154" s="20"/>
      <c r="D154" s="41"/>
      <c r="E154" s="20"/>
      <c r="F154" s="41"/>
      <c r="G154" s="20"/>
      <c r="Q154" s="20"/>
      <c r="Y154" s="20" t="str">
        <f t="shared" si="1"/>
        <v/>
      </c>
    </row>
    <row r="155">
      <c r="B155" s="20"/>
      <c r="D155" s="41"/>
      <c r="E155" s="20"/>
      <c r="F155" s="41"/>
      <c r="G155" s="20"/>
      <c r="Q155" s="20"/>
      <c r="Y155" s="20" t="str">
        <f t="shared" si="1"/>
        <v/>
      </c>
    </row>
    <row r="156">
      <c r="B156" s="20"/>
      <c r="D156" s="41"/>
      <c r="E156" s="20"/>
      <c r="F156" s="41"/>
      <c r="G156" s="20"/>
      <c r="Q156" s="20"/>
      <c r="Y156" s="20" t="str">
        <f t="shared" si="1"/>
        <v/>
      </c>
    </row>
    <row r="157">
      <c r="B157" s="20"/>
      <c r="D157" s="41"/>
      <c r="E157" s="20"/>
      <c r="F157" s="41"/>
      <c r="G157" s="20"/>
      <c r="Q157" s="20"/>
      <c r="Y157" s="20" t="str">
        <f t="shared" si="1"/>
        <v/>
      </c>
    </row>
    <row r="158">
      <c r="B158" s="20"/>
      <c r="D158" s="41"/>
      <c r="E158" s="20"/>
      <c r="F158" s="41"/>
      <c r="G158" s="20"/>
      <c r="Q158" s="20"/>
      <c r="Y158" s="20" t="str">
        <f t="shared" si="1"/>
        <v/>
      </c>
    </row>
    <row r="159">
      <c r="B159" s="20"/>
      <c r="D159" s="41"/>
      <c r="E159" s="20"/>
      <c r="F159" s="41"/>
      <c r="G159" s="20"/>
      <c r="Q159" s="20"/>
      <c r="Y159" s="20" t="str">
        <f t="shared" si="1"/>
        <v/>
      </c>
    </row>
    <row r="160">
      <c r="B160" s="20"/>
      <c r="D160" s="41"/>
      <c r="E160" s="20"/>
      <c r="F160" s="41"/>
      <c r="G160" s="20"/>
      <c r="Q160" s="20"/>
      <c r="Y160" s="20" t="str">
        <f t="shared" si="1"/>
        <v/>
      </c>
    </row>
    <row r="161">
      <c r="B161" s="20"/>
      <c r="D161" s="41"/>
      <c r="E161" s="20"/>
      <c r="F161" s="41"/>
      <c r="G161" s="20"/>
      <c r="Q161" s="20"/>
      <c r="Y161" s="20" t="str">
        <f t="shared" si="1"/>
        <v/>
      </c>
    </row>
    <row r="162">
      <c r="B162" s="20"/>
      <c r="D162" s="41"/>
      <c r="E162" s="20"/>
      <c r="F162" s="41"/>
      <c r="G162" s="20"/>
      <c r="Q162" s="20"/>
      <c r="Y162" s="20" t="str">
        <f t="shared" si="1"/>
        <v/>
      </c>
    </row>
    <row r="163">
      <c r="B163" s="20"/>
      <c r="D163" s="41"/>
      <c r="E163" s="20"/>
      <c r="F163" s="41"/>
      <c r="G163" s="20"/>
      <c r="Q163" s="20"/>
      <c r="Y163" s="20" t="str">
        <f t="shared" si="1"/>
        <v/>
      </c>
    </row>
    <row r="164">
      <c r="B164" s="20"/>
      <c r="D164" s="41"/>
      <c r="E164" s="20"/>
      <c r="F164" s="41"/>
      <c r="G164" s="20"/>
      <c r="Q164" s="20"/>
      <c r="Y164" s="20" t="str">
        <f t="shared" si="1"/>
        <v/>
      </c>
    </row>
    <row r="165">
      <c r="B165" s="20"/>
      <c r="D165" s="41"/>
      <c r="E165" s="20"/>
      <c r="F165" s="41"/>
      <c r="G165" s="20"/>
      <c r="Q165" s="20"/>
      <c r="Y165" s="20" t="str">
        <f t="shared" si="1"/>
        <v/>
      </c>
    </row>
    <row r="166">
      <c r="B166" s="20"/>
      <c r="D166" s="41"/>
      <c r="E166" s="20"/>
      <c r="F166" s="41"/>
      <c r="G166" s="20"/>
      <c r="Q166" s="20"/>
      <c r="Y166" s="20" t="str">
        <f t="shared" si="1"/>
        <v/>
      </c>
    </row>
    <row r="167">
      <c r="B167" s="20"/>
      <c r="D167" s="41"/>
      <c r="E167" s="20"/>
      <c r="F167" s="41"/>
      <c r="G167" s="20"/>
      <c r="Q167" s="20"/>
      <c r="Y167" s="20" t="str">
        <f t="shared" si="1"/>
        <v/>
      </c>
    </row>
    <row r="168">
      <c r="B168" s="20"/>
      <c r="D168" s="41"/>
      <c r="E168" s="20"/>
      <c r="F168" s="41"/>
      <c r="G168" s="20"/>
      <c r="Q168" s="20"/>
      <c r="Y168" s="20" t="str">
        <f t="shared" si="1"/>
        <v/>
      </c>
    </row>
    <row r="169">
      <c r="B169" s="20"/>
      <c r="D169" s="41"/>
      <c r="E169" s="20"/>
      <c r="F169" s="41"/>
      <c r="G169" s="20"/>
      <c r="Q169" s="20"/>
      <c r="Y169" s="20" t="str">
        <f t="shared" si="1"/>
        <v/>
      </c>
    </row>
    <row r="170">
      <c r="B170" s="20"/>
      <c r="D170" s="41"/>
      <c r="E170" s="20"/>
      <c r="F170" s="41"/>
      <c r="G170" s="20"/>
      <c r="Q170" s="20"/>
      <c r="Y170" s="20" t="str">
        <f t="shared" si="1"/>
        <v/>
      </c>
    </row>
    <row r="171">
      <c r="B171" s="20"/>
      <c r="D171" s="41"/>
      <c r="E171" s="20"/>
      <c r="F171" s="41"/>
      <c r="G171" s="20"/>
      <c r="Q171" s="20"/>
      <c r="Y171" s="20" t="str">
        <f t="shared" si="1"/>
        <v/>
      </c>
    </row>
    <row r="172">
      <c r="B172" s="20"/>
      <c r="D172" s="41"/>
      <c r="E172" s="20"/>
      <c r="F172" s="41"/>
      <c r="G172" s="20"/>
      <c r="Q172" s="20"/>
      <c r="Y172" s="20" t="str">
        <f t="shared" si="1"/>
        <v/>
      </c>
    </row>
    <row r="173">
      <c r="B173" s="20"/>
      <c r="D173" s="41"/>
      <c r="E173" s="20"/>
      <c r="F173" s="41"/>
      <c r="G173" s="20"/>
      <c r="Q173" s="20"/>
      <c r="Y173" s="20" t="str">
        <f t="shared" si="1"/>
        <v/>
      </c>
    </row>
    <row r="174">
      <c r="B174" s="20"/>
      <c r="D174" s="41"/>
      <c r="E174" s="20"/>
      <c r="F174" s="41"/>
      <c r="G174" s="20"/>
      <c r="Q174" s="20"/>
      <c r="Y174" s="20" t="str">
        <f t="shared" si="1"/>
        <v/>
      </c>
    </row>
    <row r="175">
      <c r="B175" s="20"/>
      <c r="D175" s="41"/>
      <c r="E175" s="20"/>
      <c r="F175" s="41"/>
      <c r="G175" s="20"/>
      <c r="Q175" s="20"/>
      <c r="Y175" s="20" t="str">
        <f t="shared" si="1"/>
        <v/>
      </c>
    </row>
    <row r="176">
      <c r="B176" s="20"/>
      <c r="D176" s="41"/>
      <c r="E176" s="20"/>
      <c r="F176" s="41"/>
      <c r="G176" s="20"/>
      <c r="Q176" s="20"/>
      <c r="Y176" s="20" t="str">
        <f t="shared" si="1"/>
        <v/>
      </c>
    </row>
    <row r="177">
      <c r="B177" s="20"/>
      <c r="D177" s="41"/>
      <c r="E177" s="20"/>
      <c r="F177" s="41"/>
      <c r="G177" s="20"/>
      <c r="Q177" s="20"/>
      <c r="Y177" s="20" t="str">
        <f t="shared" si="1"/>
        <v/>
      </c>
    </row>
    <row r="178">
      <c r="B178" s="20"/>
      <c r="D178" s="41"/>
      <c r="E178" s="20"/>
      <c r="F178" s="41"/>
      <c r="G178" s="20"/>
      <c r="Q178" s="20"/>
      <c r="Y178" s="20" t="str">
        <f t="shared" si="1"/>
        <v/>
      </c>
    </row>
    <row r="179">
      <c r="B179" s="20"/>
      <c r="D179" s="41"/>
      <c r="E179" s="20"/>
      <c r="F179" s="41"/>
      <c r="G179" s="20"/>
      <c r="Q179" s="20"/>
      <c r="Y179" s="20" t="str">
        <f t="shared" si="1"/>
        <v/>
      </c>
    </row>
    <row r="180">
      <c r="B180" s="20"/>
      <c r="D180" s="41"/>
      <c r="E180" s="20"/>
      <c r="F180" s="41"/>
      <c r="G180" s="20"/>
      <c r="Q180" s="20"/>
      <c r="Y180" s="20" t="str">
        <f t="shared" si="1"/>
        <v/>
      </c>
    </row>
    <row r="181">
      <c r="B181" s="20"/>
      <c r="D181" s="41"/>
      <c r="E181" s="20"/>
      <c r="F181" s="41"/>
      <c r="G181" s="20"/>
      <c r="Q181" s="20"/>
      <c r="Y181" s="20" t="str">
        <f t="shared" si="1"/>
        <v/>
      </c>
    </row>
    <row r="182">
      <c r="B182" s="20"/>
      <c r="D182" s="41"/>
      <c r="E182" s="20"/>
      <c r="F182" s="41"/>
      <c r="G182" s="20"/>
      <c r="Q182" s="20"/>
      <c r="Y182" s="20" t="str">
        <f t="shared" si="1"/>
        <v/>
      </c>
    </row>
    <row r="183">
      <c r="B183" s="20"/>
      <c r="D183" s="41"/>
      <c r="E183" s="20"/>
      <c r="F183" s="41"/>
      <c r="G183" s="20"/>
      <c r="Q183" s="20"/>
      <c r="Y183" s="20" t="str">
        <f t="shared" si="1"/>
        <v/>
      </c>
    </row>
    <row r="184">
      <c r="B184" s="20"/>
      <c r="D184" s="41"/>
      <c r="E184" s="20"/>
      <c r="F184" s="41"/>
      <c r="G184" s="20"/>
      <c r="Q184" s="20"/>
      <c r="Y184" s="20" t="str">
        <f t="shared" si="1"/>
        <v/>
      </c>
    </row>
    <row r="185">
      <c r="B185" s="20"/>
      <c r="D185" s="41"/>
      <c r="E185" s="20"/>
      <c r="F185" s="41"/>
      <c r="G185" s="20"/>
      <c r="Q185" s="20"/>
      <c r="Y185" s="20" t="str">
        <f t="shared" si="1"/>
        <v/>
      </c>
    </row>
    <row r="186">
      <c r="B186" s="20"/>
      <c r="D186" s="41"/>
      <c r="E186" s="20"/>
      <c r="F186" s="41"/>
      <c r="G186" s="20"/>
      <c r="Q186" s="20"/>
      <c r="Y186" s="20" t="str">
        <f t="shared" si="1"/>
        <v/>
      </c>
    </row>
    <row r="187">
      <c r="B187" s="20"/>
      <c r="D187" s="41"/>
      <c r="E187" s="20"/>
      <c r="F187" s="41"/>
      <c r="G187" s="20"/>
      <c r="Q187" s="20"/>
      <c r="Y187" s="20" t="str">
        <f t="shared" si="1"/>
        <v/>
      </c>
    </row>
    <row r="188">
      <c r="B188" s="20"/>
      <c r="D188" s="41"/>
      <c r="E188" s="20"/>
      <c r="F188" s="41"/>
      <c r="G188" s="20"/>
      <c r="Q188" s="20"/>
      <c r="Y188" s="20" t="str">
        <f t="shared" si="1"/>
        <v/>
      </c>
    </row>
    <row r="189">
      <c r="B189" s="20"/>
      <c r="D189" s="41"/>
      <c r="E189" s="20"/>
      <c r="F189" s="41"/>
      <c r="G189" s="20"/>
      <c r="Q189" s="20"/>
      <c r="Y189" s="20" t="str">
        <f t="shared" si="1"/>
        <v/>
      </c>
    </row>
    <row r="190">
      <c r="B190" s="20"/>
      <c r="D190" s="41"/>
      <c r="E190" s="20"/>
      <c r="F190" s="41"/>
      <c r="G190" s="20"/>
      <c r="Q190" s="20"/>
      <c r="Y190" s="20" t="str">
        <f t="shared" si="1"/>
        <v/>
      </c>
    </row>
    <row r="191">
      <c r="B191" s="20"/>
      <c r="D191" s="41"/>
      <c r="E191" s="20"/>
      <c r="F191" s="41"/>
      <c r="G191" s="20"/>
      <c r="Q191" s="20"/>
      <c r="Y191" s="20" t="str">
        <f t="shared" si="1"/>
        <v/>
      </c>
    </row>
    <row r="192">
      <c r="B192" s="20"/>
      <c r="D192" s="41"/>
      <c r="E192" s="20"/>
      <c r="F192" s="41"/>
      <c r="G192" s="20"/>
      <c r="Q192" s="20"/>
      <c r="Y192" s="20" t="str">
        <f t="shared" si="1"/>
        <v/>
      </c>
    </row>
    <row r="193">
      <c r="B193" s="20"/>
      <c r="D193" s="41"/>
      <c r="E193" s="20"/>
      <c r="F193" s="41"/>
      <c r="G193" s="20"/>
      <c r="Q193" s="20"/>
      <c r="Y193" s="20" t="str">
        <f t="shared" si="1"/>
        <v/>
      </c>
    </row>
    <row r="194">
      <c r="B194" s="20"/>
      <c r="D194" s="41"/>
      <c r="E194" s="20"/>
      <c r="F194" s="41"/>
      <c r="G194" s="20"/>
      <c r="Q194" s="20"/>
      <c r="Y194" s="20" t="str">
        <f t="shared" si="1"/>
        <v/>
      </c>
    </row>
    <row r="195">
      <c r="B195" s="20"/>
      <c r="D195" s="41"/>
      <c r="E195" s="20"/>
      <c r="F195" s="41"/>
      <c r="G195" s="20"/>
      <c r="Q195" s="20"/>
      <c r="Y195" s="20" t="str">
        <f t="shared" si="1"/>
        <v/>
      </c>
    </row>
    <row r="196">
      <c r="B196" s="20"/>
      <c r="D196" s="41"/>
      <c r="E196" s="20"/>
      <c r="F196" s="41"/>
      <c r="G196" s="20"/>
      <c r="Q196" s="20"/>
      <c r="Y196" s="20" t="str">
        <f t="shared" si="1"/>
        <v/>
      </c>
    </row>
    <row r="197">
      <c r="B197" s="20"/>
      <c r="D197" s="41"/>
      <c r="E197" s="20"/>
      <c r="F197" s="41"/>
      <c r="G197" s="20"/>
      <c r="Q197" s="20"/>
      <c r="Y197" s="20" t="str">
        <f t="shared" si="1"/>
        <v/>
      </c>
    </row>
    <row r="198">
      <c r="B198" s="20"/>
      <c r="D198" s="41"/>
      <c r="E198" s="20"/>
      <c r="F198" s="41"/>
      <c r="G198" s="20"/>
      <c r="Q198" s="20"/>
      <c r="Y198" s="20" t="str">
        <f t="shared" si="1"/>
        <v/>
      </c>
    </row>
    <row r="199">
      <c r="B199" s="20"/>
      <c r="D199" s="41"/>
      <c r="E199" s="20"/>
      <c r="F199" s="41"/>
      <c r="G199" s="20"/>
      <c r="Q199" s="20"/>
      <c r="Y199" s="20" t="str">
        <f t="shared" si="1"/>
        <v/>
      </c>
    </row>
    <row r="200">
      <c r="B200" s="20"/>
      <c r="D200" s="41"/>
      <c r="E200" s="20"/>
      <c r="F200" s="41"/>
      <c r="G200" s="20"/>
      <c r="Q200" s="20"/>
      <c r="Y200" s="20" t="str">
        <f t="shared" si="1"/>
        <v/>
      </c>
    </row>
    <row r="201">
      <c r="B201" s="20"/>
      <c r="D201" s="41"/>
      <c r="E201" s="20"/>
      <c r="F201" s="41"/>
      <c r="G201" s="20"/>
      <c r="Q201" s="20"/>
      <c r="Y201" s="20" t="str">
        <f t="shared" si="1"/>
        <v/>
      </c>
    </row>
    <row r="202">
      <c r="B202" s="20"/>
      <c r="D202" s="41"/>
      <c r="E202" s="20"/>
      <c r="F202" s="41"/>
      <c r="G202" s="20"/>
      <c r="Q202" s="20"/>
      <c r="Y202" s="20" t="str">
        <f t="shared" si="1"/>
        <v/>
      </c>
    </row>
    <row r="203">
      <c r="B203" s="20"/>
      <c r="D203" s="41"/>
      <c r="E203" s="20"/>
      <c r="F203" s="41"/>
      <c r="G203" s="20"/>
      <c r="Q203" s="20"/>
      <c r="Y203" s="20" t="str">
        <f t="shared" si="1"/>
        <v/>
      </c>
    </row>
    <row r="204">
      <c r="B204" s="20"/>
      <c r="D204" s="41"/>
      <c r="E204" s="20"/>
      <c r="F204" s="41"/>
      <c r="G204" s="20"/>
      <c r="Q204" s="20"/>
      <c r="Y204" s="20" t="str">
        <f t="shared" si="1"/>
        <v/>
      </c>
    </row>
    <row r="205">
      <c r="B205" s="20"/>
      <c r="D205" s="41"/>
      <c r="E205" s="20"/>
      <c r="F205" s="41"/>
      <c r="G205" s="20"/>
      <c r="Q205" s="20"/>
      <c r="Y205" s="20" t="str">
        <f t="shared" si="1"/>
        <v/>
      </c>
    </row>
    <row r="206">
      <c r="B206" s="20"/>
      <c r="D206" s="41"/>
      <c r="E206" s="20"/>
      <c r="F206" s="41"/>
      <c r="G206" s="20"/>
      <c r="Q206" s="20"/>
      <c r="Y206" s="20" t="str">
        <f t="shared" si="1"/>
        <v/>
      </c>
    </row>
    <row r="207">
      <c r="B207" s="20"/>
      <c r="D207" s="41"/>
      <c r="E207" s="20"/>
      <c r="F207" s="41"/>
      <c r="G207" s="20"/>
      <c r="Q207" s="20"/>
      <c r="Y207" s="20" t="str">
        <f t="shared" si="1"/>
        <v/>
      </c>
    </row>
    <row r="208">
      <c r="B208" s="20"/>
      <c r="D208" s="41"/>
      <c r="E208" s="20"/>
      <c r="F208" s="41"/>
      <c r="G208" s="20"/>
      <c r="Q208" s="20"/>
      <c r="Y208" s="20" t="str">
        <f t="shared" si="1"/>
        <v/>
      </c>
    </row>
    <row r="209">
      <c r="B209" s="20"/>
      <c r="D209" s="41"/>
      <c r="E209" s="20"/>
      <c r="F209" s="41"/>
      <c r="G209" s="20"/>
      <c r="Q209" s="20"/>
      <c r="Y209" s="20" t="str">
        <f t="shared" si="1"/>
        <v/>
      </c>
    </row>
    <row r="210">
      <c r="B210" s="20"/>
      <c r="D210" s="41"/>
      <c r="E210" s="20"/>
      <c r="F210" s="41"/>
      <c r="G210" s="20"/>
      <c r="Q210" s="20"/>
      <c r="Y210" s="20" t="str">
        <f t="shared" si="1"/>
        <v/>
      </c>
    </row>
    <row r="211">
      <c r="B211" s="20"/>
      <c r="D211" s="41"/>
      <c r="E211" s="20"/>
      <c r="F211" s="41"/>
      <c r="G211" s="20"/>
      <c r="Q211" s="20"/>
      <c r="Y211" s="20" t="str">
        <f t="shared" si="1"/>
        <v/>
      </c>
    </row>
    <row r="212">
      <c r="B212" s="20"/>
      <c r="D212" s="41"/>
      <c r="E212" s="20"/>
      <c r="F212" s="41"/>
      <c r="G212" s="20"/>
      <c r="Q212" s="20"/>
      <c r="Y212" s="20" t="str">
        <f t="shared" si="1"/>
        <v/>
      </c>
    </row>
    <row r="213">
      <c r="B213" s="20"/>
      <c r="D213" s="41"/>
      <c r="E213" s="20"/>
      <c r="F213" s="41"/>
      <c r="G213" s="20"/>
      <c r="Q213" s="20"/>
      <c r="Y213" s="20" t="str">
        <f t="shared" si="1"/>
        <v/>
      </c>
    </row>
    <row r="214">
      <c r="B214" s="20"/>
      <c r="D214" s="41"/>
      <c r="E214" s="20"/>
      <c r="F214" s="41"/>
      <c r="G214" s="20"/>
      <c r="Q214" s="20"/>
      <c r="Y214" s="20" t="str">
        <f t="shared" si="1"/>
        <v/>
      </c>
    </row>
    <row r="215">
      <c r="B215" s="20"/>
      <c r="D215" s="41"/>
      <c r="E215" s="20"/>
      <c r="F215" s="41"/>
      <c r="G215" s="20"/>
      <c r="Q215" s="20"/>
      <c r="Y215" s="20" t="str">
        <f t="shared" si="1"/>
        <v/>
      </c>
    </row>
    <row r="216">
      <c r="B216" s="20"/>
      <c r="D216" s="41"/>
      <c r="E216" s="20"/>
      <c r="F216" s="41"/>
      <c r="G216" s="20"/>
      <c r="Q216" s="20"/>
      <c r="Y216" s="20" t="str">
        <f t="shared" si="1"/>
        <v/>
      </c>
    </row>
    <row r="217">
      <c r="B217" s="20"/>
      <c r="D217" s="41"/>
      <c r="E217" s="20"/>
      <c r="F217" s="41"/>
      <c r="G217" s="20"/>
      <c r="Q217" s="20"/>
      <c r="Y217" s="20" t="str">
        <f t="shared" si="1"/>
        <v/>
      </c>
    </row>
    <row r="218">
      <c r="B218" s="20"/>
      <c r="D218" s="41"/>
      <c r="E218" s="20"/>
      <c r="F218" s="41"/>
      <c r="G218" s="20"/>
      <c r="Q218" s="20"/>
      <c r="Y218" s="20" t="str">
        <f t="shared" si="1"/>
        <v/>
      </c>
    </row>
    <row r="219">
      <c r="B219" s="20"/>
      <c r="D219" s="41"/>
      <c r="E219" s="20"/>
      <c r="F219" s="41"/>
      <c r="G219" s="20"/>
      <c r="Q219" s="20"/>
      <c r="Y219" s="20" t="str">
        <f t="shared" si="1"/>
        <v/>
      </c>
    </row>
    <row r="220">
      <c r="B220" s="20"/>
      <c r="D220" s="41"/>
      <c r="E220" s="20"/>
      <c r="F220" s="41"/>
      <c r="G220" s="20"/>
      <c r="Q220" s="20"/>
      <c r="Y220" s="20" t="str">
        <f t="shared" si="1"/>
        <v/>
      </c>
    </row>
    <row r="221">
      <c r="B221" s="20"/>
      <c r="D221" s="41"/>
      <c r="E221" s="20"/>
      <c r="F221" s="41"/>
      <c r="G221" s="20"/>
      <c r="Q221" s="20"/>
      <c r="Y221" s="20" t="str">
        <f t="shared" si="1"/>
        <v/>
      </c>
    </row>
    <row r="222">
      <c r="B222" s="20"/>
      <c r="D222" s="41"/>
      <c r="E222" s="20"/>
      <c r="F222" s="41"/>
      <c r="G222" s="20"/>
      <c r="Q222" s="20"/>
      <c r="Y222" s="20" t="str">
        <f t="shared" si="1"/>
        <v/>
      </c>
    </row>
    <row r="223">
      <c r="B223" s="20"/>
      <c r="D223" s="41"/>
      <c r="E223" s="20"/>
      <c r="F223" s="41"/>
      <c r="G223" s="20"/>
      <c r="Q223" s="20"/>
      <c r="Y223" s="20" t="str">
        <f t="shared" si="1"/>
        <v/>
      </c>
    </row>
    <row r="224">
      <c r="B224" s="20"/>
      <c r="D224" s="41"/>
      <c r="E224" s="20"/>
      <c r="F224" s="41"/>
      <c r="G224" s="20"/>
      <c r="Q224" s="20"/>
      <c r="Y224" s="20" t="str">
        <f t="shared" si="1"/>
        <v/>
      </c>
    </row>
    <row r="225">
      <c r="B225" s="20"/>
      <c r="D225" s="41"/>
      <c r="E225" s="20"/>
      <c r="F225" s="41"/>
      <c r="G225" s="20"/>
      <c r="Q225" s="20"/>
      <c r="Y225" s="20" t="str">
        <f t="shared" si="1"/>
        <v/>
      </c>
    </row>
    <row r="226">
      <c r="B226" s="20"/>
      <c r="D226" s="41"/>
      <c r="E226" s="20"/>
      <c r="F226" s="41"/>
      <c r="G226" s="20"/>
      <c r="Q226" s="20"/>
      <c r="Y226" s="20" t="str">
        <f t="shared" si="1"/>
        <v/>
      </c>
    </row>
    <row r="227">
      <c r="B227" s="20"/>
      <c r="D227" s="41"/>
      <c r="E227" s="20"/>
      <c r="F227" s="41"/>
      <c r="G227" s="20"/>
      <c r="Q227" s="20"/>
      <c r="Y227" s="20" t="str">
        <f t="shared" si="1"/>
        <v/>
      </c>
    </row>
    <row r="228">
      <c r="B228" s="20"/>
      <c r="D228" s="41"/>
      <c r="E228" s="20"/>
      <c r="F228" s="41"/>
      <c r="G228" s="20"/>
      <c r="Q228" s="20"/>
      <c r="Y228" s="20" t="str">
        <f t="shared" si="1"/>
        <v/>
      </c>
    </row>
    <row r="229">
      <c r="B229" s="20"/>
      <c r="D229" s="41"/>
      <c r="E229" s="20"/>
      <c r="F229" s="41"/>
      <c r="G229" s="20"/>
      <c r="Q229" s="20"/>
      <c r="Y229" s="20" t="str">
        <f t="shared" si="1"/>
        <v/>
      </c>
    </row>
    <row r="230">
      <c r="B230" s="20"/>
      <c r="D230" s="41"/>
      <c r="E230" s="20"/>
      <c r="F230" s="41"/>
      <c r="G230" s="20"/>
      <c r="Q230" s="20"/>
      <c r="Y230" s="20" t="str">
        <f t="shared" si="1"/>
        <v/>
      </c>
    </row>
    <row r="231">
      <c r="B231" s="20"/>
      <c r="D231" s="41"/>
      <c r="E231" s="20"/>
      <c r="F231" s="41"/>
      <c r="G231" s="20"/>
      <c r="Q231" s="20"/>
      <c r="Y231" s="20" t="str">
        <f t="shared" si="1"/>
        <v/>
      </c>
    </row>
    <row r="232">
      <c r="B232" s="20"/>
      <c r="D232" s="41"/>
      <c r="E232" s="20"/>
      <c r="F232" s="41"/>
      <c r="G232" s="20"/>
      <c r="Q232" s="20"/>
      <c r="Y232" s="20" t="str">
        <f t="shared" si="1"/>
        <v/>
      </c>
    </row>
    <row r="233">
      <c r="B233" s="20"/>
      <c r="D233" s="41"/>
      <c r="E233" s="20"/>
      <c r="F233" s="41"/>
      <c r="G233" s="20"/>
      <c r="Q233" s="20"/>
      <c r="Y233" s="20" t="str">
        <f t="shared" si="1"/>
        <v/>
      </c>
    </row>
    <row r="234">
      <c r="B234" s="20"/>
      <c r="D234" s="41"/>
      <c r="E234" s="20"/>
      <c r="F234" s="41"/>
      <c r="G234" s="20"/>
      <c r="Q234" s="20"/>
      <c r="Y234" s="20" t="str">
        <f t="shared" si="1"/>
        <v/>
      </c>
    </row>
    <row r="235">
      <c r="B235" s="20"/>
      <c r="D235" s="41"/>
      <c r="E235" s="20"/>
      <c r="F235" s="41"/>
      <c r="G235" s="20"/>
      <c r="Q235" s="20"/>
      <c r="Y235" s="20" t="str">
        <f t="shared" si="1"/>
        <v/>
      </c>
    </row>
    <row r="236">
      <c r="B236" s="20"/>
      <c r="D236" s="41"/>
      <c r="E236" s="20"/>
      <c r="F236" s="41"/>
      <c r="G236" s="20"/>
      <c r="Q236" s="20"/>
      <c r="Y236" s="20" t="str">
        <f t="shared" si="1"/>
        <v/>
      </c>
    </row>
    <row r="237">
      <c r="B237" s="20"/>
      <c r="D237" s="41"/>
      <c r="E237" s="20"/>
      <c r="F237" s="41"/>
      <c r="G237" s="20"/>
      <c r="Q237" s="20"/>
      <c r="Y237" s="20" t="str">
        <f t="shared" si="1"/>
        <v/>
      </c>
    </row>
    <row r="238">
      <c r="B238" s="20"/>
      <c r="D238" s="41"/>
      <c r="E238" s="20"/>
      <c r="F238" s="41"/>
      <c r="G238" s="20"/>
      <c r="Q238" s="20"/>
      <c r="Y238" s="20" t="str">
        <f t="shared" si="1"/>
        <v/>
      </c>
    </row>
    <row r="239">
      <c r="B239" s="20"/>
      <c r="D239" s="41"/>
      <c r="E239" s="20"/>
      <c r="F239" s="41"/>
      <c r="G239" s="20"/>
      <c r="Q239" s="20"/>
      <c r="Y239" s="20" t="str">
        <f t="shared" si="1"/>
        <v/>
      </c>
    </row>
    <row r="240">
      <c r="B240" s="20"/>
      <c r="D240" s="41"/>
      <c r="E240" s="20"/>
      <c r="F240" s="41"/>
      <c r="G240" s="20"/>
      <c r="Q240" s="20"/>
      <c r="Y240" s="20" t="str">
        <f t="shared" si="1"/>
        <v/>
      </c>
    </row>
    <row r="241">
      <c r="B241" s="20"/>
      <c r="D241" s="41"/>
      <c r="E241" s="20"/>
      <c r="F241" s="41"/>
      <c r="G241" s="20"/>
      <c r="Q241" s="20"/>
      <c r="Y241" s="20" t="str">
        <f t="shared" si="1"/>
        <v/>
      </c>
    </row>
    <row r="242">
      <c r="B242" s="20"/>
      <c r="D242" s="41"/>
      <c r="E242" s="20"/>
      <c r="F242" s="41"/>
      <c r="G242" s="20"/>
      <c r="Q242" s="20"/>
      <c r="Y242" s="20" t="str">
        <f t="shared" si="1"/>
        <v/>
      </c>
    </row>
    <row r="243">
      <c r="B243" s="20"/>
      <c r="D243" s="41"/>
      <c r="E243" s="20"/>
      <c r="F243" s="41"/>
      <c r="G243" s="20"/>
      <c r="Q243" s="20"/>
      <c r="Y243" s="20" t="str">
        <f t="shared" si="1"/>
        <v/>
      </c>
    </row>
    <row r="244">
      <c r="B244" s="20"/>
      <c r="D244" s="41"/>
      <c r="E244" s="20"/>
      <c r="F244" s="41"/>
      <c r="G244" s="20"/>
      <c r="Q244" s="20"/>
      <c r="Y244" s="20" t="str">
        <f t="shared" si="1"/>
        <v/>
      </c>
    </row>
    <row r="245">
      <c r="B245" s="20"/>
      <c r="D245" s="41"/>
      <c r="E245" s="20"/>
      <c r="F245" s="41"/>
      <c r="G245" s="20"/>
      <c r="Q245" s="20"/>
      <c r="Y245" s="20" t="str">
        <f t="shared" si="1"/>
        <v/>
      </c>
    </row>
    <row r="246">
      <c r="B246" s="20"/>
      <c r="D246" s="41"/>
      <c r="E246" s="20"/>
      <c r="F246" s="41"/>
      <c r="G246" s="20"/>
      <c r="Q246" s="20"/>
      <c r="Y246" s="20" t="str">
        <f t="shared" si="1"/>
        <v/>
      </c>
    </row>
    <row r="247">
      <c r="B247" s="20"/>
      <c r="D247" s="41"/>
      <c r="E247" s="20"/>
      <c r="F247" s="41"/>
      <c r="G247" s="20"/>
      <c r="Q247" s="20"/>
      <c r="Y247" s="20" t="str">
        <f t="shared" si="1"/>
        <v/>
      </c>
    </row>
    <row r="248">
      <c r="B248" s="20"/>
      <c r="D248" s="41"/>
      <c r="E248" s="20"/>
      <c r="F248" s="41"/>
      <c r="G248" s="20"/>
      <c r="Q248" s="20"/>
      <c r="Y248" s="20" t="str">
        <f t="shared" si="1"/>
        <v/>
      </c>
    </row>
    <row r="249">
      <c r="B249" s="20"/>
      <c r="D249" s="41"/>
      <c r="E249" s="20"/>
      <c r="F249" s="41"/>
      <c r="G249" s="20"/>
      <c r="Q249" s="20"/>
      <c r="Y249" s="20" t="str">
        <f t="shared" si="1"/>
        <v/>
      </c>
    </row>
    <row r="250">
      <c r="B250" s="20"/>
      <c r="D250" s="41"/>
      <c r="E250" s="20"/>
      <c r="F250" s="41"/>
      <c r="G250" s="20"/>
      <c r="Q250" s="20"/>
      <c r="Y250" s="20" t="str">
        <f t="shared" si="1"/>
        <v/>
      </c>
    </row>
    <row r="251">
      <c r="B251" s="20"/>
      <c r="D251" s="41"/>
      <c r="E251" s="20"/>
      <c r="F251" s="41"/>
      <c r="G251" s="20"/>
      <c r="Q251" s="20"/>
      <c r="Y251" s="20" t="str">
        <f t="shared" si="1"/>
        <v/>
      </c>
    </row>
    <row r="252">
      <c r="B252" s="20"/>
      <c r="D252" s="41"/>
      <c r="E252" s="20"/>
      <c r="F252" s="41"/>
      <c r="G252" s="20"/>
      <c r="Q252" s="20"/>
      <c r="Y252" s="20" t="str">
        <f t="shared" si="1"/>
        <v/>
      </c>
    </row>
    <row r="253">
      <c r="B253" s="20"/>
      <c r="D253" s="41"/>
      <c r="E253" s="20"/>
      <c r="F253" s="41"/>
      <c r="G253" s="20"/>
      <c r="Q253" s="20"/>
      <c r="Y253" s="20" t="str">
        <f t="shared" si="1"/>
        <v/>
      </c>
    </row>
    <row r="254">
      <c r="B254" s="20"/>
      <c r="D254" s="41"/>
      <c r="E254" s="20"/>
      <c r="F254" s="41"/>
      <c r="G254" s="20"/>
      <c r="Q254" s="20"/>
      <c r="Y254" s="20" t="str">
        <f t="shared" si="1"/>
        <v/>
      </c>
    </row>
    <row r="255">
      <c r="B255" s="20"/>
      <c r="D255" s="41"/>
      <c r="E255" s="20"/>
      <c r="F255" s="41"/>
      <c r="G255" s="20"/>
      <c r="Q255" s="20"/>
      <c r="Y255" s="20" t="str">
        <f t="shared" si="1"/>
        <v/>
      </c>
    </row>
    <row r="256">
      <c r="B256" s="20"/>
      <c r="D256" s="41"/>
      <c r="E256" s="20"/>
      <c r="F256" s="41"/>
      <c r="G256" s="20"/>
      <c r="Q256" s="20"/>
      <c r="Y256" s="20" t="str">
        <f t="shared" si="1"/>
        <v/>
      </c>
    </row>
    <row r="257">
      <c r="B257" s="20"/>
      <c r="D257" s="41"/>
      <c r="E257" s="20"/>
      <c r="F257" s="41"/>
      <c r="G257" s="20"/>
      <c r="Q257" s="20"/>
      <c r="Y257" s="20" t="str">
        <f t="shared" si="1"/>
        <v/>
      </c>
    </row>
    <row r="258">
      <c r="B258" s="20"/>
      <c r="D258" s="41"/>
      <c r="E258" s="20"/>
      <c r="F258" s="41"/>
      <c r="G258" s="20"/>
      <c r="Q258" s="20"/>
      <c r="Y258" s="20" t="str">
        <f t="shared" si="1"/>
        <v/>
      </c>
    </row>
    <row r="259">
      <c r="B259" s="20"/>
      <c r="D259" s="41"/>
      <c r="E259" s="20"/>
      <c r="F259" s="41"/>
      <c r="G259" s="20"/>
      <c r="Q259" s="20"/>
      <c r="Y259" s="20" t="str">
        <f t="shared" si="1"/>
        <v/>
      </c>
    </row>
    <row r="260">
      <c r="B260" s="20"/>
      <c r="D260" s="41"/>
      <c r="E260" s="20"/>
      <c r="F260" s="41"/>
      <c r="G260" s="20"/>
      <c r="Q260" s="20"/>
      <c r="Y260" s="20" t="str">
        <f t="shared" si="1"/>
        <v/>
      </c>
    </row>
    <row r="261">
      <c r="B261" s="20"/>
      <c r="D261" s="41"/>
      <c r="E261" s="20"/>
      <c r="F261" s="41"/>
      <c r="G261" s="20"/>
      <c r="Q261" s="20"/>
      <c r="Y261" s="20" t="str">
        <f t="shared" si="1"/>
        <v/>
      </c>
    </row>
    <row r="262">
      <c r="B262" s="20"/>
      <c r="D262" s="41"/>
      <c r="E262" s="20"/>
      <c r="F262" s="41"/>
      <c r="G262" s="20"/>
      <c r="Q262" s="20"/>
      <c r="Y262" s="20" t="str">
        <f t="shared" si="1"/>
        <v/>
      </c>
    </row>
    <row r="263">
      <c r="B263" s="20"/>
      <c r="D263" s="41"/>
      <c r="E263" s="20"/>
      <c r="F263" s="41"/>
      <c r="G263" s="20"/>
      <c r="Q263" s="20"/>
      <c r="Y263" s="20" t="str">
        <f t="shared" si="1"/>
        <v/>
      </c>
    </row>
    <row r="264">
      <c r="B264" s="20"/>
      <c r="D264" s="41"/>
      <c r="E264" s="20"/>
      <c r="F264" s="41"/>
      <c r="G264" s="20"/>
      <c r="Q264" s="20"/>
      <c r="Y264" s="20" t="str">
        <f t="shared" si="1"/>
        <v/>
      </c>
    </row>
    <row r="265">
      <c r="B265" s="20"/>
      <c r="D265" s="41"/>
      <c r="E265" s="20"/>
      <c r="F265" s="41"/>
      <c r="G265" s="20"/>
      <c r="Q265" s="20"/>
      <c r="Y265" s="20" t="str">
        <f t="shared" si="1"/>
        <v/>
      </c>
    </row>
    <row r="266">
      <c r="B266" s="20"/>
      <c r="D266" s="41"/>
      <c r="E266" s="20"/>
      <c r="F266" s="41"/>
      <c r="G266" s="20"/>
      <c r="Q266" s="20"/>
      <c r="Y266" s="20" t="str">
        <f t="shared" si="1"/>
        <v/>
      </c>
    </row>
    <row r="267">
      <c r="B267" s="20"/>
      <c r="D267" s="41"/>
      <c r="E267" s="20"/>
      <c r="F267" s="41"/>
      <c r="G267" s="20"/>
      <c r="Q267" s="20"/>
      <c r="Y267" s="20" t="str">
        <f t="shared" si="1"/>
        <v/>
      </c>
    </row>
    <row r="268">
      <c r="B268" s="20"/>
      <c r="D268" s="41"/>
      <c r="E268" s="20"/>
      <c r="F268" s="41"/>
      <c r="G268" s="20"/>
      <c r="Q268" s="20"/>
      <c r="Y268" s="20" t="str">
        <f t="shared" si="1"/>
        <v/>
      </c>
    </row>
    <row r="269">
      <c r="B269" s="20"/>
      <c r="D269" s="41"/>
      <c r="E269" s="20"/>
      <c r="F269" s="41"/>
      <c r="G269" s="20"/>
      <c r="Q269" s="20"/>
      <c r="Y269" s="20" t="str">
        <f t="shared" si="1"/>
        <v/>
      </c>
    </row>
    <row r="270">
      <c r="B270" s="20"/>
      <c r="D270" s="41"/>
      <c r="E270" s="20"/>
      <c r="F270" s="41"/>
      <c r="G270" s="20"/>
      <c r="Q270" s="20"/>
      <c r="Y270" s="20" t="str">
        <f t="shared" si="1"/>
        <v/>
      </c>
    </row>
    <row r="271">
      <c r="B271" s="20"/>
      <c r="D271" s="41"/>
      <c r="E271" s="20"/>
      <c r="F271" s="41"/>
      <c r="G271" s="20"/>
      <c r="Q271" s="20"/>
      <c r="Y271" s="20" t="str">
        <f t="shared" si="1"/>
        <v/>
      </c>
    </row>
    <row r="272">
      <c r="B272" s="20"/>
      <c r="D272" s="41"/>
      <c r="E272" s="20"/>
      <c r="F272" s="41"/>
      <c r="G272" s="20"/>
      <c r="Q272" s="20"/>
      <c r="Y272" s="20" t="str">
        <f t="shared" si="1"/>
        <v/>
      </c>
    </row>
    <row r="273">
      <c r="B273" s="20"/>
      <c r="D273" s="41"/>
      <c r="E273" s="20"/>
      <c r="F273" s="41"/>
      <c r="G273" s="20"/>
      <c r="Q273" s="20"/>
      <c r="Y273" s="20" t="str">
        <f t="shared" si="1"/>
        <v/>
      </c>
    </row>
    <row r="274">
      <c r="B274" s="20"/>
      <c r="D274" s="41"/>
      <c r="E274" s="20"/>
      <c r="F274" s="41"/>
      <c r="G274" s="20"/>
      <c r="Q274" s="20"/>
      <c r="Y274" s="20" t="str">
        <f t="shared" si="1"/>
        <v/>
      </c>
    </row>
    <row r="275">
      <c r="B275" s="20"/>
      <c r="D275" s="41"/>
      <c r="E275" s="20"/>
      <c r="F275" s="41"/>
      <c r="G275" s="20"/>
      <c r="Q275" s="20"/>
      <c r="Y275" s="20" t="str">
        <f t="shared" si="1"/>
        <v/>
      </c>
    </row>
    <row r="276">
      <c r="B276" s="20"/>
      <c r="D276" s="41"/>
      <c r="E276" s="20"/>
      <c r="F276" s="41"/>
      <c r="G276" s="20"/>
      <c r="Q276" s="20"/>
      <c r="Y276" s="20" t="str">
        <f t="shared" si="1"/>
        <v/>
      </c>
    </row>
    <row r="277">
      <c r="B277" s="20"/>
      <c r="D277" s="41"/>
      <c r="E277" s="20"/>
      <c r="F277" s="41"/>
      <c r="G277" s="20"/>
      <c r="Q277" s="20"/>
      <c r="Y277" s="20" t="str">
        <f t="shared" si="1"/>
        <v/>
      </c>
    </row>
    <row r="278">
      <c r="B278" s="20"/>
      <c r="D278" s="41"/>
      <c r="E278" s="20"/>
      <c r="F278" s="41"/>
      <c r="G278" s="20"/>
      <c r="Q278" s="20"/>
      <c r="Y278" s="20" t="str">
        <f t="shared" si="1"/>
        <v/>
      </c>
    </row>
    <row r="279">
      <c r="B279" s="20"/>
      <c r="D279" s="41"/>
      <c r="E279" s="20"/>
      <c r="F279" s="41"/>
      <c r="G279" s="20"/>
      <c r="Q279" s="20"/>
      <c r="Y279" s="20" t="str">
        <f t="shared" si="1"/>
        <v/>
      </c>
    </row>
    <row r="280">
      <c r="B280" s="20"/>
      <c r="D280" s="41"/>
      <c r="E280" s="20"/>
      <c r="F280" s="41"/>
      <c r="G280" s="20"/>
      <c r="Q280" s="20"/>
      <c r="Y280" s="20" t="str">
        <f t="shared" si="1"/>
        <v/>
      </c>
    </row>
    <row r="281">
      <c r="B281" s="20"/>
      <c r="D281" s="41"/>
      <c r="E281" s="20"/>
      <c r="F281" s="41"/>
      <c r="G281" s="20"/>
      <c r="Q281" s="20"/>
      <c r="Y281" s="20" t="str">
        <f t="shared" si="1"/>
        <v/>
      </c>
    </row>
    <row r="282">
      <c r="B282" s="20"/>
      <c r="D282" s="41"/>
      <c r="E282" s="20"/>
      <c r="F282" s="41"/>
      <c r="G282" s="20"/>
      <c r="Q282" s="20"/>
      <c r="Y282" s="20" t="str">
        <f t="shared" si="1"/>
        <v/>
      </c>
    </row>
    <row r="283">
      <c r="B283" s="20"/>
      <c r="D283" s="41"/>
      <c r="E283" s="20"/>
      <c r="F283" s="41"/>
      <c r="G283" s="20"/>
      <c r="Q283" s="20"/>
      <c r="Y283" s="20" t="str">
        <f t="shared" si="1"/>
        <v/>
      </c>
    </row>
    <row r="284">
      <c r="B284" s="20"/>
      <c r="D284" s="41"/>
      <c r="E284" s="20"/>
      <c r="F284" s="41"/>
      <c r="G284" s="20"/>
      <c r="Q284" s="20"/>
      <c r="Y284" s="20" t="str">
        <f t="shared" si="1"/>
        <v/>
      </c>
    </row>
    <row r="285">
      <c r="B285" s="20"/>
      <c r="D285" s="41"/>
      <c r="E285" s="20"/>
      <c r="F285" s="41"/>
      <c r="G285" s="20"/>
      <c r="Q285" s="20"/>
      <c r="Y285" s="20" t="str">
        <f t="shared" si="1"/>
        <v/>
      </c>
    </row>
    <row r="286">
      <c r="B286" s="20"/>
      <c r="D286" s="41"/>
      <c r="E286" s="20"/>
      <c r="F286" s="41"/>
      <c r="G286" s="20"/>
      <c r="Q286" s="20"/>
      <c r="Y286" s="20" t="str">
        <f t="shared" si="1"/>
        <v/>
      </c>
    </row>
    <row r="287">
      <c r="B287" s="20"/>
      <c r="D287" s="41"/>
      <c r="E287" s="20"/>
      <c r="F287" s="41"/>
      <c r="G287" s="20"/>
      <c r="Q287" s="20"/>
      <c r="Y287" s="20" t="str">
        <f t="shared" si="1"/>
        <v/>
      </c>
    </row>
    <row r="288">
      <c r="B288" s="20"/>
      <c r="D288" s="41"/>
      <c r="E288" s="20"/>
      <c r="F288" s="41"/>
      <c r="G288" s="20"/>
      <c r="Q288" s="20"/>
      <c r="Y288" s="20" t="str">
        <f t="shared" si="1"/>
        <v/>
      </c>
    </row>
    <row r="289">
      <c r="B289" s="20"/>
      <c r="D289" s="41"/>
      <c r="E289" s="20"/>
      <c r="F289" s="41"/>
      <c r="G289" s="20"/>
      <c r="Q289" s="20"/>
      <c r="Y289" s="20" t="str">
        <f t="shared" si="1"/>
        <v/>
      </c>
    </row>
    <row r="290">
      <c r="B290" s="20"/>
      <c r="D290" s="41"/>
      <c r="E290" s="20"/>
      <c r="F290" s="41"/>
      <c r="G290" s="20"/>
      <c r="Q290" s="20"/>
      <c r="Y290" s="20" t="str">
        <f t="shared" si="1"/>
        <v/>
      </c>
    </row>
    <row r="291">
      <c r="B291" s="20"/>
      <c r="D291" s="41"/>
      <c r="E291" s="20"/>
      <c r="F291" s="41"/>
      <c r="G291" s="20"/>
      <c r="Q291" s="20"/>
      <c r="Y291" s="20" t="str">
        <f t="shared" si="1"/>
        <v/>
      </c>
    </row>
    <row r="292">
      <c r="B292" s="20"/>
      <c r="D292" s="41"/>
      <c r="E292" s="20"/>
      <c r="F292" s="41"/>
      <c r="G292" s="20"/>
      <c r="Q292" s="20"/>
      <c r="Y292" s="20" t="str">
        <f t="shared" si="1"/>
        <v/>
      </c>
    </row>
    <row r="293">
      <c r="B293" s="20"/>
      <c r="D293" s="41"/>
      <c r="E293" s="20"/>
      <c r="F293" s="41"/>
      <c r="G293" s="20"/>
      <c r="Q293" s="20"/>
      <c r="Y293" s="20" t="str">
        <f t="shared" si="1"/>
        <v/>
      </c>
    </row>
    <row r="294">
      <c r="B294" s="20"/>
      <c r="D294" s="41"/>
      <c r="E294" s="20"/>
      <c r="F294" s="41"/>
      <c r="G294" s="20"/>
      <c r="Q294" s="20"/>
      <c r="Y294" s="20" t="str">
        <f t="shared" si="1"/>
        <v/>
      </c>
    </row>
    <row r="295">
      <c r="B295" s="20"/>
      <c r="D295" s="41"/>
      <c r="E295" s="20"/>
      <c r="F295" s="41"/>
      <c r="G295" s="20"/>
      <c r="Q295" s="20"/>
      <c r="Y295" s="20" t="str">
        <f t="shared" si="1"/>
        <v/>
      </c>
    </row>
    <row r="296">
      <c r="B296" s="20"/>
      <c r="D296" s="41"/>
      <c r="E296" s="20"/>
      <c r="F296" s="41"/>
      <c r="G296" s="20"/>
      <c r="Q296" s="20"/>
      <c r="Y296" s="20" t="str">
        <f t="shared" si="1"/>
        <v/>
      </c>
    </row>
    <row r="297">
      <c r="B297" s="20"/>
      <c r="D297" s="41"/>
      <c r="E297" s="20"/>
      <c r="F297" s="41"/>
      <c r="G297" s="20"/>
      <c r="Q297" s="20"/>
      <c r="Y297" s="20" t="str">
        <f t="shared" si="1"/>
        <v/>
      </c>
    </row>
    <row r="298">
      <c r="B298" s="20"/>
      <c r="D298" s="41"/>
      <c r="E298" s="20"/>
      <c r="F298" s="41"/>
      <c r="G298" s="20"/>
      <c r="Q298" s="20"/>
      <c r="Y298" s="20" t="str">
        <f t="shared" si="1"/>
        <v/>
      </c>
    </row>
    <row r="299">
      <c r="B299" s="20"/>
      <c r="D299" s="41"/>
      <c r="E299" s="20"/>
      <c r="F299" s="41"/>
      <c r="G299" s="20"/>
      <c r="Q299" s="20"/>
      <c r="Y299" s="20" t="str">
        <f t="shared" si="1"/>
        <v/>
      </c>
    </row>
    <row r="300">
      <c r="B300" s="20"/>
      <c r="D300" s="41"/>
      <c r="E300" s="20"/>
      <c r="F300" s="41"/>
      <c r="G300" s="20"/>
      <c r="Q300" s="20"/>
      <c r="Y300" s="20" t="str">
        <f t="shared" si="1"/>
        <v/>
      </c>
    </row>
    <row r="301">
      <c r="B301" s="20"/>
      <c r="D301" s="41"/>
      <c r="E301" s="20"/>
      <c r="F301" s="41"/>
      <c r="G301" s="20"/>
      <c r="Q301" s="20"/>
      <c r="Y301" s="20" t="str">
        <f t="shared" si="1"/>
        <v/>
      </c>
    </row>
    <row r="302">
      <c r="B302" s="20"/>
      <c r="D302" s="41"/>
      <c r="E302" s="20"/>
      <c r="F302" s="41"/>
      <c r="G302" s="20"/>
      <c r="Q302" s="20"/>
      <c r="Y302" s="20" t="str">
        <f t="shared" si="1"/>
        <v/>
      </c>
    </row>
    <row r="303">
      <c r="B303" s="20"/>
      <c r="D303" s="41"/>
      <c r="E303" s="20"/>
      <c r="F303" s="41"/>
      <c r="G303" s="20"/>
      <c r="Q303" s="20"/>
      <c r="Y303" s="20" t="str">
        <f t="shared" si="1"/>
        <v/>
      </c>
    </row>
    <row r="304">
      <c r="B304" s="20"/>
      <c r="D304" s="41"/>
      <c r="E304" s="20"/>
      <c r="F304" s="41"/>
      <c r="G304" s="20"/>
      <c r="Q304" s="20"/>
      <c r="Y304" s="20" t="str">
        <f t="shared" si="1"/>
        <v/>
      </c>
    </row>
    <row r="305">
      <c r="B305" s="20"/>
      <c r="D305" s="41"/>
      <c r="E305" s="20"/>
      <c r="F305" s="41"/>
      <c r="G305" s="20"/>
      <c r="Q305" s="20"/>
      <c r="Y305" s="20" t="str">
        <f t="shared" si="1"/>
        <v/>
      </c>
    </row>
    <row r="306">
      <c r="B306" s="20"/>
      <c r="D306" s="41"/>
      <c r="E306" s="20"/>
      <c r="F306" s="41"/>
      <c r="G306" s="20"/>
      <c r="Q306" s="20"/>
      <c r="Y306" s="20" t="str">
        <f t="shared" si="1"/>
        <v/>
      </c>
    </row>
    <row r="307">
      <c r="B307" s="20"/>
      <c r="D307" s="41"/>
      <c r="E307" s="20"/>
      <c r="F307" s="41"/>
      <c r="G307" s="20"/>
      <c r="Q307" s="20"/>
      <c r="Y307" s="20" t="str">
        <f t="shared" si="1"/>
        <v/>
      </c>
    </row>
    <row r="308">
      <c r="B308" s="20"/>
      <c r="D308" s="41"/>
      <c r="E308" s="20"/>
      <c r="F308" s="41"/>
      <c r="G308" s="20"/>
      <c r="Q308" s="20"/>
      <c r="Y308" s="20" t="str">
        <f t="shared" si="1"/>
        <v/>
      </c>
    </row>
    <row r="309">
      <c r="B309" s="20"/>
      <c r="D309" s="41"/>
      <c r="E309" s="20"/>
      <c r="F309" s="41"/>
      <c r="G309" s="20"/>
      <c r="Q309" s="20"/>
      <c r="Y309" s="20" t="str">
        <f t="shared" si="1"/>
        <v/>
      </c>
    </row>
    <row r="310">
      <c r="B310" s="20"/>
      <c r="D310" s="41"/>
      <c r="E310" s="20"/>
      <c r="F310" s="41"/>
      <c r="G310" s="20"/>
      <c r="Q310" s="20"/>
      <c r="Y310" s="20" t="str">
        <f t="shared" si="1"/>
        <v/>
      </c>
    </row>
    <row r="311">
      <c r="B311" s="20"/>
      <c r="D311" s="41"/>
      <c r="E311" s="20"/>
      <c r="F311" s="41"/>
      <c r="G311" s="20"/>
      <c r="Q311" s="20"/>
      <c r="Y311" s="20" t="str">
        <f t="shared" si="1"/>
        <v/>
      </c>
    </row>
    <row r="312">
      <c r="B312" s="20"/>
      <c r="D312" s="41"/>
      <c r="E312" s="20"/>
      <c r="F312" s="41"/>
      <c r="G312" s="20"/>
      <c r="Q312" s="20"/>
      <c r="Y312" s="20" t="str">
        <f t="shared" si="1"/>
        <v/>
      </c>
    </row>
    <row r="313">
      <c r="B313" s="20"/>
      <c r="D313" s="41"/>
      <c r="E313" s="20"/>
      <c r="F313" s="41"/>
      <c r="G313" s="20"/>
      <c r="Q313" s="20"/>
      <c r="Y313" s="20" t="str">
        <f t="shared" si="1"/>
        <v/>
      </c>
    </row>
    <row r="314">
      <c r="B314" s="20"/>
      <c r="D314" s="41"/>
      <c r="E314" s="20"/>
      <c r="F314" s="41"/>
      <c r="G314" s="20"/>
      <c r="Q314" s="20"/>
      <c r="Y314" s="20" t="str">
        <f t="shared" si="1"/>
        <v/>
      </c>
    </row>
    <row r="315">
      <c r="B315" s="20"/>
      <c r="D315" s="41"/>
      <c r="E315" s="20"/>
      <c r="F315" s="41"/>
      <c r="G315" s="20"/>
      <c r="Q315" s="20"/>
      <c r="Y315" s="20" t="str">
        <f t="shared" si="1"/>
        <v/>
      </c>
    </row>
    <row r="316">
      <c r="B316" s="20"/>
      <c r="D316" s="41"/>
      <c r="E316" s="20"/>
      <c r="F316" s="41"/>
      <c r="G316" s="20"/>
      <c r="Q316" s="20"/>
      <c r="Y316" s="20" t="str">
        <f t="shared" si="1"/>
        <v/>
      </c>
    </row>
    <row r="317">
      <c r="B317" s="20"/>
      <c r="D317" s="41"/>
      <c r="E317" s="20"/>
      <c r="F317" s="41"/>
      <c r="G317" s="20"/>
      <c r="Q317" s="20"/>
      <c r="Y317" s="20" t="str">
        <f t="shared" si="1"/>
        <v/>
      </c>
    </row>
    <row r="318">
      <c r="B318" s="20"/>
      <c r="D318" s="41"/>
      <c r="E318" s="20"/>
      <c r="F318" s="41"/>
      <c r="G318" s="20"/>
      <c r="Q318" s="20"/>
      <c r="Y318" s="20" t="str">
        <f t="shared" si="1"/>
        <v/>
      </c>
    </row>
    <row r="319">
      <c r="B319" s="20"/>
      <c r="D319" s="41"/>
      <c r="E319" s="20"/>
      <c r="F319" s="41"/>
      <c r="G319" s="20"/>
      <c r="Q319" s="20"/>
      <c r="Y319" s="20" t="str">
        <f t="shared" si="1"/>
        <v/>
      </c>
    </row>
    <row r="320">
      <c r="B320" s="20"/>
      <c r="D320" s="41"/>
      <c r="E320" s="20"/>
      <c r="F320" s="41"/>
      <c r="G320" s="20"/>
      <c r="Q320" s="20"/>
      <c r="Y320" s="20" t="str">
        <f t="shared" si="1"/>
        <v/>
      </c>
    </row>
    <row r="321">
      <c r="B321" s="20"/>
      <c r="D321" s="41"/>
      <c r="E321" s="20"/>
      <c r="F321" s="41"/>
      <c r="G321" s="20"/>
      <c r="Q321" s="20"/>
      <c r="Y321" s="20" t="str">
        <f t="shared" si="1"/>
        <v/>
      </c>
    </row>
    <row r="322">
      <c r="B322" s="20"/>
      <c r="D322" s="41"/>
      <c r="E322" s="20"/>
      <c r="F322" s="41"/>
      <c r="G322" s="20"/>
      <c r="Q322" s="20"/>
      <c r="Y322" s="20" t="str">
        <f t="shared" si="1"/>
        <v/>
      </c>
    </row>
    <row r="323">
      <c r="B323" s="20"/>
      <c r="D323" s="41"/>
      <c r="E323" s="20"/>
      <c r="F323" s="41"/>
      <c r="G323" s="20"/>
      <c r="Q323" s="20"/>
      <c r="Y323" s="20" t="str">
        <f t="shared" si="1"/>
        <v/>
      </c>
    </row>
    <row r="324">
      <c r="B324" s="20"/>
      <c r="D324" s="41"/>
      <c r="E324" s="20"/>
      <c r="F324" s="41"/>
      <c r="G324" s="20"/>
      <c r="Q324" s="20"/>
      <c r="Y324" s="20" t="str">
        <f t="shared" si="1"/>
        <v/>
      </c>
    </row>
    <row r="325">
      <c r="B325" s="20"/>
      <c r="D325" s="41"/>
      <c r="E325" s="20"/>
      <c r="F325" s="41"/>
      <c r="G325" s="20"/>
      <c r="Q325" s="20"/>
      <c r="Y325" s="20" t="str">
        <f t="shared" si="1"/>
        <v/>
      </c>
    </row>
    <row r="326">
      <c r="B326" s="20"/>
      <c r="D326" s="41"/>
      <c r="E326" s="20"/>
      <c r="F326" s="41"/>
      <c r="G326" s="20"/>
      <c r="Q326" s="20"/>
      <c r="Y326" s="20" t="str">
        <f t="shared" si="1"/>
        <v/>
      </c>
    </row>
    <row r="327">
      <c r="B327" s="20"/>
      <c r="D327" s="41"/>
      <c r="E327" s="20"/>
      <c r="F327" s="41"/>
      <c r="G327" s="20"/>
      <c r="Q327" s="20"/>
      <c r="Y327" s="20" t="str">
        <f t="shared" si="1"/>
        <v/>
      </c>
    </row>
    <row r="328">
      <c r="B328" s="20"/>
      <c r="D328" s="41"/>
      <c r="E328" s="20"/>
      <c r="F328" s="41"/>
      <c r="G328" s="20"/>
      <c r="Q328" s="20"/>
      <c r="Y328" s="20" t="str">
        <f t="shared" si="1"/>
        <v/>
      </c>
    </row>
    <row r="329">
      <c r="B329" s="20"/>
      <c r="D329" s="41"/>
      <c r="E329" s="20"/>
      <c r="F329" s="41"/>
      <c r="G329" s="20"/>
      <c r="Q329" s="20"/>
      <c r="Y329" s="20" t="str">
        <f t="shared" si="1"/>
        <v/>
      </c>
    </row>
    <row r="330">
      <c r="B330" s="20"/>
      <c r="D330" s="41"/>
      <c r="E330" s="20"/>
      <c r="F330" s="41"/>
      <c r="G330" s="20"/>
      <c r="Q330" s="20"/>
      <c r="Y330" s="20" t="str">
        <f t="shared" si="1"/>
        <v/>
      </c>
    </row>
    <row r="331">
      <c r="B331" s="20"/>
      <c r="D331" s="41"/>
      <c r="E331" s="20"/>
      <c r="F331" s="41"/>
      <c r="G331" s="20"/>
      <c r="Q331" s="20"/>
      <c r="Y331" s="20" t="str">
        <f t="shared" si="1"/>
        <v/>
      </c>
    </row>
    <row r="332">
      <c r="B332" s="20"/>
      <c r="D332" s="41"/>
      <c r="E332" s="20"/>
      <c r="F332" s="41"/>
      <c r="G332" s="20"/>
      <c r="Q332" s="20"/>
      <c r="Y332" s="20" t="str">
        <f t="shared" si="1"/>
        <v/>
      </c>
    </row>
    <row r="333">
      <c r="B333" s="20"/>
      <c r="D333" s="41"/>
      <c r="E333" s="20"/>
      <c r="F333" s="41"/>
      <c r="G333" s="20"/>
      <c r="Q333" s="20"/>
      <c r="Y333" s="20" t="str">
        <f t="shared" si="1"/>
        <v/>
      </c>
    </row>
    <row r="334">
      <c r="B334" s="20"/>
      <c r="D334" s="41"/>
      <c r="E334" s="20"/>
      <c r="F334" s="41"/>
      <c r="G334" s="20"/>
      <c r="Q334" s="20"/>
      <c r="Y334" s="20" t="str">
        <f t="shared" si="1"/>
        <v/>
      </c>
    </row>
    <row r="335">
      <c r="B335" s="20"/>
      <c r="D335" s="41"/>
      <c r="E335" s="20"/>
      <c r="F335" s="41"/>
      <c r="G335" s="20"/>
      <c r="Q335" s="20"/>
      <c r="Y335" s="20" t="str">
        <f t="shared" si="1"/>
        <v/>
      </c>
    </row>
    <row r="336">
      <c r="B336" s="20"/>
      <c r="D336" s="41"/>
      <c r="E336" s="20"/>
      <c r="F336" s="41"/>
      <c r="G336" s="20"/>
      <c r="Q336" s="20"/>
      <c r="Y336" s="20" t="str">
        <f t="shared" si="1"/>
        <v/>
      </c>
    </row>
    <row r="337">
      <c r="B337" s="20"/>
      <c r="D337" s="41"/>
      <c r="E337" s="20"/>
      <c r="F337" s="41"/>
      <c r="G337" s="20"/>
      <c r="Q337" s="20"/>
      <c r="Y337" s="20" t="str">
        <f t="shared" si="1"/>
        <v/>
      </c>
    </row>
    <row r="338">
      <c r="B338" s="20"/>
      <c r="D338" s="41"/>
      <c r="E338" s="20"/>
      <c r="F338" s="41"/>
      <c r="G338" s="20"/>
      <c r="Q338" s="20"/>
      <c r="Y338" s="20" t="str">
        <f t="shared" si="1"/>
        <v/>
      </c>
    </row>
    <row r="339">
      <c r="B339" s="20"/>
      <c r="D339" s="41"/>
      <c r="E339" s="20"/>
      <c r="F339" s="41"/>
      <c r="G339" s="20"/>
      <c r="Q339" s="20"/>
      <c r="Y339" s="20" t="str">
        <f t="shared" si="1"/>
        <v/>
      </c>
    </row>
    <row r="340">
      <c r="B340" s="20"/>
      <c r="D340" s="41"/>
      <c r="E340" s="20"/>
      <c r="F340" s="41"/>
      <c r="G340" s="20"/>
      <c r="Q340" s="20"/>
      <c r="Y340" s="20" t="str">
        <f t="shared" si="1"/>
        <v/>
      </c>
    </row>
    <row r="341">
      <c r="B341" s="20"/>
      <c r="D341" s="41"/>
      <c r="E341" s="20"/>
      <c r="F341" s="41"/>
      <c r="G341" s="20"/>
      <c r="Q341" s="20"/>
      <c r="Y341" s="20" t="str">
        <f t="shared" si="1"/>
        <v/>
      </c>
    </row>
    <row r="342">
      <c r="B342" s="20"/>
      <c r="D342" s="41"/>
      <c r="E342" s="20"/>
      <c r="F342" s="41"/>
      <c r="G342" s="20"/>
      <c r="Q342" s="20"/>
      <c r="Y342" s="20" t="str">
        <f t="shared" si="1"/>
        <v/>
      </c>
    </row>
    <row r="343">
      <c r="B343" s="20"/>
      <c r="D343" s="41"/>
      <c r="E343" s="20"/>
      <c r="F343" s="41"/>
      <c r="G343" s="20"/>
      <c r="Q343" s="20"/>
      <c r="Y343" s="20" t="str">
        <f t="shared" si="1"/>
        <v/>
      </c>
    </row>
    <row r="344">
      <c r="B344" s="20"/>
      <c r="D344" s="41"/>
      <c r="E344" s="20"/>
      <c r="F344" s="41"/>
      <c r="G344" s="20"/>
      <c r="Q344" s="20"/>
      <c r="Y344" s="20" t="str">
        <f t="shared" si="1"/>
        <v/>
      </c>
    </row>
    <row r="345">
      <c r="B345" s="20"/>
      <c r="D345" s="41"/>
      <c r="E345" s="20"/>
      <c r="F345" s="41"/>
      <c r="G345" s="20"/>
      <c r="Q345" s="20"/>
      <c r="Y345" s="20" t="str">
        <f t="shared" si="1"/>
        <v/>
      </c>
    </row>
    <row r="346">
      <c r="B346" s="20"/>
      <c r="D346" s="41"/>
      <c r="E346" s="20"/>
      <c r="F346" s="41"/>
      <c r="G346" s="20"/>
      <c r="Q346" s="20"/>
      <c r="Y346" s="20" t="str">
        <f t="shared" si="1"/>
        <v/>
      </c>
    </row>
    <row r="347">
      <c r="B347" s="20"/>
      <c r="D347" s="41"/>
      <c r="E347" s="20"/>
      <c r="F347" s="41"/>
      <c r="G347" s="20"/>
      <c r="Q347" s="20"/>
      <c r="Y347" s="20" t="str">
        <f t="shared" si="1"/>
        <v/>
      </c>
    </row>
    <row r="348">
      <c r="B348" s="20"/>
      <c r="D348" s="41"/>
      <c r="E348" s="20"/>
      <c r="F348" s="41"/>
      <c r="G348" s="20"/>
      <c r="Q348" s="20"/>
      <c r="Y348" s="20" t="str">
        <f t="shared" si="1"/>
        <v/>
      </c>
    </row>
    <row r="349">
      <c r="B349" s="20"/>
      <c r="D349" s="41"/>
      <c r="E349" s="20"/>
      <c r="F349" s="41"/>
      <c r="G349" s="20"/>
      <c r="Q349" s="20"/>
      <c r="Y349" s="20" t="str">
        <f t="shared" si="1"/>
        <v/>
      </c>
    </row>
    <row r="350">
      <c r="B350" s="20"/>
      <c r="D350" s="41"/>
      <c r="E350" s="20"/>
      <c r="F350" s="41"/>
      <c r="G350" s="20"/>
      <c r="Q350" s="20"/>
      <c r="Y350" s="20" t="str">
        <f t="shared" si="1"/>
        <v/>
      </c>
    </row>
    <row r="351">
      <c r="B351" s="20"/>
      <c r="D351" s="41"/>
      <c r="E351" s="20"/>
      <c r="F351" s="41"/>
      <c r="G351" s="20"/>
      <c r="Q351" s="20"/>
      <c r="Y351" s="20" t="str">
        <f t="shared" si="1"/>
        <v/>
      </c>
    </row>
    <row r="352">
      <c r="B352" s="20"/>
      <c r="D352" s="41"/>
      <c r="E352" s="20"/>
      <c r="F352" s="41"/>
      <c r="G352" s="20"/>
      <c r="Q352" s="20"/>
      <c r="Y352" s="20" t="str">
        <f t="shared" si="1"/>
        <v/>
      </c>
    </row>
    <row r="353">
      <c r="B353" s="20"/>
      <c r="D353" s="41"/>
      <c r="E353" s="20"/>
      <c r="F353" s="41"/>
      <c r="G353" s="20"/>
      <c r="Q353" s="20"/>
      <c r="Y353" s="20" t="str">
        <f t="shared" si="1"/>
        <v/>
      </c>
    </row>
    <row r="354">
      <c r="B354" s="20"/>
      <c r="D354" s="41"/>
      <c r="E354" s="20"/>
      <c r="F354" s="41"/>
      <c r="G354" s="20"/>
      <c r="Q354" s="20"/>
      <c r="Y354" s="20" t="str">
        <f t="shared" si="1"/>
        <v/>
      </c>
    </row>
    <row r="355">
      <c r="B355" s="20"/>
      <c r="D355" s="41"/>
      <c r="E355" s="20"/>
      <c r="F355" s="41"/>
      <c r="G355" s="20"/>
      <c r="Q355" s="20"/>
      <c r="Y355" s="20" t="str">
        <f t="shared" si="1"/>
        <v/>
      </c>
    </row>
    <row r="356">
      <c r="B356" s="20"/>
      <c r="D356" s="41"/>
      <c r="E356" s="20"/>
      <c r="F356" s="41"/>
      <c r="G356" s="20"/>
      <c r="Q356" s="20"/>
      <c r="Y356" s="20" t="str">
        <f t="shared" si="1"/>
        <v/>
      </c>
    </row>
    <row r="357">
      <c r="B357" s="20"/>
      <c r="D357" s="41"/>
      <c r="E357" s="20"/>
      <c r="F357" s="41"/>
      <c r="G357" s="20"/>
      <c r="Q357" s="20"/>
      <c r="Y357" s="20" t="str">
        <f t="shared" si="1"/>
        <v/>
      </c>
    </row>
    <row r="358">
      <c r="B358" s="20"/>
      <c r="D358" s="41"/>
      <c r="E358" s="20"/>
      <c r="F358" s="41"/>
      <c r="G358" s="20"/>
      <c r="Q358" s="20"/>
      <c r="Y358" s="20" t="str">
        <f t="shared" si="1"/>
        <v/>
      </c>
    </row>
    <row r="359">
      <c r="B359" s="20"/>
      <c r="D359" s="41"/>
      <c r="E359" s="20"/>
      <c r="F359" s="41"/>
      <c r="G359" s="20"/>
      <c r="Q359" s="20"/>
      <c r="Y359" s="20" t="str">
        <f t="shared" si="1"/>
        <v/>
      </c>
    </row>
    <row r="360">
      <c r="B360" s="20"/>
      <c r="D360" s="41"/>
      <c r="E360" s="20"/>
      <c r="F360" s="41"/>
      <c r="G360" s="20"/>
      <c r="Q360" s="20"/>
      <c r="Y360" s="20" t="str">
        <f t="shared" si="1"/>
        <v/>
      </c>
    </row>
    <row r="361">
      <c r="B361" s="20"/>
      <c r="D361" s="41"/>
      <c r="E361" s="20"/>
      <c r="F361" s="41"/>
      <c r="G361" s="20"/>
      <c r="Q361" s="20"/>
      <c r="Y361" s="20" t="str">
        <f t="shared" si="1"/>
        <v/>
      </c>
    </row>
    <row r="362">
      <c r="B362" s="20"/>
      <c r="D362" s="41"/>
      <c r="E362" s="20"/>
      <c r="F362" s="41"/>
      <c r="G362" s="20"/>
      <c r="Q362" s="20"/>
      <c r="Y362" s="20" t="str">
        <f t="shared" si="1"/>
        <v/>
      </c>
    </row>
    <row r="363">
      <c r="B363" s="20"/>
      <c r="D363" s="41"/>
      <c r="E363" s="20"/>
      <c r="F363" s="41"/>
      <c r="G363" s="20"/>
      <c r="Q363" s="20"/>
      <c r="Y363" s="20" t="str">
        <f t="shared" si="1"/>
        <v/>
      </c>
    </row>
    <row r="364">
      <c r="B364" s="20"/>
      <c r="D364" s="41"/>
      <c r="E364" s="20"/>
      <c r="F364" s="41"/>
      <c r="G364" s="20"/>
      <c r="Q364" s="20"/>
      <c r="Y364" s="20" t="str">
        <f t="shared" si="1"/>
        <v/>
      </c>
    </row>
    <row r="365">
      <c r="B365" s="20"/>
      <c r="D365" s="41"/>
      <c r="E365" s="20"/>
      <c r="F365" s="41"/>
      <c r="G365" s="20"/>
      <c r="Q365" s="20"/>
      <c r="Y365" s="20" t="str">
        <f t="shared" si="1"/>
        <v/>
      </c>
    </row>
    <row r="366">
      <c r="B366" s="20"/>
      <c r="D366" s="41"/>
      <c r="E366" s="20"/>
      <c r="F366" s="41"/>
      <c r="G366" s="20"/>
      <c r="Q366" s="20"/>
      <c r="Y366" s="20" t="str">
        <f t="shared" si="1"/>
        <v/>
      </c>
    </row>
    <row r="367">
      <c r="B367" s="20"/>
      <c r="D367" s="41"/>
      <c r="E367" s="20"/>
      <c r="F367" s="41"/>
      <c r="G367" s="20"/>
      <c r="Q367" s="20"/>
      <c r="Y367" s="20" t="str">
        <f t="shared" si="1"/>
        <v/>
      </c>
    </row>
    <row r="368">
      <c r="B368" s="20"/>
      <c r="D368" s="41"/>
      <c r="E368" s="20"/>
      <c r="F368" s="41"/>
      <c r="G368" s="20"/>
      <c r="Q368" s="20"/>
      <c r="Y368" s="20" t="str">
        <f t="shared" si="1"/>
        <v/>
      </c>
    </row>
    <row r="369">
      <c r="B369" s="20"/>
      <c r="D369" s="41"/>
      <c r="E369" s="20"/>
      <c r="F369" s="41"/>
      <c r="G369" s="20"/>
      <c r="Q369" s="20"/>
      <c r="Y369" s="20" t="str">
        <f t="shared" si="1"/>
        <v/>
      </c>
    </row>
    <row r="370">
      <c r="B370" s="20"/>
      <c r="D370" s="41"/>
      <c r="E370" s="20"/>
      <c r="F370" s="41"/>
      <c r="G370" s="20"/>
      <c r="Q370" s="20"/>
      <c r="Y370" s="20" t="str">
        <f t="shared" si="1"/>
        <v/>
      </c>
    </row>
    <row r="371">
      <c r="B371" s="20"/>
      <c r="D371" s="41"/>
      <c r="E371" s="20"/>
      <c r="F371" s="41"/>
      <c r="G371" s="20"/>
      <c r="Q371" s="20"/>
      <c r="Y371" s="20" t="str">
        <f t="shared" si="1"/>
        <v/>
      </c>
    </row>
    <row r="372">
      <c r="B372" s="20"/>
      <c r="D372" s="41"/>
      <c r="E372" s="20"/>
      <c r="F372" s="41"/>
      <c r="G372" s="20"/>
      <c r="Q372" s="20"/>
      <c r="Y372" s="20" t="str">
        <f t="shared" si="1"/>
        <v/>
      </c>
    </row>
    <row r="373">
      <c r="B373" s="20"/>
      <c r="D373" s="41"/>
      <c r="E373" s="20"/>
      <c r="F373" s="41"/>
      <c r="G373" s="20"/>
      <c r="Q373" s="20"/>
      <c r="Y373" s="20" t="str">
        <f t="shared" si="1"/>
        <v/>
      </c>
    </row>
    <row r="374">
      <c r="B374" s="20"/>
      <c r="D374" s="41"/>
      <c r="E374" s="20"/>
      <c r="F374" s="41"/>
      <c r="G374" s="20"/>
      <c r="Q374" s="20"/>
      <c r="Y374" s="20" t="str">
        <f t="shared" si="1"/>
        <v/>
      </c>
    </row>
    <row r="375">
      <c r="B375" s="20"/>
      <c r="D375" s="41"/>
      <c r="E375" s="20"/>
      <c r="F375" s="41"/>
      <c r="G375" s="20"/>
      <c r="Q375" s="20"/>
      <c r="Y375" s="20" t="str">
        <f t="shared" si="1"/>
        <v/>
      </c>
    </row>
    <row r="376">
      <c r="B376" s="20"/>
      <c r="D376" s="41"/>
      <c r="E376" s="20"/>
      <c r="F376" s="41"/>
      <c r="G376" s="20"/>
      <c r="Q376" s="20"/>
      <c r="Y376" s="20" t="str">
        <f t="shared" si="1"/>
        <v/>
      </c>
    </row>
    <row r="377">
      <c r="B377" s="20"/>
      <c r="D377" s="41"/>
      <c r="E377" s="20"/>
      <c r="F377" s="41"/>
      <c r="G377" s="20"/>
      <c r="Q377" s="20"/>
      <c r="Y377" s="20" t="str">
        <f t="shared" si="1"/>
        <v/>
      </c>
    </row>
    <row r="378">
      <c r="B378" s="20"/>
      <c r="D378" s="41"/>
      <c r="E378" s="20"/>
      <c r="F378" s="41"/>
      <c r="G378" s="20"/>
      <c r="Q378" s="20"/>
      <c r="Y378" s="20" t="str">
        <f t="shared" si="1"/>
        <v/>
      </c>
    </row>
    <row r="379">
      <c r="B379" s="20"/>
      <c r="D379" s="41"/>
      <c r="E379" s="20"/>
      <c r="F379" s="41"/>
      <c r="G379" s="20"/>
      <c r="Q379" s="20"/>
      <c r="Y379" s="20" t="str">
        <f t="shared" si="1"/>
        <v/>
      </c>
    </row>
    <row r="380">
      <c r="B380" s="20"/>
      <c r="D380" s="41"/>
      <c r="E380" s="20"/>
      <c r="F380" s="41"/>
      <c r="G380" s="20"/>
      <c r="Q380" s="20"/>
      <c r="Y380" s="20" t="str">
        <f t="shared" si="1"/>
        <v/>
      </c>
    </row>
    <row r="381">
      <c r="B381" s="20"/>
      <c r="D381" s="41"/>
      <c r="E381" s="20"/>
      <c r="F381" s="41"/>
      <c r="G381" s="20"/>
      <c r="Q381" s="20"/>
      <c r="Y381" s="20" t="str">
        <f t="shared" si="1"/>
        <v/>
      </c>
    </row>
    <row r="382">
      <c r="B382" s="20"/>
      <c r="D382" s="41"/>
      <c r="E382" s="20"/>
      <c r="F382" s="41"/>
      <c r="G382" s="20"/>
      <c r="Q382" s="20"/>
      <c r="Y382" s="20" t="str">
        <f t="shared" si="1"/>
        <v/>
      </c>
    </row>
    <row r="383">
      <c r="B383" s="20"/>
      <c r="D383" s="41"/>
      <c r="E383" s="20"/>
      <c r="F383" s="41"/>
      <c r="G383" s="20"/>
      <c r="Q383" s="20"/>
      <c r="Y383" s="20" t="str">
        <f t="shared" si="1"/>
        <v/>
      </c>
    </row>
    <row r="384">
      <c r="B384" s="20"/>
      <c r="D384" s="41"/>
      <c r="E384" s="20"/>
      <c r="F384" s="41"/>
      <c r="G384" s="20"/>
      <c r="Q384" s="20"/>
      <c r="Y384" s="20" t="str">
        <f t="shared" si="1"/>
        <v/>
      </c>
    </row>
    <row r="385">
      <c r="B385" s="20"/>
      <c r="D385" s="41"/>
      <c r="E385" s="20"/>
      <c r="F385" s="41"/>
      <c r="G385" s="20"/>
      <c r="Q385" s="20"/>
      <c r="Y385" s="20" t="str">
        <f t="shared" si="1"/>
        <v/>
      </c>
    </row>
    <row r="386">
      <c r="B386" s="20"/>
      <c r="D386" s="41"/>
      <c r="E386" s="20"/>
      <c r="F386" s="41"/>
      <c r="G386" s="20"/>
      <c r="Q386" s="20"/>
      <c r="Y386" s="20" t="str">
        <f t="shared" si="1"/>
        <v/>
      </c>
    </row>
    <row r="387">
      <c r="B387" s="20"/>
      <c r="D387" s="41"/>
      <c r="E387" s="20"/>
      <c r="F387" s="41"/>
      <c r="G387" s="20"/>
      <c r="Q387" s="20"/>
      <c r="Y387" s="20" t="str">
        <f t="shared" si="1"/>
        <v/>
      </c>
    </row>
    <row r="388">
      <c r="B388" s="20"/>
      <c r="D388" s="41"/>
      <c r="E388" s="20"/>
      <c r="F388" s="41"/>
      <c r="G388" s="20"/>
      <c r="Q388" s="20"/>
      <c r="Y388" s="20" t="str">
        <f t="shared" si="1"/>
        <v/>
      </c>
    </row>
    <row r="389">
      <c r="B389" s="20"/>
      <c r="D389" s="41"/>
      <c r="E389" s="20"/>
      <c r="F389" s="41"/>
      <c r="G389" s="20"/>
      <c r="Q389" s="20"/>
      <c r="Y389" s="20" t="str">
        <f t="shared" si="1"/>
        <v/>
      </c>
    </row>
    <row r="390">
      <c r="B390" s="20"/>
      <c r="D390" s="41"/>
      <c r="E390" s="20"/>
      <c r="F390" s="41"/>
      <c r="G390" s="20"/>
      <c r="Q390" s="20"/>
      <c r="Y390" s="20" t="str">
        <f t="shared" si="1"/>
        <v/>
      </c>
    </row>
    <row r="391">
      <c r="B391" s="20"/>
      <c r="D391" s="41"/>
      <c r="E391" s="20"/>
      <c r="F391" s="41"/>
      <c r="G391" s="20"/>
      <c r="Q391" s="20"/>
      <c r="Y391" s="20" t="str">
        <f t="shared" si="1"/>
        <v/>
      </c>
    </row>
    <row r="392">
      <c r="B392" s="20"/>
      <c r="D392" s="41"/>
      <c r="E392" s="20"/>
      <c r="F392" s="41"/>
      <c r="G392" s="20"/>
      <c r="Q392" s="20"/>
      <c r="Y392" s="20" t="str">
        <f t="shared" si="1"/>
        <v/>
      </c>
    </row>
    <row r="393">
      <c r="B393" s="20"/>
      <c r="D393" s="41"/>
      <c r="E393" s="20"/>
      <c r="F393" s="41"/>
      <c r="G393" s="20"/>
      <c r="Q393" s="20"/>
      <c r="Y393" s="20" t="str">
        <f t="shared" si="1"/>
        <v/>
      </c>
    </row>
    <row r="394">
      <c r="B394" s="20"/>
      <c r="D394" s="41"/>
      <c r="E394" s="20"/>
      <c r="F394" s="41"/>
      <c r="G394" s="20"/>
      <c r="Q394" s="20"/>
      <c r="Y394" s="20" t="str">
        <f t="shared" si="1"/>
        <v/>
      </c>
    </row>
    <row r="395">
      <c r="B395" s="20"/>
      <c r="D395" s="41"/>
      <c r="E395" s="20"/>
      <c r="F395" s="41"/>
      <c r="G395" s="20"/>
      <c r="Q395" s="20"/>
      <c r="Y395" s="20" t="str">
        <f t="shared" si="1"/>
        <v/>
      </c>
    </row>
    <row r="396">
      <c r="B396" s="20"/>
      <c r="D396" s="41"/>
      <c r="E396" s="20"/>
      <c r="F396" s="41"/>
      <c r="G396" s="20"/>
      <c r="Q396" s="20"/>
      <c r="Y396" s="20" t="str">
        <f t="shared" si="1"/>
        <v/>
      </c>
    </row>
    <row r="397">
      <c r="B397" s="20"/>
      <c r="D397" s="41"/>
      <c r="E397" s="20"/>
      <c r="F397" s="41"/>
      <c r="G397" s="20"/>
      <c r="Q397" s="20"/>
      <c r="Y397" s="20" t="str">
        <f t="shared" si="1"/>
        <v/>
      </c>
    </row>
    <row r="398">
      <c r="B398" s="20"/>
      <c r="D398" s="41"/>
      <c r="E398" s="20"/>
      <c r="F398" s="41"/>
      <c r="G398" s="20"/>
      <c r="Q398" s="20"/>
      <c r="Y398" s="20" t="str">
        <f t="shared" si="1"/>
        <v/>
      </c>
    </row>
    <row r="399">
      <c r="B399" s="20"/>
      <c r="D399" s="41"/>
      <c r="E399" s="20"/>
      <c r="F399" s="41"/>
      <c r="G399" s="20"/>
      <c r="Q399" s="20"/>
      <c r="Y399" s="20" t="str">
        <f t="shared" si="1"/>
        <v/>
      </c>
    </row>
    <row r="400">
      <c r="B400" s="20"/>
      <c r="D400" s="41"/>
      <c r="E400" s="20"/>
      <c r="F400" s="41"/>
      <c r="G400" s="20"/>
      <c r="Q400" s="20"/>
      <c r="Y400" s="20" t="str">
        <f t="shared" si="1"/>
        <v/>
      </c>
    </row>
    <row r="401">
      <c r="B401" s="20"/>
      <c r="D401" s="41"/>
      <c r="E401" s="20"/>
      <c r="F401" s="41"/>
      <c r="G401" s="20"/>
      <c r="Q401" s="20"/>
      <c r="Y401" s="20" t="str">
        <f t="shared" si="1"/>
        <v/>
      </c>
    </row>
    <row r="402">
      <c r="B402" s="20"/>
      <c r="D402" s="41"/>
      <c r="E402" s="20"/>
      <c r="F402" s="41"/>
      <c r="G402" s="20"/>
      <c r="Q402" s="20"/>
      <c r="Y402" s="20" t="str">
        <f t="shared" si="1"/>
        <v/>
      </c>
    </row>
    <row r="403">
      <c r="B403" s="20"/>
      <c r="D403" s="41"/>
      <c r="E403" s="20"/>
      <c r="F403" s="41"/>
      <c r="G403" s="20"/>
      <c r="Q403" s="20"/>
      <c r="Y403" s="20" t="str">
        <f t="shared" si="1"/>
        <v/>
      </c>
    </row>
    <row r="404">
      <c r="B404" s="20"/>
      <c r="D404" s="41"/>
      <c r="E404" s="20"/>
      <c r="F404" s="41"/>
      <c r="G404" s="20"/>
      <c r="Q404" s="20"/>
      <c r="Y404" s="20" t="str">
        <f t="shared" si="1"/>
        <v/>
      </c>
    </row>
    <row r="405">
      <c r="B405" s="20"/>
      <c r="D405" s="41"/>
      <c r="E405" s="20"/>
      <c r="F405" s="41"/>
      <c r="G405" s="20"/>
      <c r="Q405" s="20"/>
      <c r="Y405" s="20" t="str">
        <f t="shared" si="1"/>
        <v/>
      </c>
    </row>
    <row r="406">
      <c r="B406" s="20"/>
      <c r="D406" s="41"/>
      <c r="E406" s="20"/>
      <c r="F406" s="41"/>
      <c r="G406" s="20"/>
      <c r="Q406" s="20"/>
      <c r="Y406" s="20" t="str">
        <f t="shared" si="1"/>
        <v/>
      </c>
    </row>
    <row r="407">
      <c r="B407" s="20"/>
      <c r="D407" s="41"/>
      <c r="E407" s="20"/>
      <c r="F407" s="41"/>
      <c r="G407" s="20"/>
      <c r="Q407" s="20"/>
      <c r="Y407" s="20" t="str">
        <f t="shared" si="1"/>
        <v/>
      </c>
    </row>
    <row r="408">
      <c r="B408" s="20"/>
      <c r="D408" s="41"/>
      <c r="E408" s="20"/>
      <c r="F408" s="41"/>
      <c r="G408" s="20"/>
      <c r="Q408" s="20"/>
      <c r="Y408" s="20" t="str">
        <f t="shared" si="1"/>
        <v/>
      </c>
    </row>
    <row r="409">
      <c r="B409" s="20"/>
      <c r="D409" s="41"/>
      <c r="E409" s="20"/>
      <c r="F409" s="41"/>
      <c r="G409" s="20"/>
      <c r="Q409" s="20"/>
      <c r="Y409" s="20" t="str">
        <f t="shared" si="1"/>
        <v/>
      </c>
    </row>
    <row r="410">
      <c r="B410" s="20"/>
      <c r="D410" s="41"/>
      <c r="E410" s="20"/>
      <c r="F410" s="41"/>
      <c r="G410" s="20"/>
      <c r="Q410" s="20"/>
      <c r="Y410" s="20" t="str">
        <f t="shared" si="1"/>
        <v/>
      </c>
    </row>
    <row r="411">
      <c r="B411" s="20"/>
      <c r="D411" s="41"/>
      <c r="E411" s="20"/>
      <c r="F411" s="41"/>
      <c r="G411" s="20"/>
      <c r="Q411" s="20"/>
      <c r="Y411" s="20" t="str">
        <f t="shared" si="1"/>
        <v/>
      </c>
    </row>
    <row r="412">
      <c r="B412" s="20"/>
      <c r="D412" s="41"/>
      <c r="E412" s="20"/>
      <c r="F412" s="41"/>
      <c r="G412" s="20"/>
      <c r="Q412" s="20"/>
      <c r="Y412" s="20" t="str">
        <f t="shared" si="1"/>
        <v/>
      </c>
    </row>
    <row r="413">
      <c r="B413" s="20"/>
      <c r="D413" s="41"/>
      <c r="E413" s="20"/>
      <c r="F413" s="41"/>
      <c r="G413" s="20"/>
      <c r="Q413" s="20"/>
      <c r="Y413" s="20" t="str">
        <f t="shared" si="1"/>
        <v/>
      </c>
    </row>
    <row r="414">
      <c r="B414" s="20"/>
      <c r="D414" s="41"/>
      <c r="E414" s="20"/>
      <c r="F414" s="41"/>
      <c r="G414" s="20"/>
      <c r="Q414" s="20"/>
      <c r="Y414" s="20" t="str">
        <f t="shared" si="1"/>
        <v/>
      </c>
    </row>
    <row r="415">
      <c r="B415" s="20"/>
      <c r="D415" s="41"/>
      <c r="E415" s="20"/>
      <c r="F415" s="41"/>
      <c r="G415" s="20"/>
      <c r="Q415" s="20"/>
      <c r="Y415" s="20" t="str">
        <f t="shared" si="1"/>
        <v/>
      </c>
    </row>
    <row r="416">
      <c r="B416" s="20"/>
      <c r="D416" s="41"/>
      <c r="E416" s="20"/>
      <c r="F416" s="41"/>
      <c r="G416" s="20"/>
      <c r="Q416" s="20"/>
      <c r="Y416" s="20" t="str">
        <f t="shared" si="1"/>
        <v/>
      </c>
    </row>
    <row r="417">
      <c r="B417" s="20"/>
      <c r="D417" s="41"/>
      <c r="E417" s="20"/>
      <c r="F417" s="41"/>
      <c r="G417" s="20"/>
      <c r="Q417" s="20"/>
      <c r="Y417" s="20" t="str">
        <f t="shared" si="1"/>
        <v/>
      </c>
    </row>
    <row r="418">
      <c r="B418" s="20"/>
      <c r="D418" s="41"/>
      <c r="E418" s="20"/>
      <c r="F418" s="41"/>
      <c r="G418" s="20"/>
      <c r="Q418" s="20"/>
      <c r="Y418" s="20" t="str">
        <f t="shared" si="1"/>
        <v/>
      </c>
    </row>
    <row r="419">
      <c r="B419" s="20"/>
      <c r="D419" s="41"/>
      <c r="E419" s="20"/>
      <c r="F419" s="41"/>
      <c r="G419" s="20"/>
      <c r="Q419" s="20"/>
      <c r="Y419" s="20" t="str">
        <f t="shared" si="1"/>
        <v/>
      </c>
    </row>
    <row r="420">
      <c r="B420" s="20"/>
      <c r="D420" s="41"/>
      <c r="E420" s="20"/>
      <c r="F420" s="41"/>
      <c r="G420" s="20"/>
      <c r="Q420" s="20"/>
      <c r="Y420" s="20" t="str">
        <f t="shared" si="1"/>
        <v/>
      </c>
    </row>
    <row r="421">
      <c r="B421" s="20"/>
      <c r="D421" s="41"/>
      <c r="E421" s="20"/>
      <c r="F421" s="41"/>
      <c r="G421" s="20"/>
      <c r="Q421" s="20"/>
      <c r="Y421" s="20" t="str">
        <f t="shared" si="1"/>
        <v/>
      </c>
    </row>
    <row r="422">
      <c r="B422" s="20"/>
      <c r="D422" s="41"/>
      <c r="E422" s="20"/>
      <c r="F422" s="41"/>
      <c r="G422" s="20"/>
      <c r="Q422" s="20"/>
      <c r="Y422" s="20" t="str">
        <f t="shared" si="1"/>
        <v/>
      </c>
    </row>
    <row r="423">
      <c r="B423" s="20"/>
      <c r="D423" s="41"/>
      <c r="E423" s="20"/>
      <c r="F423" s="41"/>
      <c r="G423" s="20"/>
      <c r="Q423" s="20"/>
      <c r="Y423" s="20" t="str">
        <f t="shared" si="1"/>
        <v/>
      </c>
    </row>
    <row r="424">
      <c r="B424" s="20"/>
      <c r="D424" s="41"/>
      <c r="E424" s="20"/>
      <c r="F424" s="41"/>
      <c r="G424" s="20"/>
      <c r="Q424" s="20"/>
      <c r="Y424" s="20" t="str">
        <f t="shared" si="1"/>
        <v/>
      </c>
    </row>
    <row r="425">
      <c r="B425" s="20"/>
      <c r="D425" s="41"/>
      <c r="E425" s="20"/>
      <c r="F425" s="41"/>
      <c r="G425" s="20"/>
      <c r="Q425" s="20"/>
      <c r="Y425" s="20" t="str">
        <f t="shared" si="1"/>
        <v/>
      </c>
    </row>
    <row r="426">
      <c r="B426" s="20"/>
      <c r="D426" s="41"/>
      <c r="E426" s="20"/>
      <c r="F426" s="41"/>
      <c r="G426" s="20"/>
      <c r="Q426" s="20"/>
      <c r="Y426" s="20" t="str">
        <f t="shared" si="1"/>
        <v/>
      </c>
    </row>
    <row r="427">
      <c r="B427" s="20"/>
      <c r="D427" s="41"/>
      <c r="E427" s="20"/>
      <c r="F427" s="41"/>
      <c r="G427" s="20"/>
      <c r="Q427" s="20"/>
      <c r="Y427" s="20" t="str">
        <f t="shared" si="1"/>
        <v/>
      </c>
    </row>
    <row r="428">
      <c r="B428" s="20"/>
      <c r="D428" s="41"/>
      <c r="E428" s="20"/>
      <c r="F428" s="41"/>
      <c r="G428" s="20"/>
      <c r="Q428" s="20"/>
      <c r="Y428" s="20" t="str">
        <f t="shared" si="1"/>
        <v/>
      </c>
    </row>
    <row r="429">
      <c r="B429" s="20"/>
      <c r="D429" s="41"/>
      <c r="E429" s="20"/>
      <c r="F429" s="41"/>
      <c r="G429" s="20"/>
      <c r="Q429" s="20"/>
      <c r="Y429" s="20" t="str">
        <f t="shared" si="1"/>
        <v/>
      </c>
    </row>
    <row r="430">
      <c r="B430" s="20"/>
      <c r="D430" s="41"/>
      <c r="E430" s="20"/>
      <c r="F430" s="41"/>
      <c r="G430" s="20"/>
      <c r="Q430" s="20"/>
      <c r="Y430" s="20" t="str">
        <f t="shared" si="1"/>
        <v/>
      </c>
    </row>
    <row r="431">
      <c r="B431" s="20"/>
      <c r="D431" s="41"/>
      <c r="E431" s="20"/>
      <c r="F431" s="41"/>
      <c r="G431" s="20"/>
      <c r="Q431" s="20"/>
      <c r="Y431" s="20" t="str">
        <f t="shared" si="1"/>
        <v/>
      </c>
    </row>
    <row r="432">
      <c r="B432" s="20"/>
      <c r="D432" s="41"/>
      <c r="E432" s="20"/>
      <c r="F432" s="41"/>
      <c r="G432" s="20"/>
      <c r="Q432" s="20"/>
      <c r="Y432" s="20" t="str">
        <f t="shared" si="1"/>
        <v/>
      </c>
    </row>
    <row r="433">
      <c r="B433" s="20"/>
      <c r="D433" s="41"/>
      <c r="E433" s="20"/>
      <c r="F433" s="41"/>
      <c r="G433" s="20"/>
      <c r="Q433" s="20"/>
      <c r="Y433" s="20" t="str">
        <f t="shared" si="1"/>
        <v/>
      </c>
    </row>
    <row r="434">
      <c r="B434" s="20"/>
      <c r="D434" s="41"/>
      <c r="E434" s="20"/>
      <c r="F434" s="41"/>
      <c r="G434" s="20"/>
      <c r="Q434" s="20"/>
      <c r="Y434" s="20" t="str">
        <f t="shared" si="1"/>
        <v/>
      </c>
    </row>
    <row r="435">
      <c r="B435" s="20"/>
      <c r="D435" s="41"/>
      <c r="E435" s="20"/>
      <c r="F435" s="41"/>
      <c r="G435" s="20"/>
      <c r="Q435" s="20"/>
      <c r="Y435" s="20" t="str">
        <f t="shared" si="1"/>
        <v/>
      </c>
    </row>
    <row r="436">
      <c r="B436" s="20"/>
      <c r="D436" s="41"/>
      <c r="E436" s="20"/>
      <c r="F436" s="41"/>
      <c r="G436" s="20"/>
      <c r="Q436" s="20"/>
      <c r="Y436" s="20" t="str">
        <f t="shared" si="1"/>
        <v/>
      </c>
    </row>
    <row r="437">
      <c r="B437" s="20"/>
      <c r="D437" s="41"/>
      <c r="E437" s="20"/>
      <c r="F437" s="41"/>
      <c r="G437" s="20"/>
      <c r="Q437" s="20"/>
      <c r="Y437" s="20" t="str">
        <f t="shared" si="1"/>
        <v/>
      </c>
    </row>
    <row r="438">
      <c r="B438" s="20"/>
      <c r="D438" s="41"/>
      <c r="E438" s="20"/>
      <c r="F438" s="41"/>
      <c r="G438" s="20"/>
      <c r="Q438" s="20"/>
      <c r="Y438" s="20" t="str">
        <f t="shared" si="1"/>
        <v/>
      </c>
    </row>
    <row r="439">
      <c r="B439" s="20"/>
      <c r="D439" s="41"/>
      <c r="E439" s="20"/>
      <c r="F439" s="41"/>
      <c r="G439" s="20"/>
      <c r="Q439" s="20"/>
      <c r="Y439" s="20" t="str">
        <f t="shared" si="1"/>
        <v/>
      </c>
    </row>
    <row r="440">
      <c r="B440" s="20"/>
      <c r="D440" s="41"/>
      <c r="E440" s="20"/>
      <c r="F440" s="41"/>
      <c r="G440" s="20"/>
      <c r="Q440" s="20"/>
      <c r="Y440" s="20" t="str">
        <f t="shared" si="1"/>
        <v/>
      </c>
    </row>
    <row r="441">
      <c r="B441" s="20"/>
      <c r="D441" s="41"/>
      <c r="E441" s="20"/>
      <c r="F441" s="41"/>
      <c r="G441" s="20"/>
      <c r="Q441" s="20"/>
      <c r="Y441" s="20" t="str">
        <f t="shared" si="1"/>
        <v/>
      </c>
    </row>
    <row r="442">
      <c r="B442" s="20"/>
      <c r="D442" s="41"/>
      <c r="E442" s="20"/>
      <c r="F442" s="41"/>
      <c r="G442" s="20"/>
      <c r="Q442" s="20"/>
      <c r="Y442" s="20" t="str">
        <f t="shared" si="1"/>
        <v/>
      </c>
    </row>
    <row r="443">
      <c r="B443" s="20"/>
      <c r="D443" s="41"/>
      <c r="E443" s="20"/>
      <c r="F443" s="41"/>
      <c r="G443" s="20"/>
      <c r="Q443" s="20"/>
      <c r="Y443" s="20" t="str">
        <f t="shared" si="1"/>
        <v/>
      </c>
    </row>
    <row r="444">
      <c r="B444" s="20"/>
      <c r="D444" s="41"/>
      <c r="E444" s="20"/>
      <c r="F444" s="41"/>
      <c r="G444" s="20"/>
      <c r="Q444" s="20"/>
      <c r="Y444" s="20" t="str">
        <f t="shared" si="1"/>
        <v/>
      </c>
    </row>
    <row r="445">
      <c r="B445" s="20"/>
      <c r="D445" s="41"/>
      <c r="E445" s="20"/>
      <c r="F445" s="41"/>
      <c r="G445" s="20"/>
      <c r="Q445" s="20"/>
      <c r="Y445" s="20" t="str">
        <f t="shared" si="1"/>
        <v/>
      </c>
    </row>
    <row r="446">
      <c r="B446" s="20"/>
      <c r="D446" s="41"/>
      <c r="E446" s="20"/>
      <c r="F446" s="41"/>
      <c r="G446" s="20"/>
      <c r="Q446" s="20"/>
      <c r="Y446" s="20" t="str">
        <f t="shared" si="1"/>
        <v/>
      </c>
    </row>
    <row r="447">
      <c r="B447" s="20"/>
      <c r="D447" s="41"/>
      <c r="E447" s="20"/>
      <c r="F447" s="41"/>
      <c r="G447" s="20"/>
      <c r="Q447" s="20"/>
      <c r="Y447" s="20" t="str">
        <f t="shared" si="1"/>
        <v/>
      </c>
    </row>
    <row r="448">
      <c r="B448" s="20"/>
      <c r="D448" s="41"/>
      <c r="E448" s="20"/>
      <c r="F448" s="41"/>
      <c r="G448" s="20"/>
      <c r="Q448" s="20"/>
      <c r="Y448" s="20" t="str">
        <f t="shared" si="1"/>
        <v/>
      </c>
    </row>
    <row r="449">
      <c r="B449" s="20"/>
      <c r="D449" s="41"/>
      <c r="E449" s="20"/>
      <c r="F449" s="41"/>
      <c r="G449" s="20"/>
      <c r="Q449" s="20"/>
      <c r="Y449" s="20" t="str">
        <f t="shared" si="1"/>
        <v/>
      </c>
    </row>
    <row r="450">
      <c r="B450" s="20"/>
      <c r="D450" s="41"/>
      <c r="E450" s="20"/>
      <c r="F450" s="41"/>
      <c r="G450" s="20"/>
      <c r="Q450" s="20"/>
      <c r="Y450" s="20" t="str">
        <f t="shared" si="1"/>
        <v/>
      </c>
    </row>
    <row r="451">
      <c r="B451" s="20"/>
      <c r="D451" s="41"/>
      <c r="E451" s="20"/>
      <c r="F451" s="41"/>
      <c r="G451" s="20"/>
      <c r="Q451" s="20"/>
      <c r="Y451" s="20" t="str">
        <f t="shared" si="1"/>
        <v/>
      </c>
    </row>
    <row r="452">
      <c r="B452" s="20"/>
      <c r="D452" s="41"/>
      <c r="E452" s="20"/>
      <c r="F452" s="41"/>
      <c r="G452" s="20"/>
      <c r="Q452" s="20"/>
      <c r="Y452" s="20" t="str">
        <f t="shared" si="1"/>
        <v/>
      </c>
    </row>
    <row r="453">
      <c r="B453" s="20"/>
      <c r="D453" s="41"/>
      <c r="E453" s="20"/>
      <c r="F453" s="41"/>
      <c r="G453" s="20"/>
      <c r="Q453" s="20"/>
      <c r="Y453" s="20" t="str">
        <f t="shared" si="1"/>
        <v/>
      </c>
    </row>
    <row r="454">
      <c r="B454" s="20"/>
      <c r="D454" s="41"/>
      <c r="E454" s="20"/>
      <c r="F454" s="41"/>
      <c r="G454" s="20"/>
      <c r="Q454" s="20"/>
      <c r="Y454" s="20" t="str">
        <f t="shared" si="1"/>
        <v/>
      </c>
    </row>
    <row r="455">
      <c r="B455" s="20"/>
      <c r="D455" s="41"/>
      <c r="E455" s="20"/>
      <c r="F455" s="41"/>
      <c r="G455" s="20"/>
      <c r="Q455" s="20"/>
      <c r="Y455" s="20" t="str">
        <f t="shared" si="1"/>
        <v/>
      </c>
    </row>
    <row r="456">
      <c r="B456" s="20"/>
      <c r="D456" s="41"/>
      <c r="E456" s="20"/>
      <c r="F456" s="41"/>
      <c r="G456" s="20"/>
      <c r="Q456" s="20"/>
      <c r="Y456" s="20" t="str">
        <f t="shared" si="1"/>
        <v/>
      </c>
    </row>
    <row r="457">
      <c r="B457" s="20"/>
      <c r="D457" s="41"/>
      <c r="E457" s="20"/>
      <c r="F457" s="41"/>
      <c r="G457" s="20"/>
      <c r="Q457" s="20"/>
      <c r="Y457" s="20" t="str">
        <f t="shared" si="1"/>
        <v/>
      </c>
    </row>
    <row r="458">
      <c r="B458" s="20"/>
      <c r="D458" s="41"/>
      <c r="E458" s="20"/>
      <c r="F458" s="41"/>
      <c r="G458" s="20"/>
      <c r="Q458" s="20"/>
      <c r="Y458" s="20" t="str">
        <f t="shared" si="1"/>
        <v/>
      </c>
    </row>
    <row r="459">
      <c r="B459" s="20"/>
      <c r="D459" s="41"/>
      <c r="E459" s="20"/>
      <c r="F459" s="41"/>
      <c r="G459" s="20"/>
      <c r="Q459" s="20"/>
      <c r="Y459" s="20" t="str">
        <f t="shared" si="1"/>
        <v/>
      </c>
    </row>
    <row r="460">
      <c r="B460" s="20"/>
      <c r="D460" s="41"/>
      <c r="E460" s="20"/>
      <c r="F460" s="41"/>
      <c r="G460" s="20"/>
      <c r="Q460" s="20"/>
    </row>
    <row r="461">
      <c r="B461" s="20"/>
      <c r="D461" s="41"/>
      <c r="E461" s="20"/>
      <c r="F461" s="41"/>
      <c r="G461" s="20"/>
      <c r="Q461" s="20"/>
    </row>
    <row r="462">
      <c r="B462" s="20"/>
      <c r="D462" s="41"/>
      <c r="E462" s="20"/>
      <c r="F462" s="41"/>
      <c r="G462" s="20"/>
      <c r="Q462" s="20"/>
    </row>
    <row r="463">
      <c r="B463" s="20"/>
      <c r="D463" s="41"/>
      <c r="E463" s="20"/>
      <c r="F463" s="41"/>
      <c r="G463" s="20"/>
      <c r="Q463" s="20"/>
    </row>
    <row r="464">
      <c r="B464" s="20"/>
      <c r="D464" s="41"/>
      <c r="E464" s="20"/>
      <c r="F464" s="41"/>
      <c r="G464" s="20"/>
      <c r="Q464" s="20"/>
    </row>
    <row r="465">
      <c r="B465" s="20"/>
      <c r="D465" s="41"/>
      <c r="E465" s="20"/>
      <c r="F465" s="41"/>
      <c r="G465" s="20"/>
      <c r="Q465" s="20"/>
    </row>
    <row r="466">
      <c r="B466" s="20"/>
      <c r="D466" s="41"/>
      <c r="E466" s="20"/>
      <c r="F466" s="41"/>
      <c r="G466" s="20"/>
      <c r="Q466" s="20"/>
    </row>
    <row r="467">
      <c r="B467" s="20"/>
      <c r="D467" s="41"/>
      <c r="E467" s="20"/>
      <c r="F467" s="41"/>
      <c r="G467" s="20"/>
      <c r="Q467" s="20"/>
    </row>
    <row r="468">
      <c r="B468" s="20"/>
      <c r="D468" s="41"/>
      <c r="E468" s="20"/>
      <c r="F468" s="41"/>
      <c r="G468" s="20"/>
      <c r="Q468" s="20"/>
    </row>
    <row r="469">
      <c r="B469" s="20"/>
      <c r="D469" s="41"/>
      <c r="E469" s="20"/>
      <c r="F469" s="41"/>
      <c r="G469" s="20"/>
      <c r="Q469" s="20"/>
    </row>
    <row r="470">
      <c r="B470" s="20"/>
      <c r="D470" s="41"/>
      <c r="E470" s="20"/>
      <c r="F470" s="41"/>
      <c r="G470" s="20"/>
      <c r="Q470" s="20"/>
    </row>
    <row r="471">
      <c r="B471" s="20"/>
      <c r="D471" s="41"/>
      <c r="E471" s="20"/>
      <c r="F471" s="41"/>
      <c r="G471" s="20"/>
      <c r="Q471" s="20"/>
    </row>
    <row r="472">
      <c r="B472" s="20"/>
      <c r="D472" s="41"/>
      <c r="E472" s="20"/>
      <c r="F472" s="41"/>
      <c r="G472" s="20"/>
      <c r="Q472" s="20"/>
    </row>
    <row r="473">
      <c r="B473" s="20"/>
      <c r="D473" s="41"/>
      <c r="E473" s="20"/>
      <c r="F473" s="41"/>
      <c r="G473" s="20"/>
      <c r="Q473" s="20"/>
    </row>
    <row r="474">
      <c r="B474" s="20"/>
      <c r="D474" s="41"/>
      <c r="E474" s="20"/>
      <c r="F474" s="41"/>
      <c r="G474" s="20"/>
      <c r="Q474" s="20"/>
    </row>
    <row r="475">
      <c r="B475" s="20"/>
      <c r="D475" s="41"/>
      <c r="E475" s="20"/>
      <c r="F475" s="41"/>
      <c r="G475" s="20"/>
      <c r="Q475" s="20"/>
    </row>
    <row r="476">
      <c r="B476" s="20"/>
      <c r="D476" s="41"/>
      <c r="E476" s="20"/>
      <c r="F476" s="41"/>
      <c r="G476" s="20"/>
      <c r="Q476" s="20"/>
    </row>
    <row r="477">
      <c r="B477" s="20"/>
      <c r="D477" s="41"/>
      <c r="E477" s="20"/>
      <c r="F477" s="41"/>
      <c r="G477" s="20"/>
      <c r="Q477" s="20"/>
    </row>
    <row r="478">
      <c r="B478" s="20"/>
      <c r="D478" s="41"/>
      <c r="E478" s="20"/>
      <c r="F478" s="41"/>
      <c r="G478" s="20"/>
      <c r="Q478" s="20"/>
    </row>
    <row r="479">
      <c r="B479" s="20"/>
      <c r="D479" s="41"/>
      <c r="E479" s="20"/>
      <c r="F479" s="41"/>
      <c r="G479" s="20"/>
      <c r="Q479" s="20"/>
    </row>
    <row r="480">
      <c r="B480" s="20"/>
      <c r="D480" s="41"/>
      <c r="E480" s="20"/>
      <c r="F480" s="41"/>
      <c r="G480" s="20"/>
      <c r="Q480" s="20"/>
    </row>
    <row r="481">
      <c r="B481" s="20"/>
      <c r="D481" s="41"/>
      <c r="E481" s="20"/>
      <c r="F481" s="41"/>
      <c r="G481" s="20"/>
      <c r="Q481" s="20"/>
    </row>
    <row r="482">
      <c r="B482" s="20"/>
      <c r="D482" s="41"/>
      <c r="E482" s="20"/>
      <c r="F482" s="41"/>
      <c r="G482" s="20"/>
      <c r="Q482" s="20"/>
    </row>
    <row r="483">
      <c r="B483" s="20"/>
      <c r="D483" s="41"/>
      <c r="E483" s="20"/>
      <c r="F483" s="41"/>
      <c r="G483" s="20"/>
      <c r="Q483" s="20"/>
    </row>
    <row r="484">
      <c r="B484" s="20"/>
      <c r="D484" s="41"/>
      <c r="E484" s="20"/>
      <c r="F484" s="41"/>
      <c r="G484" s="20"/>
      <c r="Q484" s="20"/>
    </row>
    <row r="485">
      <c r="B485" s="20"/>
      <c r="D485" s="41"/>
      <c r="E485" s="20"/>
      <c r="F485" s="41"/>
      <c r="G485" s="20"/>
      <c r="Q485" s="20"/>
    </row>
    <row r="486">
      <c r="B486" s="20"/>
      <c r="D486" s="41"/>
      <c r="E486" s="20"/>
      <c r="F486" s="41"/>
      <c r="G486" s="20"/>
      <c r="Q486" s="20"/>
    </row>
    <row r="487">
      <c r="B487" s="20"/>
      <c r="D487" s="41"/>
      <c r="E487" s="20"/>
      <c r="F487" s="41"/>
      <c r="G487" s="20"/>
      <c r="Q487" s="20"/>
    </row>
    <row r="488">
      <c r="B488" s="20"/>
      <c r="D488" s="41"/>
      <c r="E488" s="20"/>
      <c r="F488" s="41"/>
      <c r="G488" s="20"/>
      <c r="Q488" s="20"/>
    </row>
    <row r="489">
      <c r="B489" s="20"/>
      <c r="D489" s="41"/>
      <c r="E489" s="20"/>
      <c r="F489" s="41"/>
      <c r="G489" s="20"/>
      <c r="Q489" s="20"/>
    </row>
    <row r="490">
      <c r="B490" s="20"/>
      <c r="D490" s="41"/>
      <c r="E490" s="20"/>
      <c r="F490" s="41"/>
      <c r="G490" s="20"/>
      <c r="Q490" s="20"/>
    </row>
    <row r="491">
      <c r="B491" s="20"/>
      <c r="D491" s="41"/>
      <c r="E491" s="20"/>
      <c r="F491" s="41"/>
      <c r="G491" s="20"/>
      <c r="Q491" s="20"/>
    </row>
    <row r="492">
      <c r="B492" s="20"/>
      <c r="D492" s="41"/>
      <c r="E492" s="20"/>
      <c r="F492" s="41"/>
      <c r="G492" s="20"/>
      <c r="Q492" s="20"/>
    </row>
    <row r="493">
      <c r="B493" s="20"/>
      <c r="D493" s="41"/>
      <c r="E493" s="20"/>
      <c r="F493" s="41"/>
      <c r="G493" s="20"/>
      <c r="Q493" s="20"/>
    </row>
    <row r="494">
      <c r="B494" s="20"/>
      <c r="D494" s="41"/>
      <c r="E494" s="20"/>
      <c r="F494" s="41"/>
      <c r="G494" s="20"/>
      <c r="Q494" s="20"/>
    </row>
    <row r="495">
      <c r="B495" s="20"/>
      <c r="D495" s="41"/>
      <c r="E495" s="20"/>
      <c r="F495" s="41"/>
      <c r="G495" s="20"/>
      <c r="Q495" s="20"/>
    </row>
    <row r="496">
      <c r="B496" s="20"/>
      <c r="D496" s="41"/>
      <c r="E496" s="20"/>
      <c r="F496" s="41"/>
      <c r="G496" s="20"/>
      <c r="Q496" s="20"/>
    </row>
    <row r="497">
      <c r="B497" s="20"/>
      <c r="D497" s="41"/>
      <c r="E497" s="20"/>
      <c r="F497" s="41"/>
      <c r="G497" s="20"/>
      <c r="Q497" s="20"/>
    </row>
    <row r="498">
      <c r="B498" s="20"/>
      <c r="D498" s="41"/>
      <c r="E498" s="20"/>
      <c r="F498" s="41"/>
      <c r="G498" s="20"/>
      <c r="Q498" s="20"/>
    </row>
    <row r="499">
      <c r="B499" s="20"/>
      <c r="D499" s="41"/>
      <c r="E499" s="20"/>
      <c r="F499" s="41"/>
      <c r="G499" s="20"/>
      <c r="Q499" s="20"/>
    </row>
    <row r="500">
      <c r="B500" s="20"/>
      <c r="D500" s="41"/>
      <c r="E500" s="20"/>
      <c r="F500" s="41"/>
      <c r="G500" s="20"/>
      <c r="Q500" s="20"/>
    </row>
    <row r="501">
      <c r="B501" s="20"/>
      <c r="D501" s="41"/>
      <c r="E501" s="20"/>
      <c r="F501" s="41"/>
      <c r="G501" s="20"/>
      <c r="Q501" s="20"/>
    </row>
    <row r="502">
      <c r="B502" s="20"/>
      <c r="D502" s="41"/>
      <c r="E502" s="20"/>
      <c r="F502" s="41"/>
      <c r="G502" s="20"/>
      <c r="Q502" s="20"/>
    </row>
    <row r="503">
      <c r="B503" s="20"/>
      <c r="D503" s="41"/>
      <c r="E503" s="20"/>
      <c r="F503" s="41"/>
      <c r="G503" s="20"/>
      <c r="Q503" s="20"/>
    </row>
    <row r="504">
      <c r="B504" s="20"/>
      <c r="D504" s="41"/>
      <c r="E504" s="20"/>
      <c r="F504" s="41"/>
      <c r="G504" s="20"/>
      <c r="Q504" s="20"/>
    </row>
    <row r="505">
      <c r="B505" s="20"/>
      <c r="D505" s="41"/>
      <c r="E505" s="20"/>
      <c r="F505" s="41"/>
      <c r="G505" s="20"/>
      <c r="Q505" s="20"/>
    </row>
    <row r="506">
      <c r="B506" s="20"/>
      <c r="D506" s="41"/>
      <c r="E506" s="20"/>
      <c r="F506" s="41"/>
      <c r="G506" s="20"/>
      <c r="Q506" s="20"/>
    </row>
    <row r="507">
      <c r="B507" s="20"/>
      <c r="D507" s="41"/>
      <c r="E507" s="20"/>
      <c r="F507" s="41"/>
      <c r="G507" s="20"/>
      <c r="Q507" s="20"/>
    </row>
    <row r="508">
      <c r="B508" s="20"/>
      <c r="D508" s="41"/>
      <c r="E508" s="20"/>
      <c r="F508" s="41"/>
      <c r="G508" s="20"/>
      <c r="Q508" s="20"/>
    </row>
    <row r="509">
      <c r="B509" s="20"/>
      <c r="D509" s="41"/>
      <c r="E509" s="20"/>
      <c r="F509" s="41"/>
      <c r="G509" s="20"/>
      <c r="Q509" s="20"/>
    </row>
    <row r="510">
      <c r="B510" s="20"/>
      <c r="D510" s="41"/>
      <c r="E510" s="20"/>
      <c r="F510" s="41"/>
      <c r="G510" s="20"/>
      <c r="Q510" s="20"/>
    </row>
    <row r="511">
      <c r="B511" s="20"/>
      <c r="D511" s="41"/>
      <c r="E511" s="20"/>
      <c r="F511" s="41"/>
      <c r="G511" s="20"/>
      <c r="Q511" s="20"/>
    </row>
    <row r="512">
      <c r="B512" s="20"/>
      <c r="D512" s="41"/>
      <c r="E512" s="20"/>
      <c r="F512" s="41"/>
      <c r="G512" s="20"/>
      <c r="Q512" s="20"/>
    </row>
    <row r="513">
      <c r="B513" s="20"/>
      <c r="D513" s="41"/>
      <c r="E513" s="20"/>
      <c r="F513" s="41"/>
      <c r="G513" s="20"/>
      <c r="Q513" s="20"/>
    </row>
    <row r="514">
      <c r="B514" s="20"/>
      <c r="D514" s="41"/>
      <c r="E514" s="20"/>
      <c r="F514" s="41"/>
      <c r="G514" s="20"/>
      <c r="Q514" s="20"/>
    </row>
    <row r="515">
      <c r="B515" s="20"/>
      <c r="D515" s="41"/>
      <c r="E515" s="20"/>
      <c r="F515" s="41"/>
      <c r="G515" s="20"/>
      <c r="Q515" s="20"/>
    </row>
    <row r="516">
      <c r="B516" s="20"/>
      <c r="D516" s="41"/>
      <c r="E516" s="20"/>
      <c r="F516" s="41"/>
      <c r="G516" s="20"/>
      <c r="Q516" s="20"/>
    </row>
    <row r="517">
      <c r="B517" s="20"/>
      <c r="D517" s="41"/>
      <c r="E517" s="20"/>
      <c r="F517" s="41"/>
      <c r="G517" s="20"/>
      <c r="Q517" s="20"/>
    </row>
    <row r="518">
      <c r="B518" s="20"/>
      <c r="D518" s="41"/>
      <c r="E518" s="20"/>
      <c r="F518" s="41"/>
      <c r="G518" s="20"/>
      <c r="Q518" s="20"/>
    </row>
    <row r="519">
      <c r="B519" s="20"/>
      <c r="D519" s="41"/>
      <c r="E519" s="20"/>
      <c r="F519" s="41"/>
      <c r="G519" s="20"/>
      <c r="Q519" s="20"/>
    </row>
    <row r="520">
      <c r="B520" s="20"/>
      <c r="D520" s="41"/>
      <c r="E520" s="20"/>
      <c r="F520" s="41"/>
      <c r="G520" s="20"/>
      <c r="Q520" s="20"/>
    </row>
    <row r="521">
      <c r="B521" s="20"/>
      <c r="D521" s="41"/>
      <c r="E521" s="20"/>
      <c r="F521" s="41"/>
      <c r="G521" s="20"/>
      <c r="Q521" s="20"/>
    </row>
    <row r="522">
      <c r="B522" s="20"/>
      <c r="D522" s="41"/>
      <c r="E522" s="20"/>
      <c r="F522" s="41"/>
      <c r="G522" s="20"/>
      <c r="Q522" s="20"/>
    </row>
    <row r="523">
      <c r="B523" s="20"/>
      <c r="D523" s="41"/>
      <c r="E523" s="20"/>
      <c r="F523" s="41"/>
      <c r="G523" s="20"/>
      <c r="Q523" s="20"/>
    </row>
    <row r="524">
      <c r="B524" s="20"/>
      <c r="D524" s="41"/>
      <c r="E524" s="20"/>
      <c r="F524" s="41"/>
      <c r="G524" s="20"/>
      <c r="Q524" s="20"/>
    </row>
    <row r="525">
      <c r="B525" s="20"/>
      <c r="D525" s="41"/>
      <c r="E525" s="20"/>
      <c r="F525" s="41"/>
      <c r="G525" s="20"/>
      <c r="Q525" s="20"/>
    </row>
    <row r="526">
      <c r="B526" s="20"/>
      <c r="D526" s="41"/>
      <c r="E526" s="20"/>
      <c r="F526" s="41"/>
      <c r="G526" s="20"/>
      <c r="Q526" s="20"/>
    </row>
    <row r="527">
      <c r="B527" s="20"/>
      <c r="D527" s="41"/>
      <c r="E527" s="20"/>
      <c r="F527" s="41"/>
      <c r="G527" s="20"/>
      <c r="Q527" s="20"/>
    </row>
    <row r="528">
      <c r="B528" s="20"/>
      <c r="D528" s="41"/>
      <c r="E528" s="20"/>
      <c r="F528" s="41"/>
      <c r="G528" s="20"/>
      <c r="Q528" s="20"/>
    </row>
    <row r="529">
      <c r="B529" s="20"/>
      <c r="D529" s="41"/>
      <c r="E529" s="20"/>
      <c r="F529" s="41"/>
      <c r="G529" s="20"/>
      <c r="Q529" s="20"/>
    </row>
    <row r="530">
      <c r="B530" s="20"/>
      <c r="D530" s="41"/>
      <c r="E530" s="20"/>
      <c r="F530" s="41"/>
      <c r="G530" s="20"/>
      <c r="Q530" s="20"/>
    </row>
    <row r="531">
      <c r="B531" s="20"/>
      <c r="D531" s="41"/>
      <c r="E531" s="20"/>
      <c r="F531" s="41"/>
      <c r="G531" s="20"/>
      <c r="Q531" s="20"/>
    </row>
    <row r="532">
      <c r="B532" s="20"/>
      <c r="D532" s="41"/>
      <c r="E532" s="20"/>
      <c r="F532" s="41"/>
      <c r="G532" s="20"/>
      <c r="Q532" s="20"/>
    </row>
    <row r="533">
      <c r="B533" s="20"/>
      <c r="D533" s="41"/>
      <c r="E533" s="20"/>
      <c r="F533" s="41"/>
      <c r="G533" s="20"/>
      <c r="Q533" s="20"/>
    </row>
    <row r="534">
      <c r="B534" s="20"/>
      <c r="D534" s="41"/>
      <c r="E534" s="20"/>
      <c r="F534" s="41"/>
      <c r="G534" s="20"/>
      <c r="Q534" s="20"/>
    </row>
    <row r="535">
      <c r="B535" s="20"/>
      <c r="D535" s="41"/>
      <c r="E535" s="20"/>
      <c r="F535" s="41"/>
      <c r="G535" s="20"/>
      <c r="Q535" s="20"/>
    </row>
    <row r="536">
      <c r="B536" s="20"/>
      <c r="D536" s="41"/>
      <c r="E536" s="20"/>
      <c r="F536" s="41"/>
      <c r="G536" s="20"/>
      <c r="Q536" s="20"/>
    </row>
    <row r="537">
      <c r="B537" s="20"/>
      <c r="D537" s="41"/>
      <c r="E537" s="20"/>
      <c r="F537" s="41"/>
      <c r="G537" s="20"/>
      <c r="Q537" s="20"/>
    </row>
    <row r="538">
      <c r="B538" s="20"/>
      <c r="D538" s="41"/>
      <c r="E538" s="20"/>
      <c r="F538" s="41"/>
      <c r="G538" s="20"/>
      <c r="Q538" s="20"/>
    </row>
    <row r="539">
      <c r="B539" s="20"/>
      <c r="D539" s="41"/>
      <c r="E539" s="20"/>
      <c r="F539" s="41"/>
      <c r="G539" s="20"/>
      <c r="Q539" s="20"/>
    </row>
    <row r="540">
      <c r="B540" s="20"/>
      <c r="D540" s="41"/>
      <c r="E540" s="20"/>
      <c r="F540" s="41"/>
      <c r="G540" s="20"/>
      <c r="Q540" s="20"/>
    </row>
    <row r="541">
      <c r="B541" s="20"/>
      <c r="D541" s="41"/>
      <c r="E541" s="20"/>
      <c r="F541" s="41"/>
      <c r="G541" s="20"/>
      <c r="Q541" s="20"/>
    </row>
    <row r="542">
      <c r="B542" s="20"/>
      <c r="D542" s="41"/>
      <c r="E542" s="20"/>
      <c r="F542" s="41"/>
      <c r="G542" s="20"/>
      <c r="Q542" s="20"/>
    </row>
    <row r="543">
      <c r="B543" s="20"/>
      <c r="D543" s="41"/>
      <c r="E543" s="20"/>
      <c r="F543" s="41"/>
      <c r="G543" s="20"/>
      <c r="Q543" s="20"/>
    </row>
    <row r="544">
      <c r="B544" s="20"/>
      <c r="D544" s="41"/>
      <c r="E544" s="20"/>
      <c r="F544" s="41"/>
      <c r="G544" s="20"/>
      <c r="Q544" s="20"/>
    </row>
    <row r="545">
      <c r="B545" s="20"/>
      <c r="D545" s="41"/>
      <c r="E545" s="20"/>
      <c r="F545" s="41"/>
      <c r="G545" s="20"/>
      <c r="Q545" s="20"/>
    </row>
    <row r="546">
      <c r="B546" s="20"/>
      <c r="D546" s="41"/>
      <c r="E546" s="20"/>
      <c r="F546" s="41"/>
      <c r="G546" s="20"/>
      <c r="Q546" s="20"/>
    </row>
    <row r="547">
      <c r="B547" s="20"/>
      <c r="D547" s="41"/>
      <c r="E547" s="20"/>
      <c r="F547" s="41"/>
      <c r="G547" s="20"/>
      <c r="Q547" s="20"/>
    </row>
    <row r="548">
      <c r="B548" s="20"/>
      <c r="D548" s="41"/>
      <c r="E548" s="20"/>
      <c r="F548" s="41"/>
      <c r="G548" s="20"/>
      <c r="Q548" s="20"/>
    </row>
    <row r="549">
      <c r="B549" s="20"/>
      <c r="D549" s="41"/>
      <c r="E549" s="20"/>
      <c r="F549" s="41"/>
      <c r="G549" s="20"/>
      <c r="Q549" s="20"/>
    </row>
    <row r="550">
      <c r="B550" s="20"/>
      <c r="D550" s="41"/>
      <c r="E550" s="20"/>
      <c r="F550" s="41"/>
      <c r="G550" s="20"/>
      <c r="Q550" s="20"/>
    </row>
    <row r="551">
      <c r="B551" s="20"/>
      <c r="D551" s="41"/>
      <c r="E551" s="20"/>
      <c r="F551" s="41"/>
      <c r="G551" s="20"/>
      <c r="Q551" s="20"/>
    </row>
    <row r="552">
      <c r="B552" s="20"/>
      <c r="D552" s="41"/>
      <c r="E552" s="20"/>
      <c r="F552" s="41"/>
      <c r="G552" s="20"/>
      <c r="Q552" s="20"/>
    </row>
    <row r="553">
      <c r="B553" s="20"/>
      <c r="D553" s="41"/>
      <c r="E553" s="20"/>
      <c r="F553" s="41"/>
      <c r="G553" s="20"/>
      <c r="Q553" s="20"/>
    </row>
    <row r="554">
      <c r="B554" s="20"/>
      <c r="D554" s="41"/>
      <c r="E554" s="20"/>
      <c r="F554" s="41"/>
      <c r="G554" s="20"/>
      <c r="Q554" s="20"/>
    </row>
    <row r="555">
      <c r="B555" s="20"/>
      <c r="D555" s="41"/>
      <c r="E555" s="20"/>
      <c r="F555" s="41"/>
      <c r="G555" s="20"/>
      <c r="Q555" s="20"/>
    </row>
    <row r="556">
      <c r="B556" s="20"/>
      <c r="D556" s="41"/>
      <c r="E556" s="20"/>
      <c r="F556" s="41"/>
      <c r="G556" s="20"/>
      <c r="Q556" s="20"/>
    </row>
    <row r="557">
      <c r="B557" s="20"/>
      <c r="D557" s="41"/>
      <c r="E557" s="20"/>
      <c r="F557" s="41"/>
      <c r="G557" s="20"/>
      <c r="Q557" s="20"/>
    </row>
    <row r="558">
      <c r="B558" s="20"/>
      <c r="D558" s="41"/>
      <c r="E558" s="20"/>
      <c r="F558" s="41"/>
      <c r="G558" s="20"/>
      <c r="Q558" s="20"/>
    </row>
    <row r="559">
      <c r="B559" s="20"/>
      <c r="D559" s="41"/>
      <c r="E559" s="20"/>
      <c r="F559" s="41"/>
      <c r="G559" s="20"/>
      <c r="Q559" s="20"/>
    </row>
    <row r="560">
      <c r="B560" s="20"/>
      <c r="D560" s="41"/>
      <c r="E560" s="20"/>
      <c r="F560" s="41"/>
      <c r="G560" s="20"/>
      <c r="Q560" s="20"/>
    </row>
    <row r="561">
      <c r="B561" s="20"/>
      <c r="D561" s="41"/>
      <c r="E561" s="20"/>
      <c r="F561" s="41"/>
      <c r="G561" s="20"/>
      <c r="Q561" s="20"/>
    </row>
    <row r="562">
      <c r="B562" s="20"/>
      <c r="D562" s="41"/>
      <c r="E562" s="20"/>
      <c r="F562" s="41"/>
      <c r="G562" s="20"/>
      <c r="Q562" s="20"/>
    </row>
    <row r="563">
      <c r="B563" s="20"/>
      <c r="D563" s="41"/>
      <c r="E563" s="20"/>
      <c r="F563" s="41"/>
      <c r="G563" s="20"/>
      <c r="Q563" s="20"/>
    </row>
    <row r="564">
      <c r="B564" s="20"/>
      <c r="D564" s="41"/>
      <c r="E564" s="20"/>
      <c r="F564" s="41"/>
      <c r="G564" s="20"/>
      <c r="Q564" s="20"/>
    </row>
    <row r="565">
      <c r="B565" s="20"/>
      <c r="D565" s="41"/>
      <c r="E565" s="20"/>
      <c r="F565" s="41"/>
      <c r="G565" s="20"/>
      <c r="Q565" s="20"/>
    </row>
    <row r="566">
      <c r="B566" s="20"/>
      <c r="D566" s="41"/>
      <c r="E566" s="20"/>
      <c r="F566" s="41"/>
      <c r="G566" s="20"/>
      <c r="Q566" s="20"/>
    </row>
    <row r="567">
      <c r="B567" s="20"/>
      <c r="D567" s="41"/>
      <c r="E567" s="20"/>
      <c r="F567" s="41"/>
      <c r="G567" s="20"/>
      <c r="Q567" s="20"/>
    </row>
    <row r="568">
      <c r="B568" s="20"/>
      <c r="D568" s="41"/>
      <c r="E568" s="20"/>
      <c r="F568" s="41"/>
      <c r="G568" s="20"/>
      <c r="Q568" s="20"/>
    </row>
    <row r="569">
      <c r="B569" s="20"/>
      <c r="D569" s="41"/>
      <c r="E569" s="20"/>
      <c r="F569" s="41"/>
      <c r="G569" s="20"/>
      <c r="Q569" s="20"/>
    </row>
    <row r="570">
      <c r="B570" s="20"/>
      <c r="D570" s="41"/>
      <c r="E570" s="20"/>
      <c r="F570" s="41"/>
      <c r="G570" s="20"/>
      <c r="Q570" s="20"/>
    </row>
    <row r="571">
      <c r="B571" s="20"/>
      <c r="D571" s="41"/>
      <c r="E571" s="20"/>
      <c r="F571" s="41"/>
      <c r="G571" s="20"/>
      <c r="Q571" s="20"/>
    </row>
    <row r="572">
      <c r="B572" s="20"/>
      <c r="D572" s="41"/>
      <c r="E572" s="20"/>
      <c r="F572" s="41"/>
      <c r="G572" s="20"/>
      <c r="Q572" s="20"/>
    </row>
    <row r="573">
      <c r="B573" s="20"/>
      <c r="D573" s="41"/>
      <c r="E573" s="20"/>
      <c r="F573" s="41"/>
      <c r="G573" s="20"/>
      <c r="Q573" s="20"/>
    </row>
    <row r="574">
      <c r="B574" s="20"/>
      <c r="D574" s="41"/>
      <c r="E574" s="20"/>
      <c r="F574" s="41"/>
      <c r="G574" s="20"/>
      <c r="Q574" s="20"/>
    </row>
    <row r="575">
      <c r="B575" s="20"/>
      <c r="D575" s="41"/>
      <c r="E575" s="20"/>
      <c r="F575" s="41"/>
      <c r="G575" s="20"/>
      <c r="Q575" s="20"/>
    </row>
    <row r="576">
      <c r="B576" s="20"/>
      <c r="D576" s="41"/>
      <c r="E576" s="20"/>
      <c r="F576" s="41"/>
      <c r="G576" s="20"/>
      <c r="Q576" s="20"/>
    </row>
    <row r="577">
      <c r="B577" s="20"/>
      <c r="D577" s="41"/>
      <c r="E577" s="20"/>
      <c r="F577" s="41"/>
      <c r="G577" s="20"/>
      <c r="Q577" s="20"/>
    </row>
    <row r="578">
      <c r="B578" s="20"/>
      <c r="D578" s="41"/>
      <c r="E578" s="20"/>
      <c r="F578" s="41"/>
      <c r="G578" s="20"/>
      <c r="Q578" s="20"/>
    </row>
    <row r="579">
      <c r="B579" s="20"/>
      <c r="D579" s="41"/>
      <c r="E579" s="20"/>
      <c r="F579" s="41"/>
      <c r="G579" s="20"/>
      <c r="Q579" s="20"/>
    </row>
    <row r="580">
      <c r="B580" s="20"/>
      <c r="D580" s="41"/>
      <c r="E580" s="20"/>
      <c r="F580" s="41"/>
      <c r="G580" s="20"/>
      <c r="Q580" s="20"/>
    </row>
    <row r="581">
      <c r="B581" s="20"/>
      <c r="D581" s="41"/>
      <c r="E581" s="20"/>
      <c r="F581" s="41"/>
      <c r="G581" s="20"/>
      <c r="Q581" s="20"/>
    </row>
    <row r="582">
      <c r="B582" s="20"/>
      <c r="D582" s="41"/>
      <c r="E582" s="20"/>
      <c r="F582" s="41"/>
      <c r="G582" s="20"/>
      <c r="Q582" s="20"/>
    </row>
    <row r="583">
      <c r="B583" s="20"/>
      <c r="D583" s="41"/>
      <c r="E583" s="20"/>
      <c r="F583" s="41"/>
      <c r="G583" s="20"/>
      <c r="Q583" s="20"/>
    </row>
    <row r="584">
      <c r="B584" s="20"/>
      <c r="D584" s="41"/>
      <c r="E584" s="20"/>
      <c r="F584" s="41"/>
      <c r="G584" s="20"/>
      <c r="Q584" s="20"/>
    </row>
    <row r="585">
      <c r="B585" s="20"/>
      <c r="D585" s="41"/>
      <c r="E585" s="20"/>
      <c r="F585" s="41"/>
      <c r="G585" s="20"/>
      <c r="Q585" s="20"/>
    </row>
    <row r="586">
      <c r="B586" s="20"/>
      <c r="D586" s="41"/>
      <c r="E586" s="20"/>
      <c r="F586" s="41"/>
      <c r="G586" s="20"/>
      <c r="Q586" s="20"/>
    </row>
    <row r="587">
      <c r="B587" s="20"/>
      <c r="D587" s="41"/>
      <c r="E587" s="20"/>
      <c r="F587" s="41"/>
      <c r="G587" s="20"/>
      <c r="Q587" s="20"/>
    </row>
    <row r="588">
      <c r="B588" s="20"/>
      <c r="D588" s="41"/>
      <c r="E588" s="20"/>
      <c r="F588" s="41"/>
      <c r="G588" s="20"/>
      <c r="Q588" s="20"/>
    </row>
    <row r="589">
      <c r="B589" s="20"/>
      <c r="D589" s="41"/>
      <c r="E589" s="20"/>
      <c r="F589" s="41"/>
      <c r="G589" s="20"/>
      <c r="Q589" s="20"/>
    </row>
    <row r="590">
      <c r="B590" s="20"/>
      <c r="D590" s="41"/>
      <c r="E590" s="20"/>
      <c r="F590" s="41"/>
      <c r="G590" s="20"/>
      <c r="Q590" s="20"/>
    </row>
    <row r="591">
      <c r="B591" s="20"/>
      <c r="D591" s="41"/>
      <c r="E591" s="20"/>
      <c r="F591" s="41"/>
      <c r="G591" s="20"/>
      <c r="Q591" s="20"/>
    </row>
    <row r="592">
      <c r="B592" s="20"/>
      <c r="D592" s="41"/>
      <c r="E592" s="20"/>
      <c r="F592" s="41"/>
      <c r="G592" s="20"/>
      <c r="Q592" s="20"/>
    </row>
    <row r="593">
      <c r="B593" s="20"/>
      <c r="D593" s="41"/>
      <c r="E593" s="20"/>
      <c r="F593" s="41"/>
      <c r="G593" s="20"/>
      <c r="Q593" s="20"/>
    </row>
    <row r="594">
      <c r="B594" s="20"/>
      <c r="D594" s="41"/>
      <c r="E594" s="20"/>
      <c r="F594" s="41"/>
      <c r="G594" s="20"/>
      <c r="Q594" s="20"/>
    </row>
    <row r="595">
      <c r="B595" s="20"/>
      <c r="D595" s="41"/>
      <c r="E595" s="20"/>
      <c r="F595" s="41"/>
      <c r="G595" s="20"/>
      <c r="Q595" s="20"/>
    </row>
    <row r="596">
      <c r="B596" s="20"/>
      <c r="D596" s="41"/>
      <c r="E596" s="20"/>
      <c r="F596" s="41"/>
      <c r="G596" s="20"/>
      <c r="Q596" s="20"/>
    </row>
    <row r="597">
      <c r="B597" s="20"/>
      <c r="D597" s="41"/>
      <c r="E597" s="20"/>
      <c r="F597" s="41"/>
      <c r="G597" s="20"/>
      <c r="Q597" s="20"/>
    </row>
    <row r="598">
      <c r="B598" s="20"/>
      <c r="D598" s="41"/>
      <c r="E598" s="20"/>
      <c r="F598" s="41"/>
      <c r="G598" s="20"/>
      <c r="Q598" s="20"/>
    </row>
    <row r="599">
      <c r="B599" s="20"/>
      <c r="D599" s="41"/>
      <c r="E599" s="20"/>
      <c r="F599" s="41"/>
      <c r="G599" s="20"/>
      <c r="Q599" s="20"/>
    </row>
    <row r="600">
      <c r="B600" s="20"/>
      <c r="D600" s="41"/>
      <c r="E600" s="20"/>
      <c r="F600" s="41"/>
      <c r="G600" s="20"/>
      <c r="Q600" s="20"/>
    </row>
    <row r="601">
      <c r="B601" s="20"/>
      <c r="D601" s="41"/>
      <c r="E601" s="20"/>
      <c r="F601" s="41"/>
      <c r="G601" s="20"/>
      <c r="Q601" s="20"/>
    </row>
    <row r="602">
      <c r="B602" s="20"/>
      <c r="D602" s="41"/>
      <c r="E602" s="20"/>
      <c r="F602" s="41"/>
      <c r="G602" s="20"/>
      <c r="Q602" s="20"/>
    </row>
    <row r="603">
      <c r="B603" s="20"/>
      <c r="D603" s="41"/>
      <c r="E603" s="20"/>
      <c r="F603" s="41"/>
      <c r="G603" s="20"/>
      <c r="Q603" s="20"/>
    </row>
    <row r="604">
      <c r="B604" s="20"/>
      <c r="D604" s="41"/>
      <c r="E604" s="20"/>
      <c r="F604" s="41"/>
      <c r="G604" s="20"/>
      <c r="Q604" s="20"/>
    </row>
    <row r="605">
      <c r="B605" s="20"/>
      <c r="D605" s="41"/>
      <c r="E605" s="20"/>
      <c r="F605" s="41"/>
      <c r="G605" s="20"/>
      <c r="Q605" s="20"/>
    </row>
    <row r="606">
      <c r="B606" s="20"/>
      <c r="D606" s="41"/>
      <c r="E606" s="20"/>
      <c r="F606" s="41"/>
      <c r="G606" s="20"/>
      <c r="Q606" s="20"/>
    </row>
    <row r="607">
      <c r="B607" s="20"/>
      <c r="D607" s="41"/>
      <c r="E607" s="20"/>
      <c r="F607" s="41"/>
      <c r="G607" s="20"/>
      <c r="Q607" s="20"/>
    </row>
    <row r="608">
      <c r="B608" s="20"/>
      <c r="D608" s="41"/>
      <c r="E608" s="20"/>
      <c r="F608" s="41"/>
      <c r="G608" s="20"/>
      <c r="Q608" s="20"/>
    </row>
    <row r="609">
      <c r="B609" s="20"/>
      <c r="D609" s="41"/>
      <c r="E609" s="20"/>
      <c r="F609" s="41"/>
      <c r="G609" s="20"/>
      <c r="Q609" s="20"/>
    </row>
    <row r="610">
      <c r="B610" s="20"/>
      <c r="D610" s="41"/>
      <c r="E610" s="20"/>
      <c r="F610" s="41"/>
      <c r="G610" s="20"/>
      <c r="Q610" s="20"/>
    </row>
    <row r="611">
      <c r="B611" s="20"/>
      <c r="D611" s="41"/>
      <c r="E611" s="20"/>
      <c r="F611" s="41"/>
      <c r="G611" s="20"/>
      <c r="Q611" s="20"/>
    </row>
    <row r="612">
      <c r="B612" s="20"/>
      <c r="D612" s="41"/>
      <c r="E612" s="20"/>
      <c r="F612" s="41"/>
      <c r="G612" s="20"/>
      <c r="Q612" s="20"/>
    </row>
    <row r="613">
      <c r="B613" s="20"/>
      <c r="D613" s="41"/>
      <c r="E613" s="20"/>
      <c r="F613" s="41"/>
      <c r="G613" s="20"/>
      <c r="Q613" s="20"/>
    </row>
    <row r="614">
      <c r="B614" s="20"/>
      <c r="D614" s="41"/>
      <c r="E614" s="20"/>
      <c r="F614" s="41"/>
      <c r="G614" s="20"/>
      <c r="Q614" s="20"/>
    </row>
    <row r="615">
      <c r="B615" s="20"/>
      <c r="D615" s="41"/>
      <c r="E615" s="20"/>
      <c r="F615" s="41"/>
      <c r="G615" s="20"/>
      <c r="Q615" s="20"/>
    </row>
    <row r="616">
      <c r="B616" s="20"/>
      <c r="D616" s="41"/>
      <c r="E616" s="20"/>
      <c r="F616" s="41"/>
      <c r="G616" s="20"/>
      <c r="Q616" s="20"/>
    </row>
    <row r="617">
      <c r="B617" s="20"/>
      <c r="D617" s="41"/>
      <c r="E617" s="20"/>
      <c r="F617" s="41"/>
      <c r="G617" s="20"/>
      <c r="Q617" s="20"/>
    </row>
    <row r="618">
      <c r="B618" s="20"/>
      <c r="D618" s="41"/>
      <c r="E618" s="20"/>
      <c r="F618" s="41"/>
      <c r="G618" s="20"/>
      <c r="Q618" s="20"/>
    </row>
    <row r="619">
      <c r="B619" s="20"/>
      <c r="D619" s="41"/>
      <c r="E619" s="20"/>
      <c r="F619" s="41"/>
      <c r="G619" s="20"/>
      <c r="Q619" s="20"/>
    </row>
    <row r="620">
      <c r="B620" s="20"/>
      <c r="D620" s="41"/>
      <c r="E620" s="20"/>
      <c r="F620" s="41"/>
      <c r="G620" s="20"/>
      <c r="Q620" s="20"/>
    </row>
    <row r="621">
      <c r="B621" s="20"/>
      <c r="D621" s="41"/>
      <c r="E621" s="20"/>
      <c r="F621" s="41"/>
      <c r="G621" s="20"/>
      <c r="Q621" s="20"/>
    </row>
    <row r="622">
      <c r="B622" s="20"/>
      <c r="D622" s="41"/>
      <c r="E622" s="20"/>
      <c r="F622" s="41"/>
      <c r="G622" s="20"/>
      <c r="Q622" s="20"/>
    </row>
    <row r="623">
      <c r="B623" s="20"/>
      <c r="D623" s="41"/>
      <c r="E623" s="20"/>
      <c r="F623" s="41"/>
      <c r="G623" s="20"/>
      <c r="Q623" s="20"/>
    </row>
    <row r="624">
      <c r="B624" s="20"/>
      <c r="D624" s="41"/>
      <c r="E624" s="20"/>
      <c r="F624" s="41"/>
      <c r="G624" s="20"/>
      <c r="Q624" s="20"/>
    </row>
    <row r="625">
      <c r="B625" s="20"/>
      <c r="D625" s="41"/>
      <c r="E625" s="20"/>
      <c r="F625" s="41"/>
      <c r="G625" s="20"/>
      <c r="Q625" s="20"/>
    </row>
    <row r="626">
      <c r="B626" s="20"/>
      <c r="D626" s="41"/>
      <c r="E626" s="20"/>
      <c r="F626" s="41"/>
      <c r="G626" s="20"/>
      <c r="Q626" s="20"/>
    </row>
    <row r="627">
      <c r="B627" s="20"/>
      <c r="D627" s="41"/>
      <c r="E627" s="20"/>
      <c r="F627" s="41"/>
      <c r="G627" s="20"/>
      <c r="Q627" s="20"/>
    </row>
    <row r="628">
      <c r="B628" s="20"/>
      <c r="D628" s="41"/>
      <c r="E628" s="20"/>
      <c r="F628" s="41"/>
      <c r="G628" s="20"/>
      <c r="Q628" s="20"/>
    </row>
    <row r="629">
      <c r="B629" s="20"/>
      <c r="D629" s="41"/>
      <c r="E629" s="20"/>
      <c r="F629" s="41"/>
      <c r="G629" s="20"/>
      <c r="Q629" s="20"/>
    </row>
    <row r="630">
      <c r="B630" s="20"/>
      <c r="D630" s="41"/>
      <c r="E630" s="20"/>
      <c r="F630" s="41"/>
      <c r="G630" s="20"/>
      <c r="Q630" s="20"/>
    </row>
    <row r="631">
      <c r="B631" s="20"/>
      <c r="D631" s="41"/>
      <c r="E631" s="20"/>
      <c r="F631" s="41"/>
      <c r="G631" s="20"/>
      <c r="Q631" s="20"/>
    </row>
    <row r="632">
      <c r="B632" s="20"/>
      <c r="D632" s="41"/>
      <c r="E632" s="20"/>
      <c r="F632" s="41"/>
      <c r="G632" s="20"/>
      <c r="Q632" s="20"/>
    </row>
    <row r="633">
      <c r="B633" s="20"/>
      <c r="D633" s="41"/>
      <c r="E633" s="20"/>
      <c r="F633" s="41"/>
      <c r="G633" s="20"/>
      <c r="Q633" s="20"/>
    </row>
    <row r="634">
      <c r="B634" s="20"/>
      <c r="D634" s="41"/>
      <c r="E634" s="20"/>
      <c r="F634" s="41"/>
      <c r="G634" s="20"/>
      <c r="Q634" s="20"/>
    </row>
    <row r="635">
      <c r="B635" s="20"/>
      <c r="D635" s="41"/>
      <c r="E635" s="20"/>
      <c r="F635" s="41"/>
      <c r="G635" s="20"/>
      <c r="Q635" s="20"/>
    </row>
    <row r="636">
      <c r="B636" s="20"/>
      <c r="D636" s="41"/>
      <c r="E636" s="20"/>
      <c r="F636" s="41"/>
      <c r="G636" s="20"/>
      <c r="Q636" s="20"/>
    </row>
    <row r="637">
      <c r="B637" s="20"/>
      <c r="D637" s="41"/>
      <c r="E637" s="20"/>
      <c r="F637" s="41"/>
      <c r="G637" s="20"/>
      <c r="Q637" s="20"/>
    </row>
    <row r="638">
      <c r="B638" s="20"/>
      <c r="D638" s="41"/>
      <c r="E638" s="20"/>
      <c r="F638" s="41"/>
      <c r="G638" s="20"/>
      <c r="Q638" s="20"/>
    </row>
    <row r="639">
      <c r="B639" s="20"/>
      <c r="D639" s="41"/>
      <c r="E639" s="20"/>
      <c r="F639" s="41"/>
      <c r="G639" s="20"/>
      <c r="Q639" s="20"/>
    </row>
    <row r="640">
      <c r="B640" s="20"/>
      <c r="D640" s="41"/>
      <c r="E640" s="20"/>
      <c r="F640" s="41"/>
      <c r="G640" s="20"/>
      <c r="Q640" s="20"/>
    </row>
    <row r="641">
      <c r="B641" s="20"/>
      <c r="D641" s="41"/>
      <c r="E641" s="20"/>
      <c r="F641" s="41"/>
      <c r="G641" s="20"/>
      <c r="Q641" s="20"/>
    </row>
    <row r="642">
      <c r="B642" s="20"/>
      <c r="D642" s="41"/>
      <c r="E642" s="20"/>
      <c r="F642" s="41"/>
      <c r="G642" s="20"/>
      <c r="Q642" s="20"/>
    </row>
    <row r="643">
      <c r="B643" s="20"/>
      <c r="D643" s="41"/>
      <c r="E643" s="20"/>
      <c r="F643" s="41"/>
      <c r="G643" s="20"/>
      <c r="Q643" s="20"/>
    </row>
    <row r="644">
      <c r="B644" s="20"/>
      <c r="D644" s="41"/>
      <c r="E644" s="20"/>
      <c r="F644" s="41"/>
      <c r="G644" s="20"/>
      <c r="Q644" s="20"/>
    </row>
    <row r="645">
      <c r="B645" s="20"/>
      <c r="D645" s="41"/>
      <c r="E645" s="20"/>
      <c r="F645" s="41"/>
      <c r="G645" s="20"/>
      <c r="Q645" s="20"/>
    </row>
    <row r="646">
      <c r="B646" s="20"/>
      <c r="D646" s="41"/>
      <c r="E646" s="20"/>
      <c r="F646" s="41"/>
      <c r="G646" s="20"/>
      <c r="Q646" s="20"/>
    </row>
    <row r="647">
      <c r="B647" s="20"/>
      <c r="D647" s="41"/>
      <c r="E647" s="20"/>
      <c r="F647" s="41"/>
      <c r="G647" s="20"/>
      <c r="Q647" s="20"/>
    </row>
    <row r="648">
      <c r="B648" s="20"/>
      <c r="D648" s="41"/>
      <c r="E648" s="20"/>
      <c r="F648" s="41"/>
      <c r="G648" s="20"/>
      <c r="Q648" s="20"/>
    </row>
    <row r="649">
      <c r="B649" s="20"/>
      <c r="D649" s="41"/>
      <c r="E649" s="20"/>
      <c r="F649" s="41"/>
      <c r="G649" s="20"/>
      <c r="Q649" s="20"/>
    </row>
    <row r="650">
      <c r="B650" s="20"/>
      <c r="D650" s="41"/>
      <c r="E650" s="20"/>
      <c r="F650" s="41"/>
      <c r="G650" s="20"/>
      <c r="Q650" s="20"/>
    </row>
    <row r="651">
      <c r="B651" s="20"/>
      <c r="D651" s="41"/>
      <c r="E651" s="20"/>
      <c r="F651" s="41"/>
      <c r="G651" s="20"/>
      <c r="Q651" s="20"/>
    </row>
    <row r="652">
      <c r="B652" s="20"/>
      <c r="D652" s="41"/>
      <c r="E652" s="20"/>
      <c r="F652" s="41"/>
      <c r="G652" s="20"/>
      <c r="Q652" s="20"/>
    </row>
    <row r="653">
      <c r="B653" s="20"/>
      <c r="D653" s="41"/>
      <c r="E653" s="20"/>
      <c r="F653" s="41"/>
      <c r="G653" s="20"/>
      <c r="Q653" s="20"/>
    </row>
    <row r="654">
      <c r="B654" s="20"/>
      <c r="D654" s="41"/>
      <c r="E654" s="20"/>
      <c r="F654" s="41"/>
      <c r="G654" s="20"/>
      <c r="Q654" s="20"/>
    </row>
    <row r="655">
      <c r="B655" s="20"/>
      <c r="D655" s="41"/>
      <c r="E655" s="20"/>
      <c r="F655" s="41"/>
      <c r="G655" s="20"/>
      <c r="Q655" s="20"/>
    </row>
    <row r="656">
      <c r="B656" s="20"/>
      <c r="D656" s="41"/>
      <c r="E656" s="20"/>
      <c r="F656" s="41"/>
      <c r="G656" s="20"/>
      <c r="Q656" s="20"/>
    </row>
    <row r="657">
      <c r="B657" s="20"/>
      <c r="D657" s="41"/>
      <c r="E657" s="20"/>
      <c r="F657" s="41"/>
      <c r="G657" s="20"/>
      <c r="Q657" s="20"/>
    </row>
    <row r="658">
      <c r="B658" s="20"/>
      <c r="D658" s="41"/>
      <c r="E658" s="20"/>
      <c r="F658" s="41"/>
      <c r="G658" s="20"/>
      <c r="Q658" s="20"/>
    </row>
    <row r="659">
      <c r="B659" s="20"/>
      <c r="D659" s="41"/>
      <c r="E659" s="20"/>
      <c r="F659" s="41"/>
      <c r="G659" s="20"/>
      <c r="Q659" s="20"/>
    </row>
    <row r="660">
      <c r="B660" s="20"/>
      <c r="D660" s="41"/>
      <c r="E660" s="20"/>
      <c r="F660" s="41"/>
      <c r="G660" s="20"/>
      <c r="Q660" s="20"/>
    </row>
    <row r="661">
      <c r="B661" s="20"/>
      <c r="D661" s="41"/>
      <c r="E661" s="20"/>
      <c r="F661" s="41"/>
      <c r="G661" s="20"/>
      <c r="Q661" s="20"/>
    </row>
    <row r="662">
      <c r="B662" s="20"/>
      <c r="D662" s="41"/>
      <c r="E662" s="20"/>
      <c r="F662" s="41"/>
      <c r="G662" s="20"/>
      <c r="Q662" s="20"/>
    </row>
    <row r="663">
      <c r="B663" s="20"/>
      <c r="D663" s="41"/>
      <c r="E663" s="20"/>
      <c r="F663" s="41"/>
      <c r="G663" s="20"/>
      <c r="Q663" s="20"/>
    </row>
    <row r="664">
      <c r="B664" s="20"/>
      <c r="D664" s="41"/>
      <c r="E664" s="20"/>
      <c r="F664" s="41"/>
      <c r="G664" s="20"/>
      <c r="Q664" s="20"/>
    </row>
    <row r="665">
      <c r="B665" s="20"/>
      <c r="D665" s="41"/>
      <c r="E665" s="20"/>
      <c r="F665" s="41"/>
      <c r="G665" s="20"/>
      <c r="Q665" s="20"/>
    </row>
    <row r="666">
      <c r="B666" s="20"/>
      <c r="D666" s="41"/>
      <c r="E666" s="20"/>
      <c r="F666" s="41"/>
      <c r="G666" s="20"/>
      <c r="Q666" s="20"/>
    </row>
    <row r="667">
      <c r="B667" s="20"/>
      <c r="D667" s="41"/>
      <c r="E667" s="20"/>
      <c r="F667" s="41"/>
      <c r="G667" s="20"/>
      <c r="Q667" s="20"/>
    </row>
    <row r="668">
      <c r="B668" s="20"/>
      <c r="D668" s="41"/>
      <c r="E668" s="20"/>
      <c r="F668" s="41"/>
      <c r="G668" s="20"/>
      <c r="Q668" s="20"/>
    </row>
    <row r="669">
      <c r="B669" s="20"/>
      <c r="D669" s="41"/>
      <c r="E669" s="20"/>
      <c r="F669" s="41"/>
      <c r="G669" s="20"/>
      <c r="Q669" s="20"/>
    </row>
    <row r="670">
      <c r="B670" s="20"/>
      <c r="D670" s="41"/>
      <c r="E670" s="20"/>
      <c r="F670" s="41"/>
      <c r="G670" s="20"/>
      <c r="Q670" s="20"/>
    </row>
    <row r="671">
      <c r="B671" s="20"/>
      <c r="D671" s="41"/>
      <c r="E671" s="20"/>
      <c r="F671" s="41"/>
      <c r="G671" s="20"/>
      <c r="Q671" s="20"/>
    </row>
    <row r="672">
      <c r="B672" s="20"/>
      <c r="D672" s="41"/>
      <c r="E672" s="20"/>
      <c r="F672" s="41"/>
      <c r="G672" s="20"/>
      <c r="Q672" s="20"/>
    </row>
    <row r="673">
      <c r="B673" s="20"/>
      <c r="D673" s="41"/>
      <c r="E673" s="20"/>
      <c r="F673" s="41"/>
      <c r="G673" s="20"/>
      <c r="Q673" s="20"/>
    </row>
    <row r="674">
      <c r="B674" s="20"/>
      <c r="D674" s="41"/>
      <c r="E674" s="20"/>
      <c r="F674" s="41"/>
      <c r="G674" s="20"/>
      <c r="Q674" s="20"/>
    </row>
    <row r="675">
      <c r="B675" s="20"/>
      <c r="D675" s="41"/>
      <c r="E675" s="20"/>
      <c r="F675" s="41"/>
      <c r="G675" s="20"/>
      <c r="Q675" s="20"/>
    </row>
    <row r="676">
      <c r="B676" s="20"/>
      <c r="D676" s="41"/>
      <c r="E676" s="20"/>
      <c r="F676" s="41"/>
      <c r="G676" s="20"/>
      <c r="Q676" s="20"/>
    </row>
    <row r="677">
      <c r="B677" s="20"/>
      <c r="D677" s="41"/>
      <c r="E677" s="20"/>
      <c r="F677" s="41"/>
      <c r="G677" s="20"/>
      <c r="Q677" s="20"/>
    </row>
    <row r="678">
      <c r="B678" s="20"/>
      <c r="D678" s="41"/>
      <c r="E678" s="20"/>
      <c r="F678" s="41"/>
      <c r="G678" s="20"/>
      <c r="Q678" s="20"/>
    </row>
    <row r="679">
      <c r="B679" s="20"/>
      <c r="D679" s="41"/>
      <c r="E679" s="20"/>
      <c r="F679" s="41"/>
      <c r="G679" s="20"/>
      <c r="Q679" s="20"/>
    </row>
    <row r="680">
      <c r="B680" s="20"/>
      <c r="D680" s="41"/>
      <c r="E680" s="20"/>
      <c r="F680" s="41"/>
      <c r="G680" s="20"/>
      <c r="Q680" s="20"/>
    </row>
    <row r="681">
      <c r="B681" s="20"/>
      <c r="D681" s="41"/>
      <c r="E681" s="20"/>
      <c r="F681" s="41"/>
      <c r="G681" s="20"/>
      <c r="Q681" s="20"/>
    </row>
    <row r="682">
      <c r="B682" s="20"/>
      <c r="D682" s="41"/>
      <c r="E682" s="20"/>
      <c r="F682" s="41"/>
      <c r="G682" s="20"/>
      <c r="Q682" s="20"/>
    </row>
    <row r="683">
      <c r="B683" s="20"/>
      <c r="D683" s="41"/>
      <c r="E683" s="20"/>
      <c r="F683" s="41"/>
      <c r="G683" s="20"/>
      <c r="Q683" s="20"/>
    </row>
    <row r="684">
      <c r="B684" s="20"/>
      <c r="D684" s="41"/>
      <c r="E684" s="20"/>
      <c r="F684" s="41"/>
      <c r="G684" s="20"/>
      <c r="Q684" s="20"/>
    </row>
    <row r="685">
      <c r="B685" s="20"/>
      <c r="D685" s="41"/>
      <c r="E685" s="20"/>
      <c r="F685" s="41"/>
      <c r="G685" s="20"/>
      <c r="Q685" s="20"/>
    </row>
    <row r="686">
      <c r="B686" s="20"/>
      <c r="D686" s="41"/>
      <c r="E686" s="20"/>
      <c r="F686" s="41"/>
      <c r="G686" s="20"/>
      <c r="Q686" s="20"/>
    </row>
    <row r="687">
      <c r="B687" s="20"/>
      <c r="D687" s="41"/>
      <c r="E687" s="20"/>
      <c r="F687" s="41"/>
      <c r="G687" s="20"/>
      <c r="Q687" s="20"/>
    </row>
    <row r="688">
      <c r="B688" s="20"/>
      <c r="D688" s="41"/>
      <c r="E688" s="20"/>
      <c r="F688" s="41"/>
      <c r="G688" s="20"/>
      <c r="Q688" s="20"/>
    </row>
    <row r="689">
      <c r="B689" s="20"/>
      <c r="D689" s="41"/>
      <c r="E689" s="20"/>
      <c r="F689" s="41"/>
      <c r="G689" s="20"/>
      <c r="Q689" s="20"/>
    </row>
    <row r="690">
      <c r="B690" s="20"/>
      <c r="D690" s="41"/>
      <c r="E690" s="20"/>
      <c r="F690" s="41"/>
      <c r="G690" s="20"/>
      <c r="Q690" s="20"/>
    </row>
    <row r="691">
      <c r="B691" s="20"/>
      <c r="D691" s="41"/>
      <c r="E691" s="20"/>
      <c r="F691" s="41"/>
      <c r="G691" s="20"/>
      <c r="Q691" s="20"/>
    </row>
    <row r="692">
      <c r="B692" s="20"/>
      <c r="D692" s="41"/>
      <c r="E692" s="20"/>
      <c r="F692" s="41"/>
      <c r="G692" s="20"/>
      <c r="Q692" s="20"/>
    </row>
    <row r="693">
      <c r="B693" s="20"/>
      <c r="D693" s="41"/>
      <c r="E693" s="20"/>
      <c r="F693" s="41"/>
      <c r="G693" s="20"/>
      <c r="Q693" s="20"/>
    </row>
    <row r="694">
      <c r="B694" s="20"/>
      <c r="D694" s="41"/>
      <c r="E694" s="20"/>
      <c r="F694" s="41"/>
      <c r="G694" s="20"/>
      <c r="Q694" s="20"/>
    </row>
    <row r="695">
      <c r="B695" s="20"/>
      <c r="D695" s="41"/>
      <c r="E695" s="20"/>
      <c r="F695" s="41"/>
      <c r="G695" s="20"/>
      <c r="Q695" s="20"/>
    </row>
    <row r="696">
      <c r="B696" s="20"/>
      <c r="D696" s="41"/>
      <c r="E696" s="20"/>
      <c r="F696" s="41"/>
      <c r="G696" s="20"/>
      <c r="Q696" s="20"/>
    </row>
    <row r="697">
      <c r="B697" s="20"/>
      <c r="D697" s="41"/>
      <c r="E697" s="20"/>
      <c r="F697" s="41"/>
      <c r="G697" s="20"/>
      <c r="Q697" s="20"/>
    </row>
    <row r="698">
      <c r="B698" s="20"/>
      <c r="D698" s="41"/>
      <c r="E698" s="20"/>
      <c r="F698" s="41"/>
      <c r="G698" s="20"/>
      <c r="Q698" s="20"/>
    </row>
    <row r="699">
      <c r="B699" s="20"/>
      <c r="D699" s="41"/>
      <c r="E699" s="20"/>
      <c r="F699" s="41"/>
      <c r="G699" s="20"/>
      <c r="Q699" s="20"/>
    </row>
    <row r="700">
      <c r="B700" s="20"/>
      <c r="D700" s="41"/>
      <c r="E700" s="20"/>
      <c r="F700" s="41"/>
      <c r="G700" s="20"/>
      <c r="Q700" s="20"/>
    </row>
    <row r="701">
      <c r="B701" s="20"/>
      <c r="D701" s="41"/>
      <c r="E701" s="20"/>
      <c r="F701" s="41"/>
      <c r="G701" s="20"/>
      <c r="Q701" s="20"/>
    </row>
    <row r="702">
      <c r="B702" s="20"/>
      <c r="D702" s="41"/>
      <c r="E702" s="20"/>
      <c r="F702" s="41"/>
      <c r="G702" s="20"/>
      <c r="Q702" s="20"/>
    </row>
    <row r="703">
      <c r="B703" s="20"/>
      <c r="D703" s="41"/>
      <c r="E703" s="20"/>
      <c r="F703" s="41"/>
      <c r="G703" s="20"/>
      <c r="Q703" s="20"/>
    </row>
    <row r="704">
      <c r="B704" s="20"/>
      <c r="D704" s="41"/>
      <c r="E704" s="20"/>
      <c r="F704" s="41"/>
      <c r="G704" s="20"/>
      <c r="Q704" s="20"/>
    </row>
    <row r="705">
      <c r="B705" s="20"/>
      <c r="D705" s="41"/>
      <c r="E705" s="20"/>
      <c r="F705" s="41"/>
      <c r="G705" s="20"/>
      <c r="Q705" s="20"/>
    </row>
    <row r="706">
      <c r="B706" s="20"/>
      <c r="D706" s="41"/>
      <c r="E706" s="20"/>
      <c r="F706" s="41"/>
      <c r="G706" s="20"/>
      <c r="Q706" s="20"/>
    </row>
    <row r="707">
      <c r="B707" s="20"/>
      <c r="D707" s="41"/>
      <c r="E707" s="20"/>
      <c r="F707" s="41"/>
      <c r="G707" s="20"/>
      <c r="Q707" s="20"/>
    </row>
    <row r="708">
      <c r="B708" s="20"/>
      <c r="D708" s="41"/>
      <c r="E708" s="20"/>
      <c r="F708" s="41"/>
      <c r="G708" s="20"/>
      <c r="Q708" s="20"/>
    </row>
    <row r="709">
      <c r="B709" s="20"/>
      <c r="D709" s="41"/>
      <c r="E709" s="20"/>
      <c r="F709" s="41"/>
      <c r="G709" s="20"/>
      <c r="Q709" s="20"/>
    </row>
    <row r="710">
      <c r="B710" s="20"/>
      <c r="D710" s="41"/>
      <c r="E710" s="20"/>
      <c r="F710" s="41"/>
      <c r="G710" s="20"/>
      <c r="Q710" s="20"/>
    </row>
    <row r="711">
      <c r="B711" s="20"/>
      <c r="D711" s="41"/>
      <c r="E711" s="20"/>
      <c r="F711" s="41"/>
      <c r="G711" s="20"/>
      <c r="Q711" s="20"/>
    </row>
    <row r="712">
      <c r="B712" s="20"/>
      <c r="D712" s="41"/>
      <c r="E712" s="20"/>
      <c r="F712" s="41"/>
      <c r="G712" s="20"/>
      <c r="Q712" s="20"/>
    </row>
    <row r="713">
      <c r="B713" s="20"/>
      <c r="D713" s="41"/>
      <c r="E713" s="20"/>
      <c r="F713" s="41"/>
      <c r="G713" s="20"/>
      <c r="Q713" s="20"/>
    </row>
    <row r="714">
      <c r="B714" s="20"/>
      <c r="D714" s="41"/>
      <c r="E714" s="20"/>
      <c r="F714" s="41"/>
      <c r="G714" s="20"/>
      <c r="Q714" s="20"/>
    </row>
    <row r="715">
      <c r="B715" s="20"/>
      <c r="D715" s="41"/>
      <c r="E715" s="20"/>
      <c r="F715" s="41"/>
      <c r="G715" s="20"/>
      <c r="Q715" s="20"/>
    </row>
    <row r="716">
      <c r="B716" s="20"/>
      <c r="D716" s="41"/>
      <c r="E716" s="20"/>
      <c r="F716" s="41"/>
      <c r="G716" s="20"/>
      <c r="Q716" s="20"/>
    </row>
    <row r="717">
      <c r="B717" s="20"/>
      <c r="D717" s="41"/>
      <c r="E717" s="20"/>
      <c r="F717" s="41"/>
      <c r="G717" s="20"/>
      <c r="Q717" s="20"/>
    </row>
    <row r="718">
      <c r="B718" s="20"/>
      <c r="D718" s="41"/>
      <c r="E718" s="20"/>
      <c r="F718" s="41"/>
      <c r="G718" s="20"/>
      <c r="Q718" s="20"/>
    </row>
    <row r="719">
      <c r="B719" s="20"/>
      <c r="D719" s="41"/>
      <c r="E719" s="20"/>
      <c r="F719" s="41"/>
      <c r="G719" s="20"/>
      <c r="Q719" s="20"/>
    </row>
    <row r="720">
      <c r="B720" s="20"/>
      <c r="D720" s="41"/>
      <c r="E720" s="20"/>
      <c r="F720" s="41"/>
      <c r="G720" s="20"/>
      <c r="Q720" s="20"/>
    </row>
    <row r="721">
      <c r="B721" s="20"/>
      <c r="D721" s="41"/>
      <c r="E721" s="20"/>
      <c r="F721" s="41"/>
      <c r="G721" s="20"/>
      <c r="Q721" s="20"/>
    </row>
    <row r="722">
      <c r="B722" s="20"/>
      <c r="D722" s="41"/>
      <c r="E722" s="20"/>
      <c r="F722" s="41"/>
      <c r="G722" s="20"/>
      <c r="Q722" s="20"/>
    </row>
    <row r="723">
      <c r="B723" s="20"/>
      <c r="D723" s="41"/>
      <c r="E723" s="20"/>
      <c r="F723" s="41"/>
      <c r="G723" s="20"/>
      <c r="Q723" s="20"/>
    </row>
    <row r="724">
      <c r="B724" s="20"/>
      <c r="D724" s="41"/>
      <c r="E724" s="20"/>
      <c r="F724" s="41"/>
      <c r="G724" s="20"/>
      <c r="Q724" s="20"/>
    </row>
    <row r="725">
      <c r="B725" s="20"/>
      <c r="D725" s="41"/>
      <c r="E725" s="20"/>
      <c r="F725" s="41"/>
      <c r="G725" s="20"/>
      <c r="Q725" s="20"/>
    </row>
    <row r="726">
      <c r="B726" s="20"/>
      <c r="D726" s="41"/>
      <c r="E726" s="20"/>
      <c r="F726" s="41"/>
      <c r="G726" s="20"/>
      <c r="Q726" s="20"/>
    </row>
    <row r="727">
      <c r="B727" s="20"/>
      <c r="D727" s="41"/>
      <c r="E727" s="20"/>
      <c r="F727" s="41"/>
      <c r="G727" s="20"/>
      <c r="Q727" s="20"/>
    </row>
    <row r="728">
      <c r="B728" s="20"/>
      <c r="D728" s="41"/>
      <c r="E728" s="20"/>
      <c r="F728" s="41"/>
      <c r="G728" s="20"/>
      <c r="Q728" s="20"/>
    </row>
    <row r="729">
      <c r="B729" s="20"/>
      <c r="D729" s="41"/>
      <c r="E729" s="20"/>
      <c r="F729" s="41"/>
      <c r="G729" s="20"/>
      <c r="Q729" s="20"/>
    </row>
    <row r="730">
      <c r="B730" s="20"/>
      <c r="D730" s="41"/>
      <c r="E730" s="20"/>
      <c r="F730" s="41"/>
      <c r="G730" s="20"/>
      <c r="Q730" s="20"/>
    </row>
    <row r="731">
      <c r="B731" s="20"/>
      <c r="D731" s="41"/>
      <c r="E731" s="20"/>
      <c r="F731" s="41"/>
      <c r="G731" s="20"/>
      <c r="Q731" s="20"/>
    </row>
    <row r="732">
      <c r="B732" s="20"/>
      <c r="D732" s="41"/>
      <c r="E732" s="20"/>
      <c r="F732" s="41"/>
      <c r="G732" s="20"/>
      <c r="Q732" s="20"/>
    </row>
    <row r="733">
      <c r="B733" s="20"/>
      <c r="D733" s="41"/>
      <c r="E733" s="20"/>
      <c r="F733" s="41"/>
      <c r="G733" s="20"/>
      <c r="Q733" s="20"/>
    </row>
    <row r="734">
      <c r="B734" s="20"/>
      <c r="D734" s="41"/>
      <c r="E734" s="20"/>
      <c r="F734" s="41"/>
      <c r="G734" s="20"/>
      <c r="Q734" s="20"/>
    </row>
    <row r="735">
      <c r="B735" s="20"/>
      <c r="D735" s="41"/>
      <c r="E735" s="20"/>
      <c r="F735" s="41"/>
      <c r="G735" s="20"/>
      <c r="Q735" s="20"/>
    </row>
    <row r="736">
      <c r="B736" s="20"/>
      <c r="D736" s="41"/>
      <c r="E736" s="20"/>
      <c r="F736" s="41"/>
      <c r="G736" s="20"/>
      <c r="Q736" s="20"/>
    </row>
    <row r="737">
      <c r="B737" s="20"/>
      <c r="D737" s="41"/>
      <c r="E737" s="20"/>
      <c r="F737" s="41"/>
      <c r="G737" s="20"/>
      <c r="Q737" s="20"/>
    </row>
    <row r="738">
      <c r="B738" s="20"/>
      <c r="D738" s="41"/>
      <c r="E738" s="20"/>
      <c r="F738" s="41"/>
      <c r="G738" s="20"/>
      <c r="Q738" s="20"/>
    </row>
    <row r="739">
      <c r="B739" s="20"/>
      <c r="D739" s="41"/>
      <c r="E739" s="20"/>
      <c r="F739" s="41"/>
      <c r="G739" s="20"/>
      <c r="Q739" s="20"/>
    </row>
    <row r="740">
      <c r="B740" s="20"/>
      <c r="D740" s="41"/>
      <c r="E740" s="20"/>
      <c r="F740" s="41"/>
      <c r="G740" s="20"/>
      <c r="Q740" s="20"/>
    </row>
    <row r="741">
      <c r="B741" s="20"/>
      <c r="D741" s="41"/>
      <c r="E741" s="20"/>
      <c r="F741" s="41"/>
      <c r="G741" s="20"/>
      <c r="Q741" s="20"/>
    </row>
    <row r="742">
      <c r="B742" s="20"/>
      <c r="D742" s="41"/>
      <c r="E742" s="20"/>
      <c r="F742" s="41"/>
      <c r="G742" s="20"/>
      <c r="Q742" s="20"/>
    </row>
    <row r="743">
      <c r="B743" s="20"/>
      <c r="D743" s="41"/>
      <c r="E743" s="20"/>
      <c r="F743" s="41"/>
      <c r="G743" s="20"/>
      <c r="Q743" s="20"/>
    </row>
    <row r="744">
      <c r="B744" s="20"/>
      <c r="D744" s="41"/>
      <c r="E744" s="20"/>
      <c r="F744" s="41"/>
      <c r="G744" s="20"/>
      <c r="Q744" s="20"/>
    </row>
    <row r="745">
      <c r="B745" s="20"/>
      <c r="D745" s="41"/>
      <c r="E745" s="20"/>
      <c r="F745" s="41"/>
      <c r="G745" s="20"/>
      <c r="Q745" s="20"/>
    </row>
    <row r="746">
      <c r="B746" s="20"/>
      <c r="D746" s="41"/>
      <c r="E746" s="20"/>
      <c r="F746" s="41"/>
      <c r="G746" s="20"/>
      <c r="Q746" s="20"/>
    </row>
    <row r="747">
      <c r="B747" s="20"/>
      <c r="D747" s="41"/>
      <c r="E747" s="20"/>
      <c r="F747" s="41"/>
      <c r="G747" s="20"/>
      <c r="Q747" s="20"/>
    </row>
    <row r="748">
      <c r="B748" s="20"/>
      <c r="D748" s="41"/>
      <c r="E748" s="20"/>
      <c r="F748" s="41"/>
      <c r="G748" s="20"/>
      <c r="Q748" s="20"/>
    </row>
    <row r="749">
      <c r="B749" s="20"/>
      <c r="D749" s="41"/>
      <c r="E749" s="20"/>
      <c r="F749" s="41"/>
      <c r="G749" s="20"/>
      <c r="Q749" s="20"/>
    </row>
    <row r="750">
      <c r="B750" s="20"/>
      <c r="D750" s="41"/>
      <c r="E750" s="20"/>
      <c r="F750" s="41"/>
      <c r="G750" s="20"/>
      <c r="Q750" s="20"/>
    </row>
    <row r="751">
      <c r="B751" s="20"/>
      <c r="D751" s="41"/>
      <c r="E751" s="20"/>
      <c r="F751" s="41"/>
      <c r="G751" s="20"/>
      <c r="Q751" s="20"/>
    </row>
    <row r="752">
      <c r="B752" s="20"/>
      <c r="D752" s="41"/>
      <c r="E752" s="20"/>
      <c r="F752" s="41"/>
      <c r="G752" s="20"/>
      <c r="Q752" s="20"/>
    </row>
    <row r="753">
      <c r="B753" s="20"/>
      <c r="D753" s="41"/>
      <c r="E753" s="20"/>
      <c r="F753" s="41"/>
      <c r="G753" s="20"/>
      <c r="Q753" s="20"/>
    </row>
    <row r="754">
      <c r="B754" s="20"/>
      <c r="D754" s="41"/>
      <c r="E754" s="20"/>
      <c r="F754" s="41"/>
      <c r="G754" s="20"/>
      <c r="Q754" s="20"/>
    </row>
    <row r="755">
      <c r="B755" s="20"/>
      <c r="D755" s="41"/>
      <c r="E755" s="20"/>
      <c r="F755" s="41"/>
      <c r="G755" s="20"/>
      <c r="Q755" s="20"/>
    </row>
    <row r="756">
      <c r="B756" s="20"/>
      <c r="D756" s="41"/>
      <c r="E756" s="20"/>
      <c r="F756" s="41"/>
      <c r="G756" s="20"/>
      <c r="Q756" s="20"/>
    </row>
    <row r="757">
      <c r="B757" s="20"/>
      <c r="D757" s="41"/>
      <c r="E757" s="20"/>
      <c r="F757" s="41"/>
      <c r="G757" s="20"/>
      <c r="Q757" s="20"/>
    </row>
    <row r="758">
      <c r="B758" s="20"/>
      <c r="D758" s="41"/>
      <c r="E758" s="20"/>
      <c r="F758" s="41"/>
      <c r="G758" s="20"/>
      <c r="Q758" s="20"/>
    </row>
    <row r="759">
      <c r="B759" s="20"/>
      <c r="D759" s="41"/>
      <c r="E759" s="20"/>
      <c r="F759" s="41"/>
      <c r="G759" s="20"/>
      <c r="Q759" s="20"/>
    </row>
    <row r="760">
      <c r="B760" s="20"/>
      <c r="D760" s="41"/>
      <c r="E760" s="20"/>
      <c r="F760" s="41"/>
      <c r="G760" s="20"/>
      <c r="Q760" s="20"/>
    </row>
    <row r="761">
      <c r="B761" s="20"/>
      <c r="D761" s="41"/>
      <c r="E761" s="20"/>
      <c r="F761" s="41"/>
      <c r="G761" s="20"/>
      <c r="Q761" s="20"/>
    </row>
    <row r="762">
      <c r="B762" s="20"/>
      <c r="D762" s="41"/>
      <c r="E762" s="20"/>
      <c r="F762" s="41"/>
      <c r="G762" s="20"/>
      <c r="Q762" s="20"/>
    </row>
    <row r="763">
      <c r="B763" s="20"/>
      <c r="D763" s="41"/>
      <c r="E763" s="20"/>
      <c r="F763" s="41"/>
      <c r="G763" s="20"/>
      <c r="Q763" s="20"/>
    </row>
    <row r="764">
      <c r="B764" s="20"/>
      <c r="D764" s="41"/>
      <c r="E764" s="20"/>
      <c r="F764" s="41"/>
      <c r="G764" s="20"/>
      <c r="Q764" s="20"/>
    </row>
    <row r="765">
      <c r="B765" s="20"/>
      <c r="D765" s="41"/>
      <c r="E765" s="20"/>
      <c r="F765" s="41"/>
      <c r="G765" s="20"/>
      <c r="Q765" s="20"/>
    </row>
    <row r="766">
      <c r="B766" s="20"/>
      <c r="D766" s="41"/>
      <c r="E766" s="20"/>
      <c r="F766" s="41"/>
      <c r="G766" s="20"/>
      <c r="Q766" s="20"/>
    </row>
    <row r="767">
      <c r="B767" s="20"/>
      <c r="D767" s="41"/>
      <c r="E767" s="20"/>
      <c r="F767" s="41"/>
      <c r="G767" s="20"/>
      <c r="Q767" s="20"/>
    </row>
    <row r="768">
      <c r="B768" s="20"/>
      <c r="D768" s="41"/>
      <c r="E768" s="20"/>
      <c r="F768" s="41"/>
      <c r="G768" s="20"/>
      <c r="Q768" s="20"/>
    </row>
    <row r="769">
      <c r="B769" s="20"/>
      <c r="D769" s="41"/>
      <c r="E769" s="20"/>
      <c r="F769" s="41"/>
      <c r="G769" s="20"/>
      <c r="Q769" s="20"/>
    </row>
    <row r="770">
      <c r="B770" s="20"/>
      <c r="D770" s="41"/>
      <c r="E770" s="20"/>
      <c r="F770" s="41"/>
      <c r="G770" s="20"/>
      <c r="Q770" s="20"/>
    </row>
    <row r="771">
      <c r="B771" s="20"/>
      <c r="D771" s="41"/>
      <c r="E771" s="20"/>
      <c r="F771" s="41"/>
      <c r="G771" s="20"/>
      <c r="Q771" s="20"/>
    </row>
    <row r="772">
      <c r="B772" s="20"/>
      <c r="D772" s="41"/>
      <c r="E772" s="20"/>
      <c r="F772" s="41"/>
      <c r="G772" s="20"/>
      <c r="Q772" s="20"/>
    </row>
    <row r="773">
      <c r="B773" s="20"/>
      <c r="D773" s="41"/>
      <c r="E773" s="20"/>
      <c r="F773" s="41"/>
      <c r="G773" s="20"/>
      <c r="Q773" s="20"/>
    </row>
    <row r="774">
      <c r="B774" s="20"/>
      <c r="D774" s="41"/>
      <c r="E774" s="20"/>
      <c r="F774" s="41"/>
      <c r="G774" s="20"/>
      <c r="Q774" s="20"/>
    </row>
    <row r="775">
      <c r="B775" s="20"/>
      <c r="D775" s="41"/>
      <c r="E775" s="20"/>
      <c r="F775" s="41"/>
      <c r="G775" s="20"/>
      <c r="Q775" s="20"/>
    </row>
    <row r="776">
      <c r="B776" s="20"/>
      <c r="D776" s="41"/>
      <c r="E776" s="20"/>
      <c r="F776" s="41"/>
      <c r="G776" s="20"/>
      <c r="Q776" s="20"/>
    </row>
    <row r="777">
      <c r="B777" s="20"/>
      <c r="D777" s="41"/>
      <c r="E777" s="20"/>
      <c r="F777" s="41"/>
      <c r="G777" s="20"/>
      <c r="Q777" s="20"/>
    </row>
    <row r="778">
      <c r="B778" s="20"/>
      <c r="D778" s="41"/>
      <c r="E778" s="20"/>
      <c r="F778" s="41"/>
      <c r="G778" s="20"/>
      <c r="Q778" s="20"/>
    </row>
    <row r="779">
      <c r="B779" s="20"/>
      <c r="D779" s="41"/>
      <c r="E779" s="20"/>
      <c r="F779" s="41"/>
      <c r="G779" s="20"/>
      <c r="Q779" s="20"/>
    </row>
    <row r="780">
      <c r="B780" s="20"/>
      <c r="D780" s="41"/>
      <c r="E780" s="20"/>
      <c r="F780" s="41"/>
      <c r="G780" s="20"/>
      <c r="Q780" s="20"/>
    </row>
    <row r="781">
      <c r="B781" s="20"/>
      <c r="D781" s="41"/>
      <c r="E781" s="20"/>
      <c r="F781" s="41"/>
      <c r="G781" s="20"/>
      <c r="Q781" s="20"/>
    </row>
    <row r="782">
      <c r="B782" s="20"/>
      <c r="D782" s="41"/>
      <c r="E782" s="20"/>
      <c r="F782" s="41"/>
      <c r="G782" s="20"/>
      <c r="Q782" s="20"/>
    </row>
    <row r="783">
      <c r="B783" s="20"/>
      <c r="D783" s="41"/>
      <c r="E783" s="20"/>
      <c r="F783" s="41"/>
      <c r="G783" s="20"/>
      <c r="Q783" s="20"/>
    </row>
    <row r="784">
      <c r="B784" s="20"/>
      <c r="D784" s="41"/>
      <c r="E784" s="20"/>
      <c r="F784" s="41"/>
      <c r="G784" s="20"/>
      <c r="Q784" s="20"/>
    </row>
    <row r="785">
      <c r="B785" s="20"/>
      <c r="D785" s="41"/>
      <c r="E785" s="20"/>
      <c r="F785" s="41"/>
      <c r="G785" s="20"/>
      <c r="Q785" s="20"/>
    </row>
    <row r="786">
      <c r="B786" s="20"/>
      <c r="D786" s="41"/>
      <c r="E786" s="20"/>
      <c r="F786" s="41"/>
      <c r="G786" s="20"/>
      <c r="Q786" s="20"/>
    </row>
    <row r="787">
      <c r="B787" s="20"/>
      <c r="D787" s="41"/>
      <c r="E787" s="20"/>
      <c r="F787" s="41"/>
      <c r="G787" s="20"/>
      <c r="Q787" s="20"/>
    </row>
    <row r="788">
      <c r="B788" s="20"/>
      <c r="D788" s="41"/>
      <c r="E788" s="20"/>
      <c r="F788" s="41"/>
      <c r="G788" s="20"/>
      <c r="Q788" s="20"/>
    </row>
    <row r="789">
      <c r="B789" s="20"/>
      <c r="D789" s="41"/>
      <c r="E789" s="20"/>
      <c r="F789" s="41"/>
      <c r="G789" s="20"/>
      <c r="Q789" s="20"/>
    </row>
    <row r="790">
      <c r="B790" s="20"/>
      <c r="D790" s="41"/>
      <c r="E790" s="20"/>
      <c r="F790" s="41"/>
      <c r="G790" s="20"/>
      <c r="Q790" s="20"/>
    </row>
    <row r="791">
      <c r="B791" s="20"/>
      <c r="D791" s="41"/>
      <c r="E791" s="20"/>
      <c r="F791" s="41"/>
      <c r="G791" s="20"/>
      <c r="Q791" s="20"/>
    </row>
    <row r="792">
      <c r="B792" s="20"/>
      <c r="D792" s="41"/>
      <c r="E792" s="20"/>
      <c r="F792" s="41"/>
      <c r="G792" s="20"/>
      <c r="Q792" s="20"/>
    </row>
    <row r="793">
      <c r="B793" s="20"/>
      <c r="D793" s="41"/>
      <c r="E793" s="20"/>
      <c r="F793" s="41"/>
      <c r="G793" s="20"/>
      <c r="Q793" s="20"/>
    </row>
    <row r="794">
      <c r="B794" s="20"/>
      <c r="D794" s="41"/>
      <c r="E794" s="20"/>
      <c r="F794" s="41"/>
      <c r="G794" s="20"/>
      <c r="Q794" s="20"/>
    </row>
    <row r="795">
      <c r="B795" s="20"/>
      <c r="D795" s="41"/>
      <c r="E795" s="20"/>
      <c r="F795" s="41"/>
      <c r="G795" s="20"/>
      <c r="Q795" s="20"/>
    </row>
    <row r="796">
      <c r="B796" s="20"/>
      <c r="D796" s="41"/>
      <c r="E796" s="20"/>
      <c r="F796" s="41"/>
      <c r="G796" s="20"/>
      <c r="Q796" s="20"/>
    </row>
    <row r="797">
      <c r="B797" s="20"/>
      <c r="D797" s="41"/>
      <c r="E797" s="20"/>
      <c r="F797" s="41"/>
      <c r="G797" s="20"/>
      <c r="Q797" s="20"/>
    </row>
    <row r="798">
      <c r="B798" s="20"/>
      <c r="D798" s="41"/>
      <c r="E798" s="20"/>
      <c r="F798" s="41"/>
      <c r="G798" s="20"/>
      <c r="Q798" s="20"/>
    </row>
    <row r="799">
      <c r="B799" s="20"/>
      <c r="D799" s="41"/>
      <c r="E799" s="20"/>
      <c r="F799" s="41"/>
      <c r="G799" s="20"/>
      <c r="Q799" s="20"/>
    </row>
    <row r="800">
      <c r="B800" s="20"/>
      <c r="D800" s="41"/>
      <c r="E800" s="20"/>
      <c r="F800" s="41"/>
      <c r="G800" s="20"/>
      <c r="Q800" s="20"/>
    </row>
    <row r="801">
      <c r="B801" s="20"/>
      <c r="D801" s="41"/>
      <c r="E801" s="20"/>
      <c r="F801" s="41"/>
      <c r="G801" s="20"/>
      <c r="Q801" s="20"/>
    </row>
    <row r="802">
      <c r="B802" s="20"/>
      <c r="D802" s="41"/>
      <c r="E802" s="20"/>
      <c r="F802" s="41"/>
      <c r="G802" s="20"/>
      <c r="Q802" s="20"/>
    </row>
    <row r="803">
      <c r="B803" s="20"/>
      <c r="D803" s="41"/>
      <c r="E803" s="20"/>
      <c r="F803" s="41"/>
      <c r="G803" s="20"/>
      <c r="Q803" s="20"/>
    </row>
    <row r="804">
      <c r="B804" s="20"/>
      <c r="D804" s="41"/>
      <c r="E804" s="20"/>
      <c r="F804" s="41"/>
      <c r="G804" s="20"/>
      <c r="Q804" s="20"/>
    </row>
    <row r="805">
      <c r="B805" s="20"/>
      <c r="D805" s="41"/>
      <c r="E805" s="20"/>
      <c r="F805" s="41"/>
      <c r="G805" s="20"/>
      <c r="Q805" s="20"/>
    </row>
    <row r="806">
      <c r="B806" s="20"/>
      <c r="D806" s="41"/>
      <c r="E806" s="20"/>
      <c r="F806" s="41"/>
      <c r="G806" s="20"/>
      <c r="Q806" s="20"/>
    </row>
    <row r="807">
      <c r="B807" s="20"/>
      <c r="D807" s="41"/>
      <c r="E807" s="20"/>
      <c r="F807" s="41"/>
      <c r="G807" s="20"/>
      <c r="Q807" s="20"/>
    </row>
    <row r="808">
      <c r="B808" s="20"/>
      <c r="D808" s="41"/>
      <c r="E808" s="20"/>
      <c r="F808" s="41"/>
      <c r="G808" s="20"/>
      <c r="Q808" s="20"/>
    </row>
    <row r="809">
      <c r="B809" s="20"/>
      <c r="D809" s="41"/>
      <c r="E809" s="20"/>
      <c r="F809" s="41"/>
      <c r="G809" s="20"/>
      <c r="Q809" s="20"/>
    </row>
    <row r="810">
      <c r="B810" s="20"/>
      <c r="D810" s="41"/>
      <c r="E810" s="20"/>
      <c r="F810" s="41"/>
      <c r="G810" s="20"/>
      <c r="Q810" s="20"/>
    </row>
    <row r="811">
      <c r="B811" s="20"/>
      <c r="D811" s="41"/>
      <c r="E811" s="20"/>
      <c r="F811" s="41"/>
      <c r="G811" s="20"/>
      <c r="Q811" s="20"/>
    </row>
    <row r="812">
      <c r="B812" s="20"/>
      <c r="D812" s="41"/>
      <c r="E812" s="20"/>
      <c r="F812" s="41"/>
      <c r="G812" s="20"/>
      <c r="Q812" s="20"/>
    </row>
    <row r="813">
      <c r="B813" s="20"/>
      <c r="D813" s="41"/>
      <c r="E813" s="20"/>
      <c r="F813" s="41"/>
      <c r="G813" s="20"/>
      <c r="Q813" s="20"/>
    </row>
    <row r="814">
      <c r="B814" s="20"/>
      <c r="D814" s="41"/>
      <c r="E814" s="20"/>
      <c r="F814" s="41"/>
      <c r="G814" s="20"/>
      <c r="Q814" s="20"/>
    </row>
    <row r="815">
      <c r="B815" s="20"/>
      <c r="D815" s="41"/>
      <c r="E815" s="20"/>
      <c r="F815" s="41"/>
      <c r="G815" s="20"/>
      <c r="Q815" s="20"/>
    </row>
    <row r="816">
      <c r="B816" s="20"/>
      <c r="D816" s="41"/>
      <c r="E816" s="20"/>
      <c r="F816" s="41"/>
      <c r="G816" s="20"/>
      <c r="Q816" s="20"/>
    </row>
    <row r="817">
      <c r="B817" s="20"/>
      <c r="D817" s="41"/>
      <c r="E817" s="20"/>
      <c r="F817" s="41"/>
      <c r="G817" s="20"/>
      <c r="Q817" s="20"/>
    </row>
    <row r="818">
      <c r="B818" s="20"/>
      <c r="D818" s="41"/>
      <c r="E818" s="20"/>
      <c r="F818" s="41"/>
      <c r="G818" s="20"/>
      <c r="Q818" s="20"/>
    </row>
    <row r="819">
      <c r="B819" s="20"/>
      <c r="D819" s="41"/>
      <c r="E819" s="20"/>
      <c r="F819" s="41"/>
      <c r="G819" s="20"/>
      <c r="Q819" s="20"/>
    </row>
    <row r="820">
      <c r="B820" s="20"/>
      <c r="D820" s="41"/>
      <c r="E820" s="20"/>
      <c r="F820" s="41"/>
      <c r="G820" s="20"/>
      <c r="Q820" s="20"/>
    </row>
    <row r="821">
      <c r="B821" s="20"/>
      <c r="D821" s="41"/>
      <c r="E821" s="20"/>
      <c r="F821" s="41"/>
      <c r="G821" s="20"/>
      <c r="Q821" s="20"/>
    </row>
    <row r="822">
      <c r="B822" s="20"/>
      <c r="D822" s="41"/>
      <c r="E822" s="20"/>
      <c r="F822" s="41"/>
      <c r="G822" s="20"/>
      <c r="Q822" s="20"/>
    </row>
    <row r="823">
      <c r="B823" s="20"/>
      <c r="D823" s="41"/>
      <c r="E823" s="20"/>
      <c r="F823" s="41"/>
      <c r="G823" s="20"/>
      <c r="Q823" s="20"/>
    </row>
    <row r="824">
      <c r="B824" s="20"/>
      <c r="D824" s="41"/>
      <c r="E824" s="20"/>
      <c r="F824" s="41"/>
      <c r="G824" s="20"/>
      <c r="Q824" s="20"/>
    </row>
    <row r="825">
      <c r="B825" s="20"/>
      <c r="D825" s="41"/>
      <c r="E825" s="20"/>
      <c r="F825" s="41"/>
      <c r="G825" s="20"/>
      <c r="Q825" s="20"/>
    </row>
    <row r="826">
      <c r="B826" s="20"/>
      <c r="D826" s="41"/>
      <c r="E826" s="20"/>
      <c r="F826" s="41"/>
      <c r="G826" s="20"/>
      <c r="Q826" s="20"/>
    </row>
    <row r="827">
      <c r="B827" s="20"/>
      <c r="D827" s="41"/>
      <c r="E827" s="20"/>
      <c r="F827" s="41"/>
      <c r="G827" s="20"/>
      <c r="Q827" s="20"/>
    </row>
    <row r="828">
      <c r="B828" s="20"/>
      <c r="D828" s="41"/>
      <c r="E828" s="20"/>
      <c r="F828" s="41"/>
      <c r="G828" s="20"/>
      <c r="Q828" s="20"/>
    </row>
    <row r="829">
      <c r="B829" s="20"/>
      <c r="D829" s="41"/>
      <c r="E829" s="20"/>
      <c r="F829" s="41"/>
      <c r="G829" s="20"/>
      <c r="Q829" s="20"/>
    </row>
    <row r="830">
      <c r="B830" s="20"/>
      <c r="D830" s="41"/>
      <c r="E830" s="20"/>
      <c r="F830" s="41"/>
      <c r="G830" s="20"/>
      <c r="Q830" s="20"/>
    </row>
    <row r="831">
      <c r="B831" s="20"/>
      <c r="D831" s="41"/>
      <c r="E831" s="20"/>
      <c r="F831" s="41"/>
      <c r="G831" s="20"/>
      <c r="Q831" s="20"/>
    </row>
    <row r="832">
      <c r="B832" s="20"/>
      <c r="D832" s="41"/>
      <c r="E832" s="20"/>
      <c r="F832" s="41"/>
      <c r="G832" s="20"/>
      <c r="Q832" s="20"/>
    </row>
    <row r="833">
      <c r="B833" s="20"/>
      <c r="D833" s="41"/>
      <c r="E833" s="20"/>
      <c r="F833" s="41"/>
      <c r="G833" s="20"/>
      <c r="Q833" s="20"/>
    </row>
    <row r="834">
      <c r="B834" s="20"/>
      <c r="D834" s="41"/>
      <c r="E834" s="20"/>
      <c r="F834" s="41"/>
      <c r="G834" s="20"/>
      <c r="Q834" s="20"/>
    </row>
    <row r="835">
      <c r="B835" s="20"/>
      <c r="D835" s="41"/>
      <c r="E835" s="20"/>
      <c r="F835" s="41"/>
      <c r="G835" s="20"/>
      <c r="Q835" s="20"/>
    </row>
    <row r="836">
      <c r="B836" s="20"/>
      <c r="D836" s="41"/>
      <c r="E836" s="20"/>
      <c r="F836" s="41"/>
      <c r="G836" s="20"/>
      <c r="Q836" s="20"/>
    </row>
    <row r="837">
      <c r="B837" s="20"/>
      <c r="D837" s="41"/>
      <c r="E837" s="20"/>
      <c r="F837" s="41"/>
      <c r="G837" s="20"/>
      <c r="Q837" s="20"/>
    </row>
    <row r="838">
      <c r="B838" s="20"/>
      <c r="D838" s="41"/>
      <c r="E838" s="20"/>
      <c r="F838" s="41"/>
      <c r="G838" s="20"/>
      <c r="Q838" s="20"/>
    </row>
    <row r="839">
      <c r="B839" s="20"/>
      <c r="D839" s="41"/>
      <c r="E839" s="20"/>
      <c r="F839" s="41"/>
      <c r="G839" s="20"/>
      <c r="Q839" s="20"/>
    </row>
    <row r="840">
      <c r="B840" s="20"/>
      <c r="D840" s="41"/>
      <c r="E840" s="20"/>
      <c r="F840" s="41"/>
      <c r="G840" s="20"/>
      <c r="Q840" s="20"/>
    </row>
    <row r="841">
      <c r="B841" s="20"/>
      <c r="D841" s="41"/>
      <c r="E841" s="20"/>
      <c r="F841" s="41"/>
      <c r="G841" s="20"/>
      <c r="Q841" s="20"/>
    </row>
    <row r="842">
      <c r="B842" s="20"/>
      <c r="D842" s="41"/>
      <c r="E842" s="20"/>
      <c r="F842" s="41"/>
      <c r="G842" s="20"/>
      <c r="Q842" s="20"/>
    </row>
    <row r="843">
      <c r="B843" s="20"/>
      <c r="D843" s="41"/>
      <c r="E843" s="20"/>
      <c r="F843" s="41"/>
      <c r="G843" s="20"/>
      <c r="Q843" s="20"/>
    </row>
    <row r="844">
      <c r="B844" s="20"/>
      <c r="D844" s="41"/>
      <c r="E844" s="20"/>
      <c r="F844" s="41"/>
      <c r="G844" s="20"/>
      <c r="Q844" s="20"/>
    </row>
    <row r="845">
      <c r="B845" s="20"/>
      <c r="D845" s="41"/>
      <c r="E845" s="20"/>
      <c r="F845" s="41"/>
      <c r="G845" s="20"/>
      <c r="Q845" s="20"/>
    </row>
    <row r="846">
      <c r="B846" s="20"/>
      <c r="D846" s="41"/>
      <c r="E846" s="20"/>
      <c r="F846" s="41"/>
      <c r="G846" s="20"/>
      <c r="Q846" s="20"/>
    </row>
    <row r="847">
      <c r="B847" s="20"/>
      <c r="D847" s="41"/>
      <c r="E847" s="20"/>
      <c r="F847" s="41"/>
      <c r="G847" s="20"/>
      <c r="Q847" s="20"/>
    </row>
    <row r="848">
      <c r="B848" s="20"/>
      <c r="D848" s="41"/>
      <c r="E848" s="20"/>
      <c r="F848" s="41"/>
      <c r="G848" s="20"/>
      <c r="Q848" s="20"/>
    </row>
    <row r="849">
      <c r="B849" s="20"/>
      <c r="D849" s="41"/>
      <c r="E849" s="20"/>
      <c r="F849" s="41"/>
      <c r="G849" s="20"/>
      <c r="Q849" s="20"/>
    </row>
    <row r="850">
      <c r="B850" s="20"/>
      <c r="D850" s="41"/>
      <c r="E850" s="20"/>
      <c r="F850" s="41"/>
      <c r="G850" s="20"/>
      <c r="Q850" s="20"/>
    </row>
    <row r="851">
      <c r="B851" s="20"/>
      <c r="D851" s="41"/>
      <c r="E851" s="20"/>
      <c r="F851" s="41"/>
      <c r="G851" s="20"/>
      <c r="Q851" s="20"/>
    </row>
    <row r="852">
      <c r="B852" s="20"/>
      <c r="D852" s="41"/>
      <c r="E852" s="20"/>
      <c r="F852" s="41"/>
      <c r="G852" s="20"/>
      <c r="Q852" s="20"/>
    </row>
    <row r="853">
      <c r="B853" s="20"/>
      <c r="D853" s="41"/>
      <c r="E853" s="20"/>
      <c r="F853" s="41"/>
      <c r="G853" s="20"/>
      <c r="Q853" s="20"/>
    </row>
    <row r="854">
      <c r="B854" s="20"/>
      <c r="D854" s="41"/>
      <c r="E854" s="20"/>
      <c r="F854" s="41"/>
      <c r="G854" s="20"/>
      <c r="Q854" s="20"/>
    </row>
    <row r="855">
      <c r="B855" s="20"/>
      <c r="D855" s="41"/>
      <c r="E855" s="20"/>
      <c r="F855" s="41"/>
      <c r="G855" s="20"/>
      <c r="Q855" s="20"/>
    </row>
    <row r="856">
      <c r="B856" s="20"/>
      <c r="D856" s="41"/>
      <c r="E856" s="20"/>
      <c r="F856" s="41"/>
      <c r="G856" s="20"/>
      <c r="Q856" s="20"/>
    </row>
    <row r="857">
      <c r="B857" s="20"/>
      <c r="D857" s="41"/>
      <c r="E857" s="20"/>
      <c r="F857" s="41"/>
      <c r="G857" s="20"/>
      <c r="Q857" s="20"/>
    </row>
    <row r="858">
      <c r="B858" s="20"/>
      <c r="D858" s="41"/>
      <c r="E858" s="20"/>
      <c r="F858" s="41"/>
      <c r="G858" s="20"/>
      <c r="Q858" s="20"/>
    </row>
    <row r="859">
      <c r="B859" s="20"/>
      <c r="D859" s="41"/>
      <c r="E859" s="20"/>
      <c r="F859" s="41"/>
      <c r="G859" s="20"/>
      <c r="Q859" s="20"/>
    </row>
    <row r="860">
      <c r="B860" s="20"/>
      <c r="D860" s="41"/>
      <c r="E860" s="20"/>
      <c r="F860" s="41"/>
      <c r="G860" s="20"/>
      <c r="Q860" s="20"/>
    </row>
    <row r="861">
      <c r="B861" s="20"/>
      <c r="D861" s="41"/>
      <c r="E861" s="20"/>
      <c r="F861" s="41"/>
      <c r="G861" s="20"/>
      <c r="Q861" s="20"/>
    </row>
    <row r="862">
      <c r="B862" s="20"/>
      <c r="D862" s="41"/>
      <c r="E862" s="20"/>
      <c r="F862" s="41"/>
      <c r="G862" s="20"/>
      <c r="Q862" s="20"/>
    </row>
    <row r="863">
      <c r="B863" s="20"/>
      <c r="D863" s="41"/>
      <c r="E863" s="20"/>
      <c r="F863" s="41"/>
      <c r="G863" s="20"/>
      <c r="Q863" s="20"/>
    </row>
    <row r="864">
      <c r="B864" s="20"/>
      <c r="D864" s="41"/>
      <c r="E864" s="20"/>
      <c r="F864" s="41"/>
      <c r="G864" s="20"/>
      <c r="Q864" s="20"/>
    </row>
    <row r="865">
      <c r="B865" s="20"/>
      <c r="D865" s="41"/>
      <c r="E865" s="20"/>
      <c r="F865" s="41"/>
      <c r="G865" s="20"/>
      <c r="Q865" s="20"/>
    </row>
    <row r="866">
      <c r="B866" s="20"/>
      <c r="D866" s="41"/>
      <c r="E866" s="20"/>
      <c r="F866" s="41"/>
      <c r="G866" s="20"/>
      <c r="Q866" s="20"/>
    </row>
    <row r="867">
      <c r="B867" s="20"/>
      <c r="D867" s="41"/>
      <c r="E867" s="20"/>
      <c r="F867" s="41"/>
      <c r="G867" s="20"/>
      <c r="Q867" s="20"/>
    </row>
    <row r="868">
      <c r="B868" s="20"/>
      <c r="D868" s="41"/>
      <c r="E868" s="20"/>
      <c r="F868" s="41"/>
      <c r="G868" s="20"/>
      <c r="Q868" s="20"/>
    </row>
    <row r="869">
      <c r="B869" s="20"/>
      <c r="D869" s="41"/>
      <c r="E869" s="20"/>
      <c r="F869" s="41"/>
      <c r="G869" s="20"/>
      <c r="Q869" s="20"/>
    </row>
    <row r="870">
      <c r="B870" s="20"/>
      <c r="D870" s="41"/>
      <c r="E870" s="20"/>
      <c r="F870" s="41"/>
      <c r="G870" s="20"/>
      <c r="Q870" s="20"/>
    </row>
    <row r="871">
      <c r="B871" s="20"/>
      <c r="D871" s="41"/>
      <c r="E871" s="20"/>
      <c r="F871" s="41"/>
      <c r="G871" s="20"/>
      <c r="Q871" s="20"/>
    </row>
    <row r="872">
      <c r="B872" s="20"/>
      <c r="D872" s="41"/>
      <c r="E872" s="20"/>
      <c r="F872" s="41"/>
      <c r="G872" s="20"/>
      <c r="Q872" s="20"/>
    </row>
    <row r="873">
      <c r="B873" s="20"/>
      <c r="D873" s="41"/>
      <c r="E873" s="20"/>
      <c r="F873" s="41"/>
      <c r="G873" s="20"/>
      <c r="Q873" s="20"/>
    </row>
    <row r="874">
      <c r="B874" s="20"/>
      <c r="D874" s="41"/>
      <c r="E874" s="20"/>
      <c r="F874" s="41"/>
      <c r="G874" s="20"/>
      <c r="Q874" s="20"/>
    </row>
    <row r="875">
      <c r="B875" s="20"/>
      <c r="D875" s="41"/>
      <c r="E875" s="20"/>
      <c r="F875" s="41"/>
      <c r="G875" s="20"/>
      <c r="Q875" s="20"/>
    </row>
    <row r="876">
      <c r="B876" s="20"/>
      <c r="D876" s="41"/>
      <c r="E876" s="20"/>
      <c r="F876" s="41"/>
      <c r="G876" s="20"/>
      <c r="Q876" s="20"/>
    </row>
    <row r="877">
      <c r="B877" s="20"/>
      <c r="D877" s="41"/>
      <c r="E877" s="20"/>
      <c r="F877" s="41"/>
      <c r="G877" s="20"/>
      <c r="Q877" s="20"/>
    </row>
    <row r="878">
      <c r="B878" s="20"/>
      <c r="D878" s="41"/>
      <c r="E878" s="20"/>
      <c r="F878" s="41"/>
      <c r="G878" s="20"/>
      <c r="Q878" s="20"/>
    </row>
    <row r="879">
      <c r="B879" s="20"/>
      <c r="D879" s="41"/>
      <c r="E879" s="20"/>
      <c r="F879" s="41"/>
      <c r="G879" s="20"/>
      <c r="Q879" s="20"/>
    </row>
    <row r="880">
      <c r="B880" s="20"/>
      <c r="D880" s="41"/>
      <c r="E880" s="20"/>
      <c r="F880" s="41"/>
      <c r="G880" s="20"/>
      <c r="Q880" s="20"/>
    </row>
    <row r="881">
      <c r="B881" s="20"/>
      <c r="D881" s="41"/>
      <c r="E881" s="20"/>
      <c r="F881" s="41"/>
      <c r="G881" s="20"/>
      <c r="Q881" s="20"/>
    </row>
    <row r="882">
      <c r="B882" s="20"/>
      <c r="D882" s="41"/>
      <c r="E882" s="20"/>
      <c r="F882" s="41"/>
      <c r="G882" s="20"/>
      <c r="Q882" s="20"/>
    </row>
    <row r="883">
      <c r="B883" s="20"/>
      <c r="D883" s="41"/>
      <c r="E883" s="20"/>
      <c r="F883" s="41"/>
      <c r="G883" s="20"/>
      <c r="Q883" s="20"/>
    </row>
    <row r="884">
      <c r="B884" s="20"/>
      <c r="D884" s="41"/>
      <c r="E884" s="20"/>
      <c r="F884" s="41"/>
      <c r="G884" s="20"/>
      <c r="Q884" s="20"/>
    </row>
    <row r="885">
      <c r="B885" s="20"/>
      <c r="D885" s="41"/>
      <c r="E885" s="20"/>
      <c r="F885" s="41"/>
      <c r="G885" s="20"/>
      <c r="Q885" s="20"/>
    </row>
    <row r="886">
      <c r="B886" s="20"/>
      <c r="D886" s="41"/>
      <c r="E886" s="20"/>
      <c r="F886" s="41"/>
      <c r="G886" s="20"/>
      <c r="Q886" s="20"/>
    </row>
    <row r="887">
      <c r="B887" s="20"/>
      <c r="D887" s="41"/>
      <c r="E887" s="20"/>
      <c r="F887" s="41"/>
      <c r="G887" s="20"/>
      <c r="Q887" s="20"/>
    </row>
    <row r="888">
      <c r="B888" s="20"/>
      <c r="D888" s="41"/>
      <c r="E888" s="20"/>
      <c r="F888" s="41"/>
      <c r="G888" s="20"/>
      <c r="Q888" s="20"/>
    </row>
    <row r="889">
      <c r="B889" s="20"/>
      <c r="D889" s="41"/>
      <c r="E889" s="20"/>
      <c r="F889" s="41"/>
      <c r="G889" s="20"/>
      <c r="Q889" s="20"/>
    </row>
    <row r="890">
      <c r="B890" s="20"/>
      <c r="D890" s="41"/>
      <c r="E890" s="20"/>
      <c r="F890" s="41"/>
      <c r="G890" s="20"/>
      <c r="Q890" s="20"/>
    </row>
    <row r="891">
      <c r="B891" s="20"/>
      <c r="D891" s="41"/>
      <c r="E891" s="20"/>
      <c r="F891" s="41"/>
      <c r="G891" s="20"/>
      <c r="Q891" s="20"/>
    </row>
    <row r="892">
      <c r="B892" s="20"/>
      <c r="D892" s="41"/>
      <c r="E892" s="20"/>
      <c r="F892" s="41"/>
      <c r="G892" s="20"/>
      <c r="Q892" s="20"/>
    </row>
    <row r="893">
      <c r="B893" s="20"/>
      <c r="D893" s="41"/>
      <c r="E893" s="20"/>
      <c r="F893" s="41"/>
      <c r="G893" s="20"/>
      <c r="Q893" s="20"/>
    </row>
    <row r="894">
      <c r="B894" s="20"/>
      <c r="D894" s="41"/>
      <c r="E894" s="20"/>
      <c r="F894" s="41"/>
      <c r="G894" s="20"/>
      <c r="Q894" s="20"/>
    </row>
    <row r="895">
      <c r="B895" s="20"/>
      <c r="D895" s="41"/>
      <c r="E895" s="20"/>
      <c r="F895" s="41"/>
      <c r="G895" s="20"/>
      <c r="Q895" s="20"/>
    </row>
    <row r="896">
      <c r="B896" s="20"/>
      <c r="D896" s="41"/>
      <c r="E896" s="20"/>
      <c r="F896" s="41"/>
      <c r="G896" s="20"/>
      <c r="Q896" s="20"/>
    </row>
    <row r="897">
      <c r="B897" s="20"/>
      <c r="D897" s="41"/>
      <c r="E897" s="20"/>
      <c r="F897" s="41"/>
      <c r="G897" s="20"/>
      <c r="Q897" s="20"/>
    </row>
    <row r="898">
      <c r="B898" s="20"/>
      <c r="D898" s="41"/>
      <c r="E898" s="20"/>
      <c r="F898" s="41"/>
      <c r="G898" s="20"/>
      <c r="Q898" s="20"/>
    </row>
    <row r="899">
      <c r="B899" s="20"/>
      <c r="D899" s="41"/>
      <c r="E899" s="20"/>
      <c r="F899" s="41"/>
      <c r="G899" s="20"/>
      <c r="Q899" s="20"/>
    </row>
    <row r="900">
      <c r="B900" s="20"/>
      <c r="D900" s="41"/>
      <c r="E900" s="20"/>
      <c r="F900" s="41"/>
      <c r="G900" s="20"/>
      <c r="Q900" s="20"/>
    </row>
    <row r="901">
      <c r="B901" s="20"/>
      <c r="D901" s="41"/>
      <c r="E901" s="20"/>
      <c r="F901" s="41"/>
      <c r="G901" s="20"/>
      <c r="Q901" s="20"/>
    </row>
    <row r="902">
      <c r="B902" s="20"/>
      <c r="D902" s="41"/>
      <c r="E902" s="20"/>
      <c r="F902" s="41"/>
      <c r="G902" s="20"/>
      <c r="Q902" s="20"/>
    </row>
    <row r="903">
      <c r="B903" s="20"/>
      <c r="D903" s="41"/>
      <c r="E903" s="20"/>
      <c r="F903" s="41"/>
      <c r="G903" s="20"/>
      <c r="Q903" s="20"/>
    </row>
    <row r="904">
      <c r="B904" s="20"/>
      <c r="D904" s="41"/>
      <c r="E904" s="20"/>
      <c r="F904" s="41"/>
      <c r="G904" s="20"/>
      <c r="Q904" s="20"/>
    </row>
    <row r="905">
      <c r="B905" s="20"/>
      <c r="D905" s="41"/>
      <c r="E905" s="20"/>
      <c r="F905" s="41"/>
      <c r="G905" s="20"/>
      <c r="Q905" s="20"/>
    </row>
    <row r="906">
      <c r="B906" s="20"/>
      <c r="D906" s="41"/>
      <c r="E906" s="20"/>
      <c r="F906" s="41"/>
      <c r="G906" s="20"/>
      <c r="Q906" s="20"/>
    </row>
    <row r="907">
      <c r="B907" s="20"/>
      <c r="D907" s="41"/>
      <c r="E907" s="20"/>
      <c r="F907" s="41"/>
      <c r="G907" s="20"/>
      <c r="Q907" s="20"/>
    </row>
    <row r="908">
      <c r="B908" s="20"/>
      <c r="D908" s="41"/>
      <c r="E908" s="20"/>
      <c r="F908" s="41"/>
      <c r="G908" s="20"/>
      <c r="Q908" s="20"/>
    </row>
    <row r="909">
      <c r="B909" s="20"/>
      <c r="D909" s="41"/>
      <c r="E909" s="20"/>
      <c r="F909" s="41"/>
      <c r="G909" s="20"/>
      <c r="Q909" s="20"/>
    </row>
    <row r="910">
      <c r="B910" s="20"/>
      <c r="D910" s="41"/>
      <c r="E910" s="20"/>
      <c r="F910" s="41"/>
      <c r="G910" s="20"/>
      <c r="Q910" s="20"/>
    </row>
    <row r="911">
      <c r="B911" s="20"/>
      <c r="D911" s="41"/>
      <c r="E911" s="20"/>
      <c r="F911" s="41"/>
      <c r="G911" s="20"/>
      <c r="Q911" s="20"/>
    </row>
    <row r="912">
      <c r="B912" s="20"/>
      <c r="D912" s="41"/>
      <c r="E912" s="20"/>
      <c r="F912" s="41"/>
      <c r="G912" s="20"/>
      <c r="Q912" s="20"/>
    </row>
    <row r="913">
      <c r="B913" s="20"/>
      <c r="D913" s="41"/>
      <c r="E913" s="20"/>
      <c r="F913" s="41"/>
      <c r="G913" s="20"/>
      <c r="Q913" s="20"/>
    </row>
    <row r="914">
      <c r="B914" s="20"/>
      <c r="D914" s="41"/>
      <c r="E914" s="20"/>
      <c r="F914" s="41"/>
      <c r="G914" s="20"/>
      <c r="Q914" s="20"/>
    </row>
    <row r="915">
      <c r="B915" s="20"/>
      <c r="D915" s="41"/>
      <c r="E915" s="20"/>
      <c r="F915" s="41"/>
      <c r="G915" s="20"/>
      <c r="Q915" s="20"/>
    </row>
    <row r="916">
      <c r="B916" s="20"/>
      <c r="D916" s="41"/>
      <c r="E916" s="20"/>
      <c r="F916" s="41"/>
      <c r="G916" s="20"/>
      <c r="Q916" s="20"/>
    </row>
    <row r="917">
      <c r="B917" s="20"/>
      <c r="D917" s="41"/>
      <c r="E917" s="20"/>
      <c r="F917" s="41"/>
      <c r="G917" s="20"/>
      <c r="Q917" s="20"/>
    </row>
    <row r="918">
      <c r="B918" s="20"/>
      <c r="D918" s="41"/>
      <c r="E918" s="20"/>
      <c r="F918" s="41"/>
      <c r="G918" s="20"/>
      <c r="Q918" s="20"/>
    </row>
    <row r="919">
      <c r="B919" s="20"/>
      <c r="D919" s="41"/>
      <c r="E919" s="20"/>
      <c r="F919" s="41"/>
      <c r="G919" s="20"/>
      <c r="Q919" s="20"/>
    </row>
    <row r="920">
      <c r="B920" s="20"/>
      <c r="D920" s="41"/>
      <c r="E920" s="20"/>
      <c r="F920" s="41"/>
      <c r="G920" s="20"/>
      <c r="Q920" s="20"/>
    </row>
    <row r="921">
      <c r="B921" s="20"/>
      <c r="D921" s="41"/>
      <c r="E921" s="20"/>
      <c r="F921" s="41"/>
      <c r="G921" s="20"/>
      <c r="Q921" s="20"/>
    </row>
    <row r="922">
      <c r="B922" s="20"/>
      <c r="D922" s="41"/>
      <c r="E922" s="20"/>
      <c r="F922" s="41"/>
      <c r="G922" s="20"/>
      <c r="Q922" s="20"/>
    </row>
    <row r="923">
      <c r="B923" s="20"/>
      <c r="D923" s="41"/>
      <c r="E923" s="20"/>
      <c r="F923" s="41"/>
      <c r="G923" s="20"/>
      <c r="Q923" s="20"/>
    </row>
    <row r="924">
      <c r="B924" s="20"/>
      <c r="D924" s="41"/>
      <c r="E924" s="20"/>
      <c r="F924" s="41"/>
      <c r="G924" s="20"/>
      <c r="Q924" s="20"/>
    </row>
    <row r="925">
      <c r="B925" s="20"/>
      <c r="D925" s="41"/>
      <c r="E925" s="20"/>
      <c r="F925" s="41"/>
      <c r="G925" s="20"/>
      <c r="Q925" s="20"/>
    </row>
    <row r="926">
      <c r="B926" s="20"/>
      <c r="D926" s="41"/>
      <c r="E926" s="20"/>
      <c r="F926" s="41"/>
      <c r="G926" s="20"/>
      <c r="Q926" s="20"/>
    </row>
    <row r="927">
      <c r="B927" s="20"/>
      <c r="D927" s="41"/>
      <c r="E927" s="20"/>
      <c r="F927" s="41"/>
      <c r="G927" s="20"/>
      <c r="Q927" s="20"/>
    </row>
    <row r="928">
      <c r="B928" s="20"/>
      <c r="D928" s="41"/>
      <c r="E928" s="20"/>
      <c r="F928" s="41"/>
      <c r="G928" s="20"/>
      <c r="Q928" s="20"/>
    </row>
    <row r="929">
      <c r="B929" s="20"/>
      <c r="D929" s="41"/>
      <c r="E929" s="20"/>
      <c r="F929" s="41"/>
      <c r="G929" s="20"/>
      <c r="Q929" s="20"/>
    </row>
    <row r="930">
      <c r="B930" s="20"/>
      <c r="D930" s="41"/>
      <c r="E930" s="20"/>
      <c r="F930" s="41"/>
      <c r="G930" s="20"/>
      <c r="Q930" s="20"/>
    </row>
    <row r="931">
      <c r="B931" s="20"/>
      <c r="D931" s="41"/>
      <c r="E931" s="20"/>
      <c r="F931" s="41"/>
      <c r="G931" s="20"/>
      <c r="Q931" s="20"/>
    </row>
    <row r="932">
      <c r="B932" s="20"/>
      <c r="D932" s="41"/>
      <c r="E932" s="20"/>
      <c r="F932" s="41"/>
      <c r="G932" s="20"/>
      <c r="Q932" s="20"/>
    </row>
    <row r="933">
      <c r="B933" s="20"/>
      <c r="D933" s="41"/>
      <c r="E933" s="20"/>
      <c r="F933" s="41"/>
      <c r="G933" s="20"/>
      <c r="Q933" s="20"/>
    </row>
    <row r="934">
      <c r="B934" s="20"/>
      <c r="D934" s="41"/>
      <c r="E934" s="20"/>
      <c r="F934" s="41"/>
      <c r="G934" s="20"/>
      <c r="Q934" s="20"/>
    </row>
    <row r="935">
      <c r="B935" s="20"/>
      <c r="D935" s="41"/>
      <c r="E935" s="20"/>
      <c r="F935" s="41"/>
      <c r="G935" s="20"/>
      <c r="Q935" s="20"/>
    </row>
    <row r="936">
      <c r="B936" s="20"/>
      <c r="D936" s="41"/>
      <c r="E936" s="20"/>
      <c r="F936" s="41"/>
      <c r="G936" s="20"/>
      <c r="Q936" s="20"/>
    </row>
    <row r="937">
      <c r="B937" s="20"/>
      <c r="D937" s="41"/>
      <c r="E937" s="20"/>
      <c r="F937" s="41"/>
      <c r="G937" s="20"/>
      <c r="Q937" s="20"/>
    </row>
    <row r="938">
      <c r="B938" s="20"/>
      <c r="D938" s="41"/>
      <c r="E938" s="20"/>
      <c r="F938" s="41"/>
      <c r="G938" s="20"/>
      <c r="Q938" s="20"/>
    </row>
    <row r="939">
      <c r="B939" s="20"/>
      <c r="D939" s="41"/>
      <c r="E939" s="20"/>
      <c r="F939" s="41"/>
      <c r="G939" s="20"/>
      <c r="Q939" s="20"/>
    </row>
    <row r="940">
      <c r="B940" s="20"/>
      <c r="D940" s="41"/>
      <c r="E940" s="20"/>
      <c r="F940" s="41"/>
      <c r="G940" s="20"/>
      <c r="Q940" s="20"/>
    </row>
    <row r="941">
      <c r="B941" s="20"/>
      <c r="D941" s="41"/>
      <c r="E941" s="20"/>
      <c r="F941" s="41"/>
      <c r="G941" s="20"/>
      <c r="Q941" s="20"/>
    </row>
    <row r="942">
      <c r="B942" s="20"/>
      <c r="D942" s="41"/>
      <c r="E942" s="20"/>
      <c r="F942" s="41"/>
      <c r="G942" s="20"/>
      <c r="Q942" s="20"/>
    </row>
    <row r="943">
      <c r="B943" s="20"/>
      <c r="D943" s="41"/>
      <c r="E943" s="20"/>
      <c r="F943" s="41"/>
      <c r="G943" s="20"/>
      <c r="Q943" s="20"/>
    </row>
    <row r="944">
      <c r="B944" s="20"/>
      <c r="D944" s="41"/>
      <c r="E944" s="20"/>
      <c r="F944" s="41"/>
      <c r="G944" s="20"/>
      <c r="Q944" s="20"/>
    </row>
    <row r="945">
      <c r="B945" s="20"/>
      <c r="D945" s="41"/>
      <c r="E945" s="20"/>
      <c r="F945" s="41"/>
      <c r="G945" s="20"/>
      <c r="Q945" s="20"/>
    </row>
    <row r="946">
      <c r="B946" s="20"/>
      <c r="D946" s="41"/>
      <c r="E946" s="20"/>
      <c r="F946" s="41"/>
      <c r="G946" s="20"/>
      <c r="Q946" s="20"/>
    </row>
    <row r="947">
      <c r="B947" s="20"/>
      <c r="D947" s="41"/>
      <c r="E947" s="20"/>
      <c r="F947" s="41"/>
      <c r="G947" s="20"/>
      <c r="Q947" s="20"/>
    </row>
    <row r="948">
      <c r="B948" s="20"/>
      <c r="D948" s="41"/>
      <c r="E948" s="20"/>
      <c r="F948" s="41"/>
      <c r="G948" s="20"/>
      <c r="Q948" s="20"/>
    </row>
    <row r="949">
      <c r="B949" s="20"/>
      <c r="D949" s="41"/>
      <c r="E949" s="20"/>
      <c r="F949" s="41"/>
      <c r="G949" s="20"/>
      <c r="Q949" s="20"/>
    </row>
    <row r="950">
      <c r="B950" s="20"/>
      <c r="D950" s="41"/>
      <c r="E950" s="20"/>
      <c r="F950" s="41"/>
      <c r="G950" s="20"/>
      <c r="Q950" s="20"/>
    </row>
    <row r="951">
      <c r="B951" s="20"/>
      <c r="D951" s="41"/>
      <c r="E951" s="20"/>
      <c r="F951" s="41"/>
      <c r="G951" s="20"/>
      <c r="Q951" s="20"/>
    </row>
    <row r="952">
      <c r="B952" s="20"/>
      <c r="D952" s="41"/>
      <c r="E952" s="20"/>
      <c r="F952" s="41"/>
      <c r="G952" s="20"/>
      <c r="Q952" s="20"/>
    </row>
    <row r="953">
      <c r="B953" s="20"/>
      <c r="D953" s="41"/>
      <c r="E953" s="20"/>
      <c r="F953" s="41"/>
      <c r="G953" s="20"/>
      <c r="Q953" s="20"/>
    </row>
    <row r="954">
      <c r="B954" s="20"/>
      <c r="D954" s="41"/>
      <c r="E954" s="20"/>
      <c r="F954" s="41"/>
      <c r="G954" s="20"/>
      <c r="Q954" s="20"/>
    </row>
    <row r="955">
      <c r="B955" s="20"/>
      <c r="D955" s="41"/>
      <c r="E955" s="20"/>
      <c r="F955" s="41"/>
      <c r="G955" s="20"/>
      <c r="Q955" s="20"/>
    </row>
    <row r="956">
      <c r="B956" s="20"/>
      <c r="D956" s="41"/>
      <c r="E956" s="20"/>
      <c r="F956" s="41"/>
      <c r="G956" s="20"/>
      <c r="Q956" s="20"/>
    </row>
    <row r="957">
      <c r="B957" s="20"/>
      <c r="D957" s="41"/>
      <c r="E957" s="20"/>
      <c r="F957" s="41"/>
      <c r="G957" s="20"/>
      <c r="Q957" s="20"/>
    </row>
    <row r="958">
      <c r="B958" s="20"/>
      <c r="D958" s="41"/>
      <c r="E958" s="20"/>
      <c r="F958" s="41"/>
      <c r="G958" s="20"/>
      <c r="Q958" s="20"/>
    </row>
    <row r="959">
      <c r="B959" s="20"/>
      <c r="D959" s="41"/>
      <c r="E959" s="20"/>
      <c r="F959" s="41"/>
      <c r="G959" s="20"/>
      <c r="Q959" s="20"/>
    </row>
    <row r="960">
      <c r="B960" s="20"/>
      <c r="D960" s="41"/>
      <c r="E960" s="20"/>
      <c r="F960" s="41"/>
      <c r="G960" s="20"/>
      <c r="Q960" s="20"/>
    </row>
    <row r="961">
      <c r="B961" s="20"/>
      <c r="D961" s="41"/>
      <c r="E961" s="20"/>
      <c r="F961" s="41"/>
      <c r="G961" s="20"/>
      <c r="Q961" s="20"/>
    </row>
    <row r="962">
      <c r="B962" s="20"/>
      <c r="D962" s="41"/>
      <c r="E962" s="20"/>
      <c r="F962" s="41"/>
      <c r="G962" s="20"/>
      <c r="Q962" s="20"/>
    </row>
    <row r="963">
      <c r="B963" s="20"/>
      <c r="D963" s="41"/>
      <c r="E963" s="20"/>
      <c r="F963" s="41"/>
      <c r="G963" s="20"/>
      <c r="Q963" s="20"/>
    </row>
    <row r="964">
      <c r="B964" s="20"/>
      <c r="D964" s="41"/>
      <c r="E964" s="20"/>
      <c r="F964" s="41"/>
      <c r="G964" s="20"/>
      <c r="Q964" s="20"/>
    </row>
    <row r="965">
      <c r="B965" s="20"/>
      <c r="D965" s="41"/>
      <c r="E965" s="20"/>
      <c r="F965" s="41"/>
      <c r="G965" s="20"/>
      <c r="Q965" s="20"/>
    </row>
    <row r="966">
      <c r="B966" s="20"/>
      <c r="D966" s="41"/>
      <c r="E966" s="20"/>
      <c r="F966" s="41"/>
      <c r="G966" s="20"/>
      <c r="Q966" s="20"/>
    </row>
    <row r="967">
      <c r="B967" s="20"/>
      <c r="D967" s="41"/>
      <c r="E967" s="20"/>
      <c r="F967" s="41"/>
      <c r="G967" s="20"/>
      <c r="Q967" s="20"/>
    </row>
    <row r="968">
      <c r="B968" s="20"/>
      <c r="D968" s="41"/>
      <c r="E968" s="20"/>
      <c r="F968" s="41"/>
      <c r="G968" s="20"/>
      <c r="Q968" s="20"/>
    </row>
    <row r="969">
      <c r="B969" s="20"/>
      <c r="D969" s="41"/>
      <c r="E969" s="20"/>
      <c r="F969" s="41"/>
      <c r="G969" s="20"/>
      <c r="Q969" s="20"/>
    </row>
    <row r="970">
      <c r="B970" s="20"/>
      <c r="D970" s="41"/>
      <c r="E970" s="20"/>
      <c r="F970" s="41"/>
      <c r="G970" s="20"/>
      <c r="Q970" s="20"/>
    </row>
    <row r="971">
      <c r="B971" s="20"/>
      <c r="D971" s="41"/>
      <c r="E971" s="20"/>
      <c r="F971" s="41"/>
      <c r="G971" s="20"/>
      <c r="Q971" s="20"/>
    </row>
    <row r="972">
      <c r="B972" s="20"/>
      <c r="D972" s="41"/>
      <c r="E972" s="20"/>
      <c r="F972" s="41"/>
      <c r="G972" s="20"/>
      <c r="Q972" s="20"/>
    </row>
    <row r="973">
      <c r="B973" s="20"/>
      <c r="D973" s="41"/>
      <c r="E973" s="20"/>
      <c r="F973" s="41"/>
      <c r="G973" s="20"/>
      <c r="Q973" s="20"/>
    </row>
    <row r="974">
      <c r="B974" s="20"/>
      <c r="D974" s="41"/>
      <c r="E974" s="20"/>
      <c r="F974" s="41"/>
      <c r="G974" s="20"/>
      <c r="Q974" s="20"/>
    </row>
    <row r="975">
      <c r="B975" s="20"/>
      <c r="D975" s="41"/>
      <c r="E975" s="20"/>
      <c r="F975" s="41"/>
      <c r="G975" s="20"/>
      <c r="Q975" s="20"/>
    </row>
    <row r="976">
      <c r="B976" s="20"/>
      <c r="D976" s="41"/>
      <c r="E976" s="20"/>
      <c r="F976" s="41"/>
      <c r="G976" s="20"/>
      <c r="Q976" s="20"/>
    </row>
    <row r="977">
      <c r="B977" s="20"/>
      <c r="D977" s="41"/>
      <c r="E977" s="20"/>
      <c r="F977" s="41"/>
      <c r="G977" s="20"/>
      <c r="Q977" s="20"/>
    </row>
    <row r="978">
      <c r="B978" s="20"/>
      <c r="D978" s="41"/>
      <c r="E978" s="20"/>
      <c r="F978" s="41"/>
      <c r="G978" s="20"/>
      <c r="Q978" s="20"/>
    </row>
    <row r="979">
      <c r="B979" s="20"/>
      <c r="D979" s="41"/>
      <c r="E979" s="20"/>
      <c r="F979" s="41"/>
      <c r="G979" s="20"/>
      <c r="Q979" s="20"/>
    </row>
    <row r="980">
      <c r="B980" s="20"/>
      <c r="D980" s="41"/>
      <c r="E980" s="20"/>
      <c r="F980" s="41"/>
      <c r="G980" s="20"/>
      <c r="Q980" s="20"/>
    </row>
    <row r="981">
      <c r="B981" s="20"/>
      <c r="D981" s="41"/>
      <c r="E981" s="20"/>
      <c r="F981" s="41"/>
      <c r="G981" s="20"/>
      <c r="Q981" s="20"/>
    </row>
    <row r="982">
      <c r="B982" s="20"/>
      <c r="D982" s="41"/>
      <c r="E982" s="20"/>
      <c r="F982" s="41"/>
      <c r="G982" s="20"/>
      <c r="Q982" s="20"/>
    </row>
    <row r="983">
      <c r="B983" s="20"/>
      <c r="D983" s="41"/>
      <c r="E983" s="20"/>
      <c r="F983" s="41"/>
      <c r="G983" s="20"/>
      <c r="Q983" s="20"/>
    </row>
    <row r="984">
      <c r="B984" s="20"/>
      <c r="D984" s="41"/>
      <c r="E984" s="20"/>
      <c r="F984" s="41"/>
      <c r="G984" s="20"/>
      <c r="Q984" s="20"/>
    </row>
    <row r="985">
      <c r="B985" s="20"/>
      <c r="D985" s="41"/>
      <c r="E985" s="20"/>
      <c r="F985" s="41"/>
      <c r="G985" s="20"/>
      <c r="Q985" s="20"/>
    </row>
    <row r="986">
      <c r="B986" s="20"/>
      <c r="D986" s="41"/>
      <c r="E986" s="20"/>
      <c r="F986" s="41"/>
      <c r="G986" s="20"/>
      <c r="Q986" s="20"/>
    </row>
    <row r="987">
      <c r="B987" s="20"/>
      <c r="D987" s="41"/>
      <c r="E987" s="20"/>
      <c r="F987" s="41"/>
      <c r="G987" s="20"/>
      <c r="Q987" s="20"/>
    </row>
    <row r="988">
      <c r="B988" s="20"/>
      <c r="D988" s="41"/>
      <c r="E988" s="20"/>
      <c r="F988" s="41"/>
      <c r="G988" s="20"/>
      <c r="Q988" s="20"/>
    </row>
    <row r="989">
      <c r="B989" s="20"/>
      <c r="D989" s="41"/>
      <c r="E989" s="20"/>
      <c r="F989" s="41"/>
      <c r="G989" s="20"/>
      <c r="Q989" s="20"/>
    </row>
    <row r="990">
      <c r="B990" s="20"/>
      <c r="D990" s="41"/>
      <c r="E990" s="20"/>
      <c r="F990" s="41"/>
      <c r="G990" s="20"/>
      <c r="Q990" s="20"/>
    </row>
    <row r="991">
      <c r="B991" s="20"/>
      <c r="D991" s="41"/>
      <c r="E991" s="20"/>
      <c r="F991" s="41"/>
      <c r="G991" s="20"/>
      <c r="Q991" s="20"/>
    </row>
    <row r="992">
      <c r="B992" s="20"/>
      <c r="D992" s="41"/>
      <c r="E992" s="20"/>
      <c r="F992" s="41"/>
      <c r="G992" s="20"/>
      <c r="Q992" s="20"/>
    </row>
    <row r="993">
      <c r="B993" s="20"/>
      <c r="D993" s="41"/>
      <c r="E993" s="20"/>
      <c r="F993" s="41"/>
      <c r="G993" s="20"/>
      <c r="Q993" s="20"/>
    </row>
    <row r="994">
      <c r="B994" s="20"/>
      <c r="D994" s="41"/>
      <c r="E994" s="20"/>
      <c r="F994" s="41"/>
      <c r="G994" s="20"/>
      <c r="Q994" s="20"/>
    </row>
    <row r="995">
      <c r="B995" s="20"/>
      <c r="D995" s="41"/>
      <c r="E995" s="20"/>
      <c r="F995" s="41"/>
      <c r="G995" s="20"/>
      <c r="Q995" s="20"/>
    </row>
    <row r="996">
      <c r="B996" s="20"/>
      <c r="D996" s="41"/>
      <c r="E996" s="20"/>
      <c r="F996" s="41"/>
      <c r="G996" s="20"/>
      <c r="Q996" s="20"/>
    </row>
    <row r="997">
      <c r="B997" s="20"/>
      <c r="D997" s="41"/>
      <c r="E997" s="20"/>
      <c r="F997" s="41"/>
      <c r="G997" s="20"/>
      <c r="Q997" s="20"/>
    </row>
    <row r="998">
      <c r="B998" s="20"/>
      <c r="D998" s="41"/>
      <c r="E998" s="20"/>
      <c r="F998" s="41"/>
      <c r="G998" s="20"/>
      <c r="Q998" s="20"/>
    </row>
    <row r="999">
      <c r="B999" s="20"/>
      <c r="D999" s="41"/>
      <c r="E999" s="20"/>
      <c r="F999" s="41"/>
      <c r="G999" s="20"/>
      <c r="Q999" s="20"/>
    </row>
    <row r="1000">
      <c r="B1000" s="20"/>
      <c r="D1000" s="41"/>
      <c r="E1000" s="20"/>
      <c r="F1000" s="41"/>
      <c r="G1000" s="20"/>
      <c r="Q1000" s="20"/>
    </row>
  </sheetData>
  <conditionalFormatting sqref="B2:B1000">
    <cfRule type="notContainsBlanks" dxfId="0" priority="1">
      <formula>LEN(TRIM(B2))&gt;0</formula>
    </cfRule>
  </conditionalFormatting>
  <dataValidations>
    <dataValidation type="list" allowBlank="1" showDropDown="1" showErrorMessage="1" sqref="G2:G1000 Q2:Q1000">
      <formula1>"Dead,Alive"</formula1>
    </dataValidation>
    <dataValidation type="list" allowBlank="1" showDropDown="1" showErrorMessage="1" sqref="B55:B104">
      <formula1>"A,B,C,D,E,F,HH, TL, AD, DN"</formula1>
    </dataValidation>
    <dataValidation type="list" allowBlank="1" showDropDown="1" showErrorMessage="1" sqref="D2:D1000">
      <formula1>"001,002,003,004,005,006,007,008"</formula1>
    </dataValidation>
    <dataValidation type="list" allowBlank="1" showDropDown="1" showErrorMessage="1" sqref="B2:B54 B105:B1000">
      <formula1>"A,B,C,D,E,F"</formula1>
    </dataValidation>
    <dataValidation type="list" allowBlank="1" showDropDown="1" showErrorMessage="1" sqref="E2:E1000">
      <formula1>"AC,DT,OS,NR"</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687</v>
      </c>
      <c r="C1" s="1" t="s">
        <v>688</v>
      </c>
      <c r="D1" s="7" t="s">
        <v>7</v>
      </c>
      <c r="E1" s="1" t="s">
        <v>12</v>
      </c>
      <c r="F1" s="1" t="s">
        <v>689</v>
      </c>
      <c r="G1" s="1" t="s">
        <v>13</v>
      </c>
    </row>
    <row r="2">
      <c r="A2" s="1" t="s">
        <v>64</v>
      </c>
      <c r="B2" s="1" t="s">
        <v>690</v>
      </c>
      <c r="C2" s="1" t="s">
        <v>691</v>
      </c>
      <c r="D2" s="7" t="s">
        <v>78</v>
      </c>
      <c r="E2" s="1" t="s">
        <v>98</v>
      </c>
      <c r="F2" s="1" t="s">
        <v>692</v>
      </c>
      <c r="G2" s="1" t="s">
        <v>693</v>
      </c>
    </row>
    <row r="3">
      <c r="A3" s="1" t="s">
        <v>64</v>
      </c>
      <c r="B3" s="1" t="s">
        <v>690</v>
      </c>
      <c r="C3" s="1" t="s">
        <v>691</v>
      </c>
      <c r="D3" s="7" t="s">
        <v>78</v>
      </c>
      <c r="E3" s="1" t="s">
        <v>121</v>
      </c>
      <c r="F3" s="1" t="s">
        <v>692</v>
      </c>
      <c r="G3" s="1" t="s">
        <v>693</v>
      </c>
    </row>
    <row r="4">
      <c r="A4" s="1" t="s">
        <v>64</v>
      </c>
      <c r="B4" s="1" t="s">
        <v>690</v>
      </c>
      <c r="C4" s="1" t="s">
        <v>691</v>
      </c>
      <c r="D4" s="7" t="s">
        <v>281</v>
      </c>
      <c r="E4" s="1" t="s">
        <v>98</v>
      </c>
      <c r="F4" s="1" t="s">
        <v>148</v>
      </c>
      <c r="G4" s="1" t="s">
        <v>693</v>
      </c>
    </row>
    <row r="5">
      <c r="A5" s="1" t="s">
        <v>64</v>
      </c>
      <c r="B5" s="1" t="s">
        <v>690</v>
      </c>
      <c r="C5" s="1" t="s">
        <v>691</v>
      </c>
      <c r="D5" s="7" t="s">
        <v>281</v>
      </c>
      <c r="E5" s="1" t="s">
        <v>121</v>
      </c>
      <c r="F5" s="1" t="s">
        <v>148</v>
      </c>
      <c r="G5" s="1" t="s">
        <v>693</v>
      </c>
    </row>
    <row r="6">
      <c r="A6" s="1" t="s">
        <v>64</v>
      </c>
      <c r="B6" s="1" t="s">
        <v>690</v>
      </c>
      <c r="C6" s="1" t="s">
        <v>691</v>
      </c>
      <c r="D6" s="7" t="s">
        <v>202</v>
      </c>
      <c r="E6" s="1" t="s">
        <v>235</v>
      </c>
      <c r="F6" s="1" t="s">
        <v>694</v>
      </c>
      <c r="G6" s="1" t="s">
        <v>693</v>
      </c>
    </row>
    <row r="7">
      <c r="A7" s="1" t="s">
        <v>64</v>
      </c>
      <c r="B7" s="1" t="s">
        <v>690</v>
      </c>
      <c r="C7" s="1" t="s">
        <v>691</v>
      </c>
      <c r="D7" s="7" t="s">
        <v>202</v>
      </c>
      <c r="E7" s="1" t="s">
        <v>194</v>
      </c>
      <c r="F7" s="1" t="s">
        <v>694</v>
      </c>
      <c r="G7" s="1" t="s">
        <v>693</v>
      </c>
    </row>
    <row r="8">
      <c r="A8" s="1" t="s">
        <v>64</v>
      </c>
      <c r="B8" s="1" t="s">
        <v>690</v>
      </c>
      <c r="C8" s="1" t="s">
        <v>691</v>
      </c>
      <c r="D8" s="7" t="s">
        <v>227</v>
      </c>
      <c r="E8" s="1" t="s">
        <v>235</v>
      </c>
      <c r="F8" s="1" t="s">
        <v>692</v>
      </c>
      <c r="G8" s="1" t="s">
        <v>693</v>
      </c>
    </row>
    <row r="9">
      <c r="A9" s="1" t="s">
        <v>64</v>
      </c>
      <c r="B9" s="1" t="s">
        <v>690</v>
      </c>
      <c r="C9" s="1" t="s">
        <v>691</v>
      </c>
      <c r="D9" s="7" t="s">
        <v>227</v>
      </c>
      <c r="E9" s="1" t="s">
        <v>194</v>
      </c>
      <c r="F9" s="1" t="s">
        <v>692</v>
      </c>
      <c r="G9" s="1" t="s">
        <v>693</v>
      </c>
    </row>
    <row r="10">
      <c r="A10" s="20"/>
      <c r="D10" s="41"/>
      <c r="E10" s="20"/>
      <c r="F10" s="20"/>
    </row>
    <row r="11">
      <c r="A11" s="1" t="s">
        <v>234</v>
      </c>
      <c r="B11" s="1" t="s">
        <v>695</v>
      </c>
      <c r="C11" s="1" t="s">
        <v>696</v>
      </c>
      <c r="D11" s="7" t="s">
        <v>78</v>
      </c>
      <c r="E11" s="1" t="s">
        <v>121</v>
      </c>
      <c r="F11" s="1" t="s">
        <v>148</v>
      </c>
      <c r="G11" s="1" t="s">
        <v>693</v>
      </c>
    </row>
    <row r="12">
      <c r="A12" s="1" t="s">
        <v>234</v>
      </c>
      <c r="B12" s="1" t="s">
        <v>695</v>
      </c>
      <c r="C12" s="1" t="s">
        <v>696</v>
      </c>
      <c r="D12" s="7" t="s">
        <v>78</v>
      </c>
      <c r="E12" s="1" t="s">
        <v>98</v>
      </c>
      <c r="F12" s="1" t="s">
        <v>148</v>
      </c>
      <c r="G12" s="1" t="s">
        <v>693</v>
      </c>
    </row>
    <row r="13">
      <c r="A13" s="1" t="s">
        <v>234</v>
      </c>
      <c r="B13" s="1" t="s">
        <v>695</v>
      </c>
      <c r="C13" s="1" t="s">
        <v>696</v>
      </c>
      <c r="D13" s="7" t="s">
        <v>281</v>
      </c>
      <c r="E13" s="1" t="s">
        <v>121</v>
      </c>
      <c r="F13" s="1" t="s">
        <v>694</v>
      </c>
      <c r="G13" s="1" t="s">
        <v>693</v>
      </c>
    </row>
    <row r="14">
      <c r="A14" s="1" t="s">
        <v>234</v>
      </c>
      <c r="B14" s="1" t="s">
        <v>695</v>
      </c>
      <c r="C14" s="1" t="s">
        <v>696</v>
      </c>
      <c r="D14" s="7" t="s">
        <v>281</v>
      </c>
      <c r="E14" s="1" t="s">
        <v>98</v>
      </c>
      <c r="F14" s="1" t="s">
        <v>694</v>
      </c>
      <c r="G14" s="1" t="s">
        <v>693</v>
      </c>
    </row>
    <row r="15">
      <c r="A15" s="1" t="s">
        <v>234</v>
      </c>
      <c r="B15" s="1" t="s">
        <v>695</v>
      </c>
      <c r="C15" s="1" t="s">
        <v>696</v>
      </c>
      <c r="D15" s="7" t="s">
        <v>202</v>
      </c>
      <c r="E15" s="1" t="s">
        <v>235</v>
      </c>
      <c r="F15" s="1" t="s">
        <v>692</v>
      </c>
      <c r="G15" s="1" t="s">
        <v>693</v>
      </c>
    </row>
    <row r="16">
      <c r="A16" s="1" t="s">
        <v>234</v>
      </c>
      <c r="B16" s="1" t="s">
        <v>695</v>
      </c>
      <c r="C16" s="1" t="s">
        <v>696</v>
      </c>
      <c r="D16" s="7" t="s">
        <v>202</v>
      </c>
      <c r="E16" s="1" t="s">
        <v>194</v>
      </c>
      <c r="F16" s="1" t="s">
        <v>692</v>
      </c>
      <c r="G16" s="1" t="s">
        <v>693</v>
      </c>
    </row>
    <row r="17">
      <c r="A17" s="1" t="s">
        <v>234</v>
      </c>
      <c r="B17" s="1" t="s">
        <v>695</v>
      </c>
      <c r="C17" s="1" t="s">
        <v>696</v>
      </c>
      <c r="D17" s="7" t="s">
        <v>227</v>
      </c>
      <c r="E17" s="1" t="s">
        <v>235</v>
      </c>
      <c r="F17" s="1" t="s">
        <v>148</v>
      </c>
      <c r="G17" s="1" t="s">
        <v>693</v>
      </c>
    </row>
    <row r="18">
      <c r="A18" s="1" t="s">
        <v>234</v>
      </c>
      <c r="B18" s="1" t="s">
        <v>695</v>
      </c>
      <c r="C18" s="1" t="s">
        <v>696</v>
      </c>
      <c r="D18" s="7" t="s">
        <v>227</v>
      </c>
      <c r="E18" s="1" t="s">
        <v>194</v>
      </c>
      <c r="F18" s="1" t="s">
        <v>148</v>
      </c>
      <c r="G18" s="1" t="s">
        <v>693</v>
      </c>
    </row>
    <row r="19">
      <c r="A19" s="20"/>
      <c r="D19" s="41"/>
      <c r="E19" s="20"/>
      <c r="F19" s="20"/>
    </row>
    <row r="20">
      <c r="A20" s="1" t="s">
        <v>209</v>
      </c>
      <c r="B20" s="1" t="s">
        <v>697</v>
      </c>
      <c r="C20" s="1" t="s">
        <v>698</v>
      </c>
      <c r="D20" s="7" t="s">
        <v>78</v>
      </c>
      <c r="E20" s="1" t="s">
        <v>235</v>
      </c>
      <c r="F20" s="1" t="s">
        <v>148</v>
      </c>
      <c r="G20" s="1" t="s">
        <v>693</v>
      </c>
    </row>
    <row r="21">
      <c r="A21" s="1" t="s">
        <v>209</v>
      </c>
      <c r="B21" s="1" t="s">
        <v>697</v>
      </c>
      <c r="C21" s="1" t="s">
        <v>698</v>
      </c>
      <c r="D21" s="7" t="s">
        <v>78</v>
      </c>
      <c r="E21" s="1" t="s">
        <v>194</v>
      </c>
      <c r="F21" s="1" t="s">
        <v>148</v>
      </c>
      <c r="G21" s="1" t="s">
        <v>693</v>
      </c>
    </row>
    <row r="22">
      <c r="A22" s="1" t="s">
        <v>209</v>
      </c>
      <c r="B22" s="1" t="s">
        <v>697</v>
      </c>
      <c r="C22" s="1" t="s">
        <v>698</v>
      </c>
      <c r="D22" s="7" t="s">
        <v>281</v>
      </c>
      <c r="E22" s="1" t="s">
        <v>235</v>
      </c>
      <c r="F22" s="1" t="s">
        <v>694</v>
      </c>
      <c r="G22" s="1" t="s">
        <v>693</v>
      </c>
    </row>
    <row r="23">
      <c r="A23" s="1" t="s">
        <v>209</v>
      </c>
      <c r="B23" s="1" t="s">
        <v>697</v>
      </c>
      <c r="C23" s="1" t="s">
        <v>698</v>
      </c>
      <c r="D23" s="7" t="s">
        <v>281</v>
      </c>
      <c r="E23" s="1" t="s">
        <v>194</v>
      </c>
      <c r="F23" s="1" t="s">
        <v>694</v>
      </c>
      <c r="G23" s="1" t="s">
        <v>693</v>
      </c>
    </row>
    <row r="24">
      <c r="A24" s="1" t="s">
        <v>209</v>
      </c>
      <c r="B24" s="1" t="s">
        <v>697</v>
      </c>
      <c r="C24" s="1" t="s">
        <v>698</v>
      </c>
      <c r="D24" s="7" t="s">
        <v>202</v>
      </c>
      <c r="E24" s="1" t="s">
        <v>121</v>
      </c>
      <c r="F24" s="1" t="s">
        <v>692</v>
      </c>
      <c r="G24" s="1" t="s">
        <v>693</v>
      </c>
    </row>
    <row r="25">
      <c r="A25" s="1" t="s">
        <v>209</v>
      </c>
      <c r="B25" s="1" t="s">
        <v>697</v>
      </c>
      <c r="C25" s="1" t="s">
        <v>698</v>
      </c>
      <c r="D25" s="7" t="s">
        <v>202</v>
      </c>
      <c r="E25" s="1" t="s">
        <v>98</v>
      </c>
      <c r="F25" s="1" t="s">
        <v>692</v>
      </c>
      <c r="G25" s="1" t="s">
        <v>693</v>
      </c>
    </row>
    <row r="26">
      <c r="A26" s="1" t="s">
        <v>209</v>
      </c>
      <c r="B26" s="1" t="s">
        <v>697</v>
      </c>
      <c r="C26" s="1" t="s">
        <v>698</v>
      </c>
      <c r="D26" s="7" t="s">
        <v>227</v>
      </c>
      <c r="E26" s="1" t="s">
        <v>121</v>
      </c>
      <c r="F26" s="1" t="s">
        <v>148</v>
      </c>
      <c r="G26" s="1" t="s">
        <v>693</v>
      </c>
    </row>
    <row r="27">
      <c r="A27" s="1" t="s">
        <v>209</v>
      </c>
      <c r="B27" s="1" t="s">
        <v>697</v>
      </c>
      <c r="C27" s="1" t="s">
        <v>698</v>
      </c>
      <c r="D27" s="7" t="s">
        <v>227</v>
      </c>
      <c r="E27" s="1" t="s">
        <v>98</v>
      </c>
      <c r="F27" s="1" t="s">
        <v>148</v>
      </c>
      <c r="G27" s="1" t="s">
        <v>693</v>
      </c>
    </row>
    <row r="28">
      <c r="A28" s="20"/>
      <c r="D28" s="41"/>
      <c r="E28" s="20"/>
      <c r="F28" s="20"/>
    </row>
    <row r="29">
      <c r="A29" s="1" t="s">
        <v>99</v>
      </c>
      <c r="B29" s="1" t="s">
        <v>699</v>
      </c>
      <c r="C29" s="1" t="s">
        <v>700</v>
      </c>
      <c r="D29" s="7" t="s">
        <v>78</v>
      </c>
      <c r="E29" s="1" t="s">
        <v>235</v>
      </c>
      <c r="F29" s="1" t="s">
        <v>694</v>
      </c>
      <c r="G29" s="1" t="s">
        <v>693</v>
      </c>
    </row>
    <row r="30">
      <c r="A30" s="1" t="s">
        <v>99</v>
      </c>
      <c r="B30" s="1" t="s">
        <v>699</v>
      </c>
      <c r="C30" s="1" t="s">
        <v>700</v>
      </c>
      <c r="D30" s="7" t="s">
        <v>78</v>
      </c>
      <c r="E30" s="1" t="s">
        <v>194</v>
      </c>
      <c r="F30" s="1" t="s">
        <v>694</v>
      </c>
      <c r="G30" s="1" t="s">
        <v>693</v>
      </c>
    </row>
    <row r="31">
      <c r="A31" s="1" t="s">
        <v>99</v>
      </c>
      <c r="B31" s="1" t="s">
        <v>699</v>
      </c>
      <c r="C31" s="1" t="s">
        <v>700</v>
      </c>
      <c r="D31" s="7" t="s">
        <v>281</v>
      </c>
      <c r="E31" s="1" t="s">
        <v>235</v>
      </c>
      <c r="F31" s="1" t="s">
        <v>692</v>
      </c>
      <c r="G31" s="1" t="s">
        <v>693</v>
      </c>
    </row>
    <row r="32">
      <c r="A32" s="1" t="s">
        <v>99</v>
      </c>
      <c r="B32" s="1" t="s">
        <v>699</v>
      </c>
      <c r="C32" s="1" t="s">
        <v>700</v>
      </c>
      <c r="D32" s="7" t="s">
        <v>281</v>
      </c>
      <c r="E32" s="1" t="s">
        <v>194</v>
      </c>
      <c r="F32" s="1" t="s">
        <v>692</v>
      </c>
      <c r="G32" s="1" t="s">
        <v>693</v>
      </c>
    </row>
    <row r="33">
      <c r="A33" s="1" t="s">
        <v>99</v>
      </c>
      <c r="B33" s="1" t="s">
        <v>699</v>
      </c>
      <c r="C33" s="1" t="s">
        <v>700</v>
      </c>
      <c r="D33" s="7" t="s">
        <v>202</v>
      </c>
      <c r="E33" s="1" t="s">
        <v>121</v>
      </c>
      <c r="F33" s="1" t="s">
        <v>148</v>
      </c>
      <c r="G33" s="1" t="s">
        <v>693</v>
      </c>
    </row>
    <row r="34">
      <c r="A34" s="1" t="s">
        <v>99</v>
      </c>
      <c r="B34" s="1" t="s">
        <v>699</v>
      </c>
      <c r="C34" s="1" t="s">
        <v>700</v>
      </c>
      <c r="D34" s="7" t="s">
        <v>202</v>
      </c>
      <c r="E34" s="1" t="s">
        <v>98</v>
      </c>
      <c r="F34" s="1" t="s">
        <v>148</v>
      </c>
      <c r="G34" s="1" t="s">
        <v>693</v>
      </c>
    </row>
    <row r="35">
      <c r="A35" s="1" t="s">
        <v>99</v>
      </c>
      <c r="B35" s="1" t="s">
        <v>699</v>
      </c>
      <c r="C35" s="1" t="s">
        <v>700</v>
      </c>
      <c r="D35" s="7" t="s">
        <v>227</v>
      </c>
      <c r="E35" s="1" t="s">
        <v>121</v>
      </c>
      <c r="F35" s="1" t="s">
        <v>694</v>
      </c>
      <c r="G35" s="1" t="s">
        <v>693</v>
      </c>
    </row>
    <row r="36">
      <c r="A36" s="1" t="s">
        <v>99</v>
      </c>
      <c r="B36" s="1" t="s">
        <v>699</v>
      </c>
      <c r="C36" s="1" t="s">
        <v>700</v>
      </c>
      <c r="D36" s="7" t="s">
        <v>227</v>
      </c>
      <c r="E36" s="1" t="s">
        <v>98</v>
      </c>
      <c r="F36" s="1" t="s">
        <v>694</v>
      </c>
      <c r="G36" s="1" t="s">
        <v>693</v>
      </c>
    </row>
    <row r="37">
      <c r="A37" s="20"/>
      <c r="D37" s="41"/>
      <c r="E37" s="20"/>
      <c r="F37" s="20"/>
    </row>
    <row r="38">
      <c r="A38" s="1" t="s">
        <v>192</v>
      </c>
      <c r="B38" s="1" t="s">
        <v>701</v>
      </c>
      <c r="C38" s="1" t="s">
        <v>702</v>
      </c>
      <c r="D38" s="7" t="s">
        <v>78</v>
      </c>
      <c r="E38" s="1" t="s">
        <v>235</v>
      </c>
      <c r="F38" s="1" t="s">
        <v>692</v>
      </c>
      <c r="G38" s="1" t="s">
        <v>693</v>
      </c>
    </row>
    <row r="39">
      <c r="A39" s="1" t="s">
        <v>192</v>
      </c>
      <c r="B39" s="1" t="s">
        <v>701</v>
      </c>
      <c r="C39" s="1" t="s">
        <v>702</v>
      </c>
      <c r="D39" s="7" t="s">
        <v>78</v>
      </c>
      <c r="E39" s="1" t="s">
        <v>194</v>
      </c>
      <c r="F39" s="1" t="s">
        <v>692</v>
      </c>
      <c r="G39" s="1" t="s">
        <v>693</v>
      </c>
    </row>
    <row r="40">
      <c r="A40" s="1" t="s">
        <v>192</v>
      </c>
      <c r="B40" s="1" t="s">
        <v>701</v>
      </c>
      <c r="C40" s="1" t="s">
        <v>702</v>
      </c>
      <c r="D40" s="7" t="s">
        <v>281</v>
      </c>
      <c r="E40" s="1" t="s">
        <v>235</v>
      </c>
      <c r="F40" s="1" t="s">
        <v>148</v>
      </c>
      <c r="G40" s="1" t="s">
        <v>693</v>
      </c>
    </row>
    <row r="41">
      <c r="A41" s="1" t="s">
        <v>192</v>
      </c>
      <c r="B41" s="1" t="s">
        <v>701</v>
      </c>
      <c r="C41" s="1" t="s">
        <v>702</v>
      </c>
      <c r="D41" s="7" t="s">
        <v>281</v>
      </c>
      <c r="E41" s="1" t="s">
        <v>194</v>
      </c>
      <c r="F41" s="1" t="s">
        <v>148</v>
      </c>
      <c r="G41" s="1" t="s">
        <v>693</v>
      </c>
    </row>
    <row r="42">
      <c r="A42" s="1" t="s">
        <v>192</v>
      </c>
      <c r="B42" s="1" t="s">
        <v>701</v>
      </c>
      <c r="C42" s="1" t="s">
        <v>702</v>
      </c>
      <c r="D42" s="7" t="s">
        <v>202</v>
      </c>
      <c r="E42" s="1" t="s">
        <v>121</v>
      </c>
      <c r="F42" s="1" t="s">
        <v>694</v>
      </c>
      <c r="G42" s="1" t="s">
        <v>693</v>
      </c>
    </row>
    <row r="43">
      <c r="A43" s="1" t="s">
        <v>192</v>
      </c>
      <c r="B43" s="1" t="s">
        <v>701</v>
      </c>
      <c r="C43" s="1" t="s">
        <v>702</v>
      </c>
      <c r="D43" s="7" t="s">
        <v>202</v>
      </c>
      <c r="E43" s="1" t="s">
        <v>98</v>
      </c>
      <c r="F43" s="1" t="s">
        <v>694</v>
      </c>
      <c r="G43" s="1" t="s">
        <v>693</v>
      </c>
    </row>
    <row r="44">
      <c r="A44" s="1" t="s">
        <v>192</v>
      </c>
      <c r="B44" s="1" t="s">
        <v>701</v>
      </c>
      <c r="C44" s="1" t="s">
        <v>702</v>
      </c>
      <c r="D44" s="7" t="s">
        <v>227</v>
      </c>
      <c r="E44" s="1" t="s">
        <v>121</v>
      </c>
      <c r="F44" s="1" t="s">
        <v>692</v>
      </c>
      <c r="G44" s="1" t="s">
        <v>693</v>
      </c>
    </row>
    <row r="45">
      <c r="A45" s="1" t="s">
        <v>192</v>
      </c>
      <c r="B45" s="1" t="s">
        <v>701</v>
      </c>
      <c r="C45" s="1" t="s">
        <v>702</v>
      </c>
      <c r="D45" s="7" t="s">
        <v>227</v>
      </c>
      <c r="E45" s="1" t="s">
        <v>98</v>
      </c>
      <c r="F45" s="1" t="s">
        <v>692</v>
      </c>
      <c r="G45" s="1" t="s">
        <v>693</v>
      </c>
    </row>
    <row r="46">
      <c r="A46" s="20"/>
      <c r="D46" s="41"/>
      <c r="E46" s="20"/>
      <c r="F46" s="20"/>
    </row>
    <row r="47">
      <c r="A47" s="1" t="s">
        <v>104</v>
      </c>
      <c r="B47" s="1" t="s">
        <v>703</v>
      </c>
      <c r="C47" s="1" t="s">
        <v>704</v>
      </c>
      <c r="D47" s="7" t="s">
        <v>78</v>
      </c>
      <c r="E47" s="1" t="s">
        <v>121</v>
      </c>
      <c r="F47" s="1" t="s">
        <v>694</v>
      </c>
      <c r="G47" s="1" t="s">
        <v>693</v>
      </c>
    </row>
    <row r="48">
      <c r="A48" s="1" t="s">
        <v>104</v>
      </c>
      <c r="B48" s="1" t="s">
        <v>703</v>
      </c>
      <c r="C48" s="1" t="s">
        <v>704</v>
      </c>
      <c r="D48" s="7" t="s">
        <v>78</v>
      </c>
      <c r="E48" s="1" t="s">
        <v>98</v>
      </c>
      <c r="F48" s="1" t="s">
        <v>694</v>
      </c>
      <c r="G48" s="1" t="s">
        <v>693</v>
      </c>
    </row>
    <row r="49">
      <c r="A49" s="1" t="s">
        <v>104</v>
      </c>
      <c r="B49" s="1" t="s">
        <v>703</v>
      </c>
      <c r="C49" s="1" t="s">
        <v>704</v>
      </c>
      <c r="D49" s="7" t="s">
        <v>281</v>
      </c>
      <c r="E49" s="1" t="s">
        <v>121</v>
      </c>
      <c r="F49" s="1" t="s">
        <v>692</v>
      </c>
      <c r="G49" s="1" t="s">
        <v>693</v>
      </c>
    </row>
    <row r="50">
      <c r="A50" s="1" t="s">
        <v>104</v>
      </c>
      <c r="B50" s="1" t="s">
        <v>703</v>
      </c>
      <c r="C50" s="1" t="s">
        <v>704</v>
      </c>
      <c r="D50" s="7" t="s">
        <v>202</v>
      </c>
      <c r="E50" s="1" t="s">
        <v>235</v>
      </c>
      <c r="F50" s="1" t="s">
        <v>148</v>
      </c>
      <c r="G50" s="1" t="s">
        <v>693</v>
      </c>
    </row>
    <row r="51">
      <c r="A51" s="1" t="s">
        <v>104</v>
      </c>
      <c r="B51" s="1" t="s">
        <v>703</v>
      </c>
      <c r="C51" s="1" t="s">
        <v>704</v>
      </c>
      <c r="D51" s="7" t="s">
        <v>202</v>
      </c>
      <c r="E51" s="1" t="s">
        <v>194</v>
      </c>
      <c r="F51" s="1" t="s">
        <v>148</v>
      </c>
      <c r="G51" s="1" t="s">
        <v>693</v>
      </c>
    </row>
    <row r="52">
      <c r="A52" s="1" t="s">
        <v>104</v>
      </c>
      <c r="B52" s="1" t="s">
        <v>703</v>
      </c>
      <c r="C52" s="1" t="s">
        <v>704</v>
      </c>
      <c r="D52" s="7" t="s">
        <v>227</v>
      </c>
      <c r="E52" s="1" t="s">
        <v>235</v>
      </c>
      <c r="F52" s="1" t="s">
        <v>694</v>
      </c>
      <c r="G52" s="1" t="s">
        <v>693</v>
      </c>
    </row>
    <row r="53">
      <c r="A53" s="1" t="s">
        <v>104</v>
      </c>
      <c r="B53" s="1" t="s">
        <v>703</v>
      </c>
      <c r="C53" s="1" t="s">
        <v>704</v>
      </c>
      <c r="D53" s="7" t="s">
        <v>227</v>
      </c>
      <c r="E53" s="1" t="s">
        <v>194</v>
      </c>
      <c r="F53" s="1" t="s">
        <v>694</v>
      </c>
      <c r="G53" s="1" t="s">
        <v>693</v>
      </c>
    </row>
    <row r="54">
      <c r="A54" s="20"/>
      <c r="D54" s="41"/>
      <c r="E54" s="20"/>
      <c r="F54" s="20"/>
    </row>
    <row r="55">
      <c r="A55" s="20"/>
      <c r="D55" s="41"/>
      <c r="E55" s="20"/>
      <c r="F55" s="20"/>
    </row>
    <row r="56">
      <c r="A56" s="20"/>
      <c r="D56" s="41"/>
      <c r="E56" s="20"/>
      <c r="F56" s="20"/>
    </row>
    <row r="57">
      <c r="A57" s="20"/>
      <c r="D57" s="41"/>
      <c r="E57" s="20"/>
      <c r="F57" s="20"/>
    </row>
    <row r="58">
      <c r="A58" s="20"/>
      <c r="D58" s="41"/>
      <c r="E58" s="20"/>
      <c r="F58" s="20"/>
    </row>
    <row r="59">
      <c r="A59" s="20"/>
      <c r="D59" s="41"/>
      <c r="E59" s="20"/>
      <c r="F59" s="20"/>
    </row>
    <row r="60">
      <c r="A60" s="20"/>
      <c r="D60" s="41"/>
      <c r="E60" s="20"/>
      <c r="F60" s="20"/>
    </row>
    <row r="61">
      <c r="A61" s="20"/>
      <c r="D61" s="41"/>
      <c r="E61" s="20"/>
      <c r="F61" s="20"/>
    </row>
    <row r="62">
      <c r="A62" s="20"/>
      <c r="D62" s="41"/>
      <c r="E62" s="20"/>
      <c r="F62" s="20"/>
    </row>
    <row r="63">
      <c r="A63" s="20"/>
      <c r="D63" s="41"/>
      <c r="E63" s="20"/>
      <c r="F63" s="20"/>
    </row>
    <row r="64">
      <c r="A64" s="20"/>
      <c r="D64" s="41"/>
      <c r="E64" s="20"/>
      <c r="F64" s="20"/>
    </row>
    <row r="65">
      <c r="A65" s="20"/>
      <c r="D65" s="41"/>
      <c r="E65" s="20"/>
      <c r="F65" s="20"/>
    </row>
    <row r="66">
      <c r="A66" s="20"/>
      <c r="D66" s="41"/>
      <c r="E66" s="20"/>
      <c r="F66" s="20"/>
    </row>
    <row r="67">
      <c r="A67" s="20"/>
      <c r="D67" s="41"/>
      <c r="E67" s="20"/>
      <c r="F67" s="20"/>
    </row>
    <row r="68">
      <c r="A68" s="20"/>
      <c r="D68" s="41"/>
      <c r="E68" s="20"/>
      <c r="F68" s="20"/>
    </row>
    <row r="69">
      <c r="A69" s="20"/>
      <c r="D69" s="41"/>
      <c r="E69" s="20"/>
      <c r="F69" s="20"/>
    </row>
    <row r="70">
      <c r="A70" s="20"/>
      <c r="D70" s="41"/>
      <c r="E70" s="20"/>
      <c r="F70" s="20"/>
    </row>
    <row r="71">
      <c r="A71" s="20"/>
      <c r="D71" s="41"/>
      <c r="E71" s="20"/>
      <c r="F71" s="20"/>
    </row>
    <row r="72">
      <c r="A72" s="20"/>
      <c r="D72" s="41"/>
      <c r="E72" s="20"/>
      <c r="F72" s="20"/>
    </row>
    <row r="73">
      <c r="A73" s="20"/>
      <c r="D73" s="41"/>
      <c r="E73" s="20"/>
      <c r="F73" s="20"/>
    </row>
    <row r="74">
      <c r="A74" s="20"/>
      <c r="D74" s="41"/>
      <c r="E74" s="20"/>
      <c r="F74" s="20"/>
    </row>
    <row r="75">
      <c r="A75" s="20"/>
      <c r="D75" s="41"/>
      <c r="E75" s="20"/>
      <c r="F75" s="20"/>
    </row>
    <row r="76">
      <c r="A76" s="20"/>
      <c r="D76" s="41"/>
      <c r="E76" s="20"/>
      <c r="F76" s="20"/>
    </row>
    <row r="77">
      <c r="A77" s="20"/>
      <c r="D77" s="41"/>
      <c r="E77" s="20"/>
      <c r="F77" s="20"/>
    </row>
    <row r="78">
      <c r="A78" s="20"/>
      <c r="D78" s="41"/>
      <c r="E78" s="20"/>
      <c r="F78" s="20"/>
    </row>
    <row r="79">
      <c r="A79" s="20"/>
      <c r="D79" s="41"/>
      <c r="E79" s="20"/>
      <c r="F79" s="20"/>
    </row>
    <row r="80">
      <c r="A80" s="20"/>
      <c r="D80" s="41"/>
      <c r="E80" s="20"/>
      <c r="F80" s="20"/>
    </row>
    <row r="81">
      <c r="A81" s="20"/>
      <c r="D81" s="41"/>
      <c r="E81" s="20"/>
      <c r="F81" s="20"/>
    </row>
    <row r="82">
      <c r="A82" s="20"/>
      <c r="D82" s="41"/>
      <c r="E82" s="20"/>
      <c r="F82" s="20"/>
    </row>
    <row r="83">
      <c r="A83" s="20"/>
      <c r="D83" s="41"/>
      <c r="E83" s="20"/>
      <c r="F83" s="20"/>
    </row>
    <row r="84">
      <c r="A84" s="20"/>
      <c r="D84" s="41"/>
      <c r="E84" s="20"/>
      <c r="F84" s="20"/>
    </row>
    <row r="85">
      <c r="A85" s="20"/>
      <c r="D85" s="41"/>
      <c r="E85" s="20"/>
      <c r="F85" s="20"/>
    </row>
    <row r="86">
      <c r="A86" s="20"/>
      <c r="D86" s="41"/>
      <c r="E86" s="20"/>
      <c r="F86" s="20"/>
    </row>
    <row r="87">
      <c r="A87" s="20"/>
      <c r="D87" s="41"/>
      <c r="E87" s="20"/>
      <c r="F87" s="20"/>
    </row>
    <row r="88">
      <c r="A88" s="20"/>
      <c r="D88" s="41"/>
      <c r="E88" s="20"/>
      <c r="F88" s="20"/>
    </row>
    <row r="89">
      <c r="A89" s="20"/>
      <c r="D89" s="41"/>
      <c r="E89" s="20"/>
      <c r="F89" s="20"/>
    </row>
    <row r="90">
      <c r="A90" s="20"/>
      <c r="D90" s="41"/>
      <c r="E90" s="20"/>
      <c r="F90" s="20"/>
    </row>
    <row r="91">
      <c r="A91" s="20"/>
      <c r="D91" s="41"/>
      <c r="E91" s="20"/>
      <c r="F91" s="20"/>
    </row>
    <row r="92">
      <c r="A92" s="20"/>
      <c r="D92" s="41"/>
      <c r="E92" s="20"/>
      <c r="F92" s="20"/>
    </row>
    <row r="93">
      <c r="A93" s="20"/>
      <c r="D93" s="41"/>
      <c r="E93" s="20"/>
      <c r="F93" s="20"/>
    </row>
    <row r="94">
      <c r="A94" s="20"/>
      <c r="D94" s="41"/>
      <c r="E94" s="20"/>
      <c r="F94" s="20"/>
    </row>
    <row r="95">
      <c r="A95" s="20"/>
      <c r="D95" s="41"/>
      <c r="E95" s="20"/>
      <c r="F95" s="20"/>
    </row>
    <row r="96">
      <c r="A96" s="20"/>
      <c r="D96" s="41"/>
      <c r="E96" s="20"/>
      <c r="F96" s="20"/>
    </row>
    <row r="97">
      <c r="A97" s="20"/>
      <c r="D97" s="41"/>
      <c r="E97" s="20"/>
      <c r="F97" s="20"/>
    </row>
    <row r="98">
      <c r="A98" s="20"/>
      <c r="D98" s="41"/>
      <c r="E98" s="20"/>
      <c r="F98" s="20"/>
    </row>
    <row r="99">
      <c r="A99" s="20"/>
      <c r="D99" s="41"/>
      <c r="E99" s="20"/>
      <c r="F99" s="20"/>
    </row>
    <row r="100">
      <c r="A100" s="20"/>
      <c r="D100" s="41"/>
      <c r="E100" s="20"/>
      <c r="F100" s="20"/>
    </row>
    <row r="101">
      <c r="A101" s="20"/>
      <c r="D101" s="41"/>
      <c r="E101" s="20"/>
      <c r="F101" s="20"/>
    </row>
    <row r="102">
      <c r="A102" s="20"/>
      <c r="D102" s="41"/>
      <c r="E102" s="20"/>
      <c r="F102" s="20"/>
    </row>
    <row r="103">
      <c r="A103" s="20"/>
      <c r="D103" s="41"/>
      <c r="E103" s="20"/>
      <c r="F103" s="20"/>
    </row>
    <row r="104">
      <c r="A104" s="20"/>
      <c r="D104" s="41"/>
      <c r="E104" s="20"/>
      <c r="F104" s="20"/>
    </row>
    <row r="105">
      <c r="A105" s="20"/>
      <c r="D105" s="41"/>
      <c r="E105" s="20"/>
      <c r="F105" s="20"/>
    </row>
    <row r="106">
      <c r="A106" s="20"/>
      <c r="D106" s="41"/>
      <c r="E106" s="20"/>
      <c r="F106" s="20"/>
    </row>
    <row r="107">
      <c r="A107" s="20"/>
      <c r="D107" s="41"/>
      <c r="E107" s="20"/>
      <c r="F107" s="20"/>
    </row>
    <row r="108">
      <c r="A108" s="20"/>
      <c r="D108" s="41"/>
      <c r="E108" s="20"/>
      <c r="F108" s="20"/>
    </row>
    <row r="109">
      <c r="A109" s="20"/>
      <c r="D109" s="41"/>
      <c r="E109" s="20"/>
      <c r="F109" s="20"/>
    </row>
    <row r="110">
      <c r="A110" s="20"/>
      <c r="D110" s="41"/>
      <c r="E110" s="20"/>
      <c r="F110" s="20"/>
    </row>
    <row r="111">
      <c r="A111" s="20"/>
      <c r="D111" s="41"/>
      <c r="E111" s="20"/>
      <c r="F111" s="20"/>
    </row>
    <row r="112">
      <c r="A112" s="20"/>
      <c r="D112" s="41"/>
      <c r="E112" s="20"/>
      <c r="F112" s="20"/>
    </row>
    <row r="113">
      <c r="A113" s="20"/>
      <c r="D113" s="41"/>
      <c r="E113" s="20"/>
      <c r="F113" s="20"/>
    </row>
    <row r="114">
      <c r="A114" s="20"/>
      <c r="D114" s="41"/>
      <c r="E114" s="20"/>
      <c r="F114" s="20"/>
    </row>
    <row r="115">
      <c r="A115" s="20"/>
      <c r="D115" s="41"/>
      <c r="E115" s="20"/>
      <c r="F115" s="20"/>
    </row>
    <row r="116">
      <c r="A116" s="20"/>
      <c r="D116" s="41"/>
      <c r="E116" s="20"/>
      <c r="F116" s="20"/>
    </row>
    <row r="117">
      <c r="A117" s="20"/>
      <c r="D117" s="41"/>
      <c r="E117" s="20"/>
      <c r="F117" s="20"/>
    </row>
    <row r="118">
      <c r="A118" s="20"/>
      <c r="D118" s="41"/>
      <c r="E118" s="20"/>
      <c r="F118" s="20"/>
    </row>
    <row r="119">
      <c r="A119" s="20"/>
      <c r="D119" s="41"/>
      <c r="E119" s="20"/>
      <c r="F119" s="20"/>
    </row>
    <row r="120">
      <c r="A120" s="20"/>
      <c r="D120" s="41"/>
      <c r="E120" s="20"/>
      <c r="F120" s="20"/>
    </row>
    <row r="121">
      <c r="A121" s="20"/>
      <c r="D121" s="41"/>
      <c r="E121" s="20"/>
      <c r="F121" s="20"/>
    </row>
    <row r="122">
      <c r="A122" s="20"/>
      <c r="D122" s="41"/>
      <c r="E122" s="20"/>
      <c r="F122" s="20"/>
    </row>
    <row r="123">
      <c r="A123" s="20"/>
      <c r="D123" s="41"/>
      <c r="E123" s="20"/>
      <c r="F123" s="20"/>
    </row>
    <row r="124">
      <c r="A124" s="20"/>
      <c r="D124" s="41"/>
      <c r="E124" s="20"/>
      <c r="F124" s="20"/>
    </row>
    <row r="125">
      <c r="A125" s="20"/>
      <c r="D125" s="41"/>
      <c r="E125" s="20"/>
      <c r="F125" s="20"/>
    </row>
    <row r="126">
      <c r="A126" s="20"/>
      <c r="D126" s="41"/>
      <c r="E126" s="20"/>
      <c r="F126" s="20"/>
    </row>
    <row r="127">
      <c r="A127" s="20"/>
      <c r="D127" s="41"/>
      <c r="E127" s="20"/>
      <c r="F127" s="20"/>
    </row>
    <row r="128">
      <c r="A128" s="20"/>
      <c r="D128" s="41"/>
      <c r="E128" s="20"/>
      <c r="F128" s="20"/>
    </row>
    <row r="129">
      <c r="A129" s="20"/>
      <c r="D129" s="41"/>
      <c r="E129" s="20"/>
      <c r="F129" s="20"/>
    </row>
    <row r="130">
      <c r="A130" s="20"/>
      <c r="D130" s="41"/>
      <c r="E130" s="20"/>
      <c r="F130" s="20"/>
    </row>
    <row r="131">
      <c r="A131" s="20"/>
      <c r="D131" s="41"/>
      <c r="E131" s="20"/>
      <c r="F131" s="20"/>
    </row>
    <row r="132">
      <c r="A132" s="20"/>
      <c r="D132" s="41"/>
      <c r="E132" s="20"/>
      <c r="F132" s="20"/>
    </row>
    <row r="133">
      <c r="A133" s="20"/>
      <c r="D133" s="41"/>
      <c r="E133" s="20"/>
      <c r="F133" s="20"/>
    </row>
    <row r="134">
      <c r="A134" s="20"/>
      <c r="D134" s="41"/>
      <c r="E134" s="20"/>
      <c r="F134" s="20"/>
    </row>
    <row r="135">
      <c r="A135" s="20"/>
      <c r="D135" s="41"/>
      <c r="E135" s="20"/>
      <c r="F135" s="20"/>
    </row>
    <row r="136">
      <c r="A136" s="20"/>
      <c r="D136" s="41"/>
      <c r="E136" s="20"/>
      <c r="F136" s="20"/>
    </row>
    <row r="137">
      <c r="A137" s="20"/>
      <c r="D137" s="41"/>
      <c r="E137" s="20"/>
      <c r="F137" s="20"/>
    </row>
    <row r="138">
      <c r="A138" s="20"/>
      <c r="D138" s="41"/>
      <c r="E138" s="20"/>
      <c r="F138" s="20"/>
    </row>
    <row r="139">
      <c r="A139" s="20"/>
      <c r="D139" s="41"/>
      <c r="E139" s="20"/>
      <c r="F139" s="20"/>
    </row>
    <row r="140">
      <c r="A140" s="20"/>
      <c r="D140" s="41"/>
      <c r="E140" s="20"/>
      <c r="F140" s="20"/>
    </row>
    <row r="141">
      <c r="A141" s="20"/>
      <c r="D141" s="41"/>
      <c r="E141" s="20"/>
      <c r="F141" s="20"/>
    </row>
    <row r="142">
      <c r="A142" s="20"/>
      <c r="D142" s="41"/>
      <c r="E142" s="20"/>
      <c r="F142" s="20"/>
    </row>
    <row r="143">
      <c r="A143" s="20"/>
      <c r="D143" s="41"/>
      <c r="E143" s="20"/>
      <c r="F143" s="20"/>
    </row>
    <row r="144">
      <c r="A144" s="20"/>
      <c r="D144" s="41"/>
      <c r="E144" s="20"/>
      <c r="F144" s="20"/>
    </row>
    <row r="145">
      <c r="A145" s="20"/>
      <c r="D145" s="41"/>
      <c r="E145" s="20"/>
      <c r="F145" s="20"/>
    </row>
    <row r="146">
      <c r="A146" s="20"/>
      <c r="D146" s="41"/>
      <c r="E146" s="20"/>
      <c r="F146" s="20"/>
    </row>
    <row r="147">
      <c r="A147" s="20"/>
      <c r="D147" s="41"/>
      <c r="E147" s="20"/>
      <c r="F147" s="20"/>
    </row>
    <row r="148">
      <c r="A148" s="20"/>
      <c r="D148" s="41"/>
      <c r="E148" s="20"/>
      <c r="F148" s="20"/>
    </row>
    <row r="149">
      <c r="A149" s="20"/>
      <c r="D149" s="41"/>
      <c r="E149" s="20"/>
      <c r="F149" s="20"/>
    </row>
    <row r="150">
      <c r="A150" s="20"/>
      <c r="D150" s="41"/>
      <c r="E150" s="20"/>
      <c r="F150" s="20"/>
    </row>
    <row r="151">
      <c r="A151" s="20"/>
      <c r="D151" s="41"/>
      <c r="E151" s="20"/>
      <c r="F151" s="20"/>
    </row>
    <row r="152">
      <c r="A152" s="20"/>
      <c r="D152" s="41"/>
      <c r="E152" s="20"/>
      <c r="F152" s="20"/>
    </row>
    <row r="153">
      <c r="A153" s="20"/>
      <c r="D153" s="41"/>
      <c r="E153" s="20"/>
      <c r="F153" s="20"/>
    </row>
    <row r="154">
      <c r="A154" s="20"/>
      <c r="D154" s="41"/>
      <c r="E154" s="20"/>
      <c r="F154" s="20"/>
    </row>
    <row r="155">
      <c r="A155" s="20"/>
      <c r="D155" s="41"/>
      <c r="E155" s="20"/>
      <c r="F155" s="20"/>
    </row>
    <row r="156">
      <c r="A156" s="20"/>
      <c r="D156" s="41"/>
      <c r="E156" s="20"/>
      <c r="F156" s="20"/>
    </row>
    <row r="157">
      <c r="A157" s="20"/>
      <c r="D157" s="41"/>
      <c r="E157" s="20"/>
      <c r="F157" s="20"/>
    </row>
    <row r="158">
      <c r="A158" s="20"/>
      <c r="D158" s="41"/>
      <c r="E158" s="20"/>
      <c r="F158" s="20"/>
    </row>
    <row r="159">
      <c r="A159" s="20"/>
      <c r="D159" s="41"/>
      <c r="E159" s="20"/>
      <c r="F159" s="20"/>
    </row>
    <row r="160">
      <c r="A160" s="20"/>
      <c r="D160" s="41"/>
      <c r="E160" s="20"/>
      <c r="F160" s="20"/>
    </row>
    <row r="161">
      <c r="A161" s="20"/>
      <c r="D161" s="41"/>
      <c r="E161" s="20"/>
      <c r="F161" s="20"/>
    </row>
    <row r="162">
      <c r="A162" s="20"/>
      <c r="D162" s="41"/>
      <c r="E162" s="20"/>
      <c r="F162" s="20"/>
    </row>
    <row r="163">
      <c r="A163" s="20"/>
      <c r="D163" s="41"/>
      <c r="E163" s="20"/>
      <c r="F163" s="20"/>
    </row>
    <row r="164">
      <c r="A164" s="20"/>
      <c r="D164" s="41"/>
      <c r="E164" s="20"/>
      <c r="F164" s="20"/>
    </row>
    <row r="165">
      <c r="A165" s="20"/>
      <c r="D165" s="41"/>
      <c r="E165" s="20"/>
      <c r="F165" s="20"/>
    </row>
    <row r="166">
      <c r="A166" s="20"/>
      <c r="D166" s="41"/>
      <c r="E166" s="20"/>
      <c r="F166" s="20"/>
    </row>
    <row r="167">
      <c r="A167" s="20"/>
      <c r="D167" s="41"/>
      <c r="E167" s="20"/>
      <c r="F167" s="20"/>
    </row>
    <row r="168">
      <c r="A168" s="20"/>
      <c r="D168" s="41"/>
      <c r="E168" s="20"/>
      <c r="F168" s="20"/>
    </row>
    <row r="169">
      <c r="A169" s="20"/>
      <c r="D169" s="41"/>
      <c r="E169" s="20"/>
      <c r="F169" s="20"/>
    </row>
    <row r="170">
      <c r="A170" s="20"/>
      <c r="D170" s="41"/>
      <c r="E170" s="20"/>
      <c r="F170" s="20"/>
    </row>
    <row r="171">
      <c r="A171" s="20"/>
      <c r="D171" s="41"/>
      <c r="E171" s="20"/>
      <c r="F171" s="20"/>
    </row>
    <row r="172">
      <c r="A172" s="20"/>
      <c r="D172" s="41"/>
      <c r="E172" s="20"/>
      <c r="F172" s="20"/>
    </row>
    <row r="173">
      <c r="A173" s="20"/>
      <c r="D173" s="41"/>
      <c r="E173" s="20"/>
      <c r="F173" s="20"/>
    </row>
    <row r="174">
      <c r="A174" s="20"/>
      <c r="D174" s="41"/>
      <c r="E174" s="20"/>
      <c r="F174" s="20"/>
    </row>
    <row r="175">
      <c r="A175" s="20"/>
      <c r="D175" s="41"/>
      <c r="E175" s="20"/>
      <c r="F175" s="20"/>
    </row>
    <row r="176">
      <c r="A176" s="20"/>
      <c r="D176" s="41"/>
      <c r="E176" s="20"/>
      <c r="F176" s="20"/>
    </row>
    <row r="177">
      <c r="A177" s="20"/>
      <c r="D177" s="41"/>
      <c r="E177" s="20"/>
      <c r="F177" s="20"/>
    </row>
    <row r="178">
      <c r="A178" s="20"/>
      <c r="D178" s="41"/>
      <c r="E178" s="20"/>
      <c r="F178" s="20"/>
    </row>
    <row r="179">
      <c r="A179" s="20"/>
      <c r="D179" s="41"/>
      <c r="E179" s="20"/>
      <c r="F179" s="20"/>
    </row>
    <row r="180">
      <c r="A180" s="20"/>
      <c r="D180" s="41"/>
      <c r="E180" s="20"/>
      <c r="F180" s="20"/>
    </row>
    <row r="181">
      <c r="A181" s="20"/>
      <c r="D181" s="41"/>
      <c r="E181" s="20"/>
      <c r="F181" s="20"/>
    </row>
    <row r="182">
      <c r="A182" s="20"/>
      <c r="D182" s="41"/>
      <c r="E182" s="20"/>
      <c r="F182" s="20"/>
    </row>
    <row r="183">
      <c r="A183" s="20"/>
      <c r="D183" s="41"/>
      <c r="E183" s="20"/>
      <c r="F183" s="20"/>
    </row>
    <row r="184">
      <c r="A184" s="20"/>
      <c r="D184" s="41"/>
      <c r="E184" s="20"/>
      <c r="F184" s="20"/>
    </row>
    <row r="185">
      <c r="A185" s="20"/>
      <c r="D185" s="41"/>
      <c r="E185" s="20"/>
      <c r="F185" s="20"/>
    </row>
    <row r="186">
      <c r="A186" s="20"/>
      <c r="D186" s="41"/>
      <c r="E186" s="20"/>
      <c r="F186" s="20"/>
    </row>
    <row r="187">
      <c r="A187" s="20"/>
      <c r="D187" s="41"/>
      <c r="E187" s="20"/>
      <c r="F187" s="20"/>
    </row>
    <row r="188">
      <c r="A188" s="20"/>
      <c r="D188" s="41"/>
      <c r="E188" s="20"/>
      <c r="F188" s="20"/>
    </row>
    <row r="189">
      <c r="A189" s="20"/>
      <c r="D189" s="41"/>
      <c r="E189" s="20"/>
      <c r="F189" s="20"/>
    </row>
    <row r="190">
      <c r="A190" s="20"/>
      <c r="D190" s="41"/>
      <c r="E190" s="20"/>
      <c r="F190" s="20"/>
    </row>
    <row r="191">
      <c r="A191" s="20"/>
      <c r="D191" s="41"/>
      <c r="E191" s="20"/>
      <c r="F191" s="20"/>
    </row>
    <row r="192">
      <c r="A192" s="20"/>
      <c r="D192" s="41"/>
      <c r="E192" s="20"/>
      <c r="F192" s="20"/>
    </row>
    <row r="193">
      <c r="A193" s="20"/>
      <c r="D193" s="41"/>
      <c r="E193" s="20"/>
      <c r="F193" s="20"/>
    </row>
    <row r="194">
      <c r="A194" s="20"/>
      <c r="D194" s="41"/>
      <c r="E194" s="20"/>
      <c r="F194" s="20"/>
    </row>
    <row r="195">
      <c r="A195" s="20"/>
      <c r="D195" s="41"/>
      <c r="E195" s="20"/>
      <c r="F195" s="20"/>
    </row>
    <row r="196">
      <c r="A196" s="20"/>
      <c r="D196" s="41"/>
      <c r="E196" s="20"/>
      <c r="F196" s="20"/>
    </row>
    <row r="197">
      <c r="A197" s="20"/>
      <c r="D197" s="41"/>
      <c r="E197" s="20"/>
      <c r="F197" s="20"/>
    </row>
    <row r="198">
      <c r="A198" s="20"/>
      <c r="D198" s="41"/>
      <c r="E198" s="20"/>
      <c r="F198" s="20"/>
    </row>
    <row r="199">
      <c r="A199" s="20"/>
      <c r="D199" s="41"/>
      <c r="E199" s="20"/>
      <c r="F199" s="20"/>
    </row>
    <row r="200">
      <c r="A200" s="20"/>
      <c r="D200" s="41"/>
      <c r="E200" s="20"/>
      <c r="F200" s="20"/>
    </row>
    <row r="201">
      <c r="A201" s="20"/>
      <c r="D201" s="41"/>
      <c r="E201" s="20"/>
      <c r="F201" s="20"/>
    </row>
    <row r="202">
      <c r="A202" s="20"/>
      <c r="D202" s="41"/>
      <c r="E202" s="20"/>
      <c r="F202" s="20"/>
    </row>
    <row r="203">
      <c r="A203" s="20"/>
      <c r="D203" s="41"/>
      <c r="E203" s="20"/>
      <c r="F203" s="20"/>
    </row>
    <row r="204">
      <c r="A204" s="20"/>
      <c r="D204" s="41"/>
      <c r="E204" s="20"/>
      <c r="F204" s="20"/>
    </row>
    <row r="205">
      <c r="A205" s="20"/>
      <c r="D205" s="41"/>
      <c r="E205" s="20"/>
      <c r="F205" s="20"/>
    </row>
    <row r="206">
      <c r="A206" s="20"/>
      <c r="D206" s="41"/>
      <c r="E206" s="20"/>
      <c r="F206" s="20"/>
    </row>
    <row r="207">
      <c r="A207" s="20"/>
      <c r="D207" s="41"/>
      <c r="E207" s="20"/>
      <c r="F207" s="20"/>
    </row>
    <row r="208">
      <c r="A208" s="20"/>
      <c r="D208" s="41"/>
      <c r="E208" s="20"/>
      <c r="F208" s="20"/>
    </row>
    <row r="209">
      <c r="A209" s="20"/>
      <c r="D209" s="41"/>
      <c r="E209" s="20"/>
      <c r="F209" s="20"/>
    </row>
    <row r="210">
      <c r="A210" s="20"/>
      <c r="D210" s="41"/>
      <c r="E210" s="20"/>
      <c r="F210" s="20"/>
    </row>
    <row r="211">
      <c r="A211" s="20"/>
      <c r="D211" s="41"/>
      <c r="E211" s="20"/>
      <c r="F211" s="20"/>
    </row>
    <row r="212">
      <c r="A212" s="20"/>
      <c r="D212" s="41"/>
      <c r="E212" s="20"/>
      <c r="F212" s="20"/>
    </row>
    <row r="213">
      <c r="A213" s="20"/>
      <c r="D213" s="41"/>
      <c r="E213" s="20"/>
      <c r="F213" s="20"/>
    </row>
    <row r="214">
      <c r="A214" s="20"/>
      <c r="D214" s="41"/>
      <c r="E214" s="20"/>
      <c r="F214" s="20"/>
    </row>
    <row r="215">
      <c r="A215" s="20"/>
      <c r="D215" s="41"/>
      <c r="E215" s="20"/>
      <c r="F215" s="20"/>
    </row>
    <row r="216">
      <c r="A216" s="20"/>
      <c r="D216" s="41"/>
      <c r="E216" s="20"/>
      <c r="F216" s="20"/>
    </row>
    <row r="217">
      <c r="A217" s="20"/>
      <c r="D217" s="41"/>
      <c r="E217" s="20"/>
      <c r="F217" s="20"/>
    </row>
    <row r="218">
      <c r="A218" s="20"/>
      <c r="D218" s="41"/>
      <c r="E218" s="20"/>
      <c r="F218" s="20"/>
    </row>
    <row r="219">
      <c r="A219" s="20"/>
      <c r="D219" s="41"/>
      <c r="E219" s="20"/>
      <c r="F219" s="20"/>
    </row>
    <row r="220">
      <c r="A220" s="20"/>
      <c r="D220" s="41"/>
      <c r="E220" s="20"/>
      <c r="F220" s="20"/>
    </row>
    <row r="221">
      <c r="A221" s="20"/>
      <c r="D221" s="41"/>
      <c r="E221" s="20"/>
      <c r="F221" s="20"/>
    </row>
    <row r="222">
      <c r="A222" s="20"/>
      <c r="D222" s="41"/>
      <c r="E222" s="20"/>
      <c r="F222" s="20"/>
    </row>
    <row r="223">
      <c r="A223" s="20"/>
      <c r="D223" s="41"/>
      <c r="E223" s="20"/>
      <c r="F223" s="20"/>
    </row>
    <row r="224">
      <c r="A224" s="20"/>
      <c r="D224" s="41"/>
      <c r="E224" s="20"/>
      <c r="F224" s="20"/>
    </row>
    <row r="225">
      <c r="A225" s="20"/>
      <c r="D225" s="41"/>
      <c r="E225" s="20"/>
      <c r="F225" s="20"/>
    </row>
    <row r="226">
      <c r="A226" s="20"/>
      <c r="D226" s="41"/>
      <c r="E226" s="20"/>
      <c r="F226" s="20"/>
    </row>
    <row r="227">
      <c r="A227" s="20"/>
      <c r="D227" s="41"/>
      <c r="E227" s="20"/>
      <c r="F227" s="20"/>
    </row>
    <row r="228">
      <c r="A228" s="20"/>
      <c r="D228" s="41"/>
      <c r="E228" s="20"/>
      <c r="F228" s="20"/>
    </row>
    <row r="229">
      <c r="A229" s="20"/>
      <c r="D229" s="41"/>
      <c r="E229" s="20"/>
      <c r="F229" s="20"/>
    </row>
    <row r="230">
      <c r="A230" s="20"/>
      <c r="D230" s="41"/>
      <c r="E230" s="20"/>
      <c r="F230" s="20"/>
    </row>
    <row r="231">
      <c r="A231" s="20"/>
      <c r="D231" s="41"/>
      <c r="E231" s="20"/>
      <c r="F231" s="20"/>
    </row>
    <row r="232">
      <c r="A232" s="20"/>
      <c r="D232" s="41"/>
      <c r="E232" s="20"/>
      <c r="F232" s="20"/>
    </row>
    <row r="233">
      <c r="A233" s="20"/>
      <c r="D233" s="41"/>
      <c r="E233" s="20"/>
      <c r="F233" s="20"/>
    </row>
    <row r="234">
      <c r="A234" s="20"/>
      <c r="D234" s="41"/>
      <c r="E234" s="20"/>
      <c r="F234" s="20"/>
    </row>
    <row r="235">
      <c r="A235" s="20"/>
      <c r="D235" s="41"/>
      <c r="E235" s="20"/>
      <c r="F235" s="20"/>
    </row>
    <row r="236">
      <c r="A236" s="20"/>
      <c r="D236" s="41"/>
      <c r="E236" s="20"/>
      <c r="F236" s="20"/>
    </row>
    <row r="237">
      <c r="A237" s="20"/>
      <c r="D237" s="41"/>
      <c r="E237" s="20"/>
      <c r="F237" s="20"/>
    </row>
    <row r="238">
      <c r="A238" s="20"/>
      <c r="D238" s="41"/>
      <c r="E238" s="20"/>
      <c r="F238" s="20"/>
    </row>
    <row r="239">
      <c r="A239" s="20"/>
      <c r="D239" s="41"/>
      <c r="E239" s="20"/>
      <c r="F239" s="20"/>
    </row>
    <row r="240">
      <c r="A240" s="20"/>
      <c r="D240" s="41"/>
      <c r="E240" s="20"/>
      <c r="F240" s="20"/>
    </row>
    <row r="241">
      <c r="A241" s="20"/>
      <c r="D241" s="41"/>
      <c r="E241" s="20"/>
      <c r="F241" s="20"/>
    </row>
    <row r="242">
      <c r="A242" s="20"/>
      <c r="D242" s="41"/>
      <c r="E242" s="20"/>
      <c r="F242" s="20"/>
    </row>
    <row r="243">
      <c r="A243" s="20"/>
      <c r="D243" s="41"/>
      <c r="E243" s="20"/>
      <c r="F243" s="20"/>
    </row>
    <row r="244">
      <c r="A244" s="20"/>
      <c r="D244" s="41"/>
      <c r="E244" s="20"/>
      <c r="F244" s="20"/>
    </row>
    <row r="245">
      <c r="A245" s="20"/>
      <c r="D245" s="41"/>
      <c r="E245" s="20"/>
      <c r="F245" s="20"/>
    </row>
    <row r="246">
      <c r="A246" s="20"/>
      <c r="D246" s="41"/>
      <c r="E246" s="20"/>
      <c r="F246" s="20"/>
    </row>
    <row r="247">
      <c r="A247" s="20"/>
      <c r="D247" s="41"/>
      <c r="E247" s="20"/>
      <c r="F247" s="20"/>
    </row>
    <row r="248">
      <c r="A248" s="20"/>
      <c r="D248" s="41"/>
      <c r="E248" s="20"/>
      <c r="F248" s="20"/>
    </row>
    <row r="249">
      <c r="A249" s="20"/>
      <c r="D249" s="41"/>
      <c r="E249" s="20"/>
      <c r="F249" s="20"/>
    </row>
    <row r="250">
      <c r="A250" s="20"/>
      <c r="D250" s="41"/>
      <c r="E250" s="20"/>
      <c r="F250" s="20"/>
    </row>
    <row r="251">
      <c r="A251" s="20"/>
      <c r="D251" s="41"/>
      <c r="E251" s="20"/>
      <c r="F251" s="20"/>
    </row>
    <row r="252">
      <c r="A252" s="20"/>
      <c r="D252" s="41"/>
      <c r="E252" s="20"/>
      <c r="F252" s="20"/>
    </row>
    <row r="253">
      <c r="A253" s="20"/>
      <c r="D253" s="41"/>
      <c r="E253" s="20"/>
      <c r="F253" s="20"/>
    </row>
    <row r="254">
      <c r="A254" s="20"/>
      <c r="D254" s="41"/>
      <c r="E254" s="20"/>
      <c r="F254" s="20"/>
    </row>
    <row r="255">
      <c r="A255" s="20"/>
      <c r="D255" s="41"/>
      <c r="E255" s="20"/>
      <c r="F255" s="20"/>
    </row>
    <row r="256">
      <c r="A256" s="20"/>
      <c r="D256" s="41"/>
      <c r="E256" s="20"/>
      <c r="F256" s="20"/>
    </row>
    <row r="257">
      <c r="A257" s="20"/>
      <c r="D257" s="41"/>
      <c r="E257" s="20"/>
      <c r="F257" s="20"/>
    </row>
    <row r="258">
      <c r="A258" s="20"/>
      <c r="D258" s="41"/>
      <c r="E258" s="20"/>
      <c r="F258" s="20"/>
    </row>
    <row r="259">
      <c r="A259" s="20"/>
      <c r="D259" s="41"/>
      <c r="E259" s="20"/>
      <c r="F259" s="20"/>
    </row>
    <row r="260">
      <c r="A260" s="20"/>
      <c r="D260" s="41"/>
      <c r="E260" s="20"/>
      <c r="F260" s="20"/>
    </row>
    <row r="261">
      <c r="A261" s="20"/>
      <c r="D261" s="41"/>
      <c r="E261" s="20"/>
      <c r="F261" s="20"/>
    </row>
    <row r="262">
      <c r="A262" s="20"/>
      <c r="D262" s="41"/>
      <c r="E262" s="20"/>
      <c r="F262" s="20"/>
    </row>
    <row r="263">
      <c r="A263" s="20"/>
      <c r="D263" s="41"/>
      <c r="E263" s="20"/>
      <c r="F263" s="20"/>
    </row>
    <row r="264">
      <c r="A264" s="20"/>
      <c r="D264" s="41"/>
      <c r="E264" s="20"/>
      <c r="F264" s="20"/>
    </row>
    <row r="265">
      <c r="A265" s="20"/>
      <c r="D265" s="41"/>
      <c r="E265" s="20"/>
      <c r="F265" s="20"/>
    </row>
    <row r="266">
      <c r="A266" s="20"/>
      <c r="D266" s="41"/>
      <c r="E266" s="20"/>
      <c r="F266" s="20"/>
    </row>
    <row r="267">
      <c r="A267" s="20"/>
      <c r="D267" s="41"/>
      <c r="E267" s="20"/>
      <c r="F267" s="20"/>
    </row>
    <row r="268">
      <c r="A268" s="20"/>
      <c r="D268" s="41"/>
      <c r="E268" s="20"/>
      <c r="F268" s="20"/>
    </row>
    <row r="269">
      <c r="A269" s="20"/>
      <c r="D269" s="41"/>
      <c r="E269" s="20"/>
      <c r="F269" s="20"/>
    </row>
    <row r="270">
      <c r="A270" s="20"/>
      <c r="D270" s="41"/>
      <c r="E270" s="20"/>
      <c r="F270" s="20"/>
    </row>
    <row r="271">
      <c r="A271" s="20"/>
      <c r="D271" s="41"/>
      <c r="E271" s="20"/>
      <c r="F271" s="20"/>
    </row>
    <row r="272">
      <c r="A272" s="20"/>
      <c r="D272" s="41"/>
      <c r="E272" s="20"/>
      <c r="F272" s="20"/>
    </row>
    <row r="273">
      <c r="A273" s="20"/>
      <c r="D273" s="41"/>
      <c r="E273" s="20"/>
      <c r="F273" s="20"/>
    </row>
    <row r="274">
      <c r="A274" s="20"/>
      <c r="D274" s="41"/>
      <c r="E274" s="20"/>
      <c r="F274" s="20"/>
    </row>
    <row r="275">
      <c r="A275" s="20"/>
      <c r="D275" s="41"/>
      <c r="E275" s="20"/>
      <c r="F275" s="20"/>
    </row>
    <row r="276">
      <c r="A276" s="20"/>
      <c r="D276" s="41"/>
      <c r="E276" s="20"/>
      <c r="F276" s="20"/>
    </row>
    <row r="277">
      <c r="A277" s="20"/>
      <c r="D277" s="41"/>
      <c r="E277" s="20"/>
      <c r="F277" s="20"/>
    </row>
    <row r="278">
      <c r="A278" s="20"/>
      <c r="D278" s="41"/>
      <c r="E278" s="20"/>
      <c r="F278" s="20"/>
    </row>
    <row r="279">
      <c r="A279" s="20"/>
      <c r="D279" s="41"/>
      <c r="E279" s="20"/>
      <c r="F279" s="20"/>
    </row>
    <row r="280">
      <c r="A280" s="20"/>
      <c r="D280" s="41"/>
      <c r="E280" s="20"/>
      <c r="F280" s="20"/>
    </row>
    <row r="281">
      <c r="A281" s="20"/>
      <c r="D281" s="41"/>
      <c r="E281" s="20"/>
      <c r="F281" s="20"/>
    </row>
    <row r="282">
      <c r="A282" s="20"/>
      <c r="D282" s="41"/>
      <c r="E282" s="20"/>
      <c r="F282" s="20"/>
    </row>
    <row r="283">
      <c r="A283" s="20"/>
      <c r="D283" s="41"/>
      <c r="E283" s="20"/>
      <c r="F283" s="20"/>
    </row>
    <row r="284">
      <c r="A284" s="20"/>
      <c r="D284" s="41"/>
      <c r="E284" s="20"/>
      <c r="F284" s="20"/>
    </row>
    <row r="285">
      <c r="A285" s="20"/>
      <c r="D285" s="41"/>
      <c r="E285" s="20"/>
      <c r="F285" s="20"/>
    </row>
    <row r="286">
      <c r="A286" s="20"/>
      <c r="D286" s="41"/>
      <c r="E286" s="20"/>
      <c r="F286" s="20"/>
    </row>
    <row r="287">
      <c r="A287" s="20"/>
      <c r="D287" s="41"/>
      <c r="E287" s="20"/>
      <c r="F287" s="20"/>
    </row>
    <row r="288">
      <c r="A288" s="20"/>
      <c r="D288" s="41"/>
      <c r="E288" s="20"/>
      <c r="F288" s="20"/>
    </row>
    <row r="289">
      <c r="A289" s="20"/>
      <c r="D289" s="41"/>
      <c r="E289" s="20"/>
      <c r="F289" s="20"/>
    </row>
    <row r="290">
      <c r="A290" s="20"/>
      <c r="D290" s="41"/>
      <c r="E290" s="20"/>
      <c r="F290" s="20"/>
    </row>
    <row r="291">
      <c r="A291" s="20"/>
      <c r="D291" s="41"/>
      <c r="E291" s="20"/>
      <c r="F291" s="20"/>
    </row>
    <row r="292">
      <c r="A292" s="20"/>
      <c r="D292" s="41"/>
      <c r="E292" s="20"/>
      <c r="F292" s="20"/>
    </row>
    <row r="293">
      <c r="A293" s="20"/>
      <c r="D293" s="41"/>
      <c r="E293" s="20"/>
      <c r="F293" s="20"/>
    </row>
    <row r="294">
      <c r="A294" s="20"/>
      <c r="D294" s="41"/>
      <c r="E294" s="20"/>
      <c r="F294" s="20"/>
    </row>
    <row r="295">
      <c r="A295" s="20"/>
      <c r="D295" s="41"/>
      <c r="E295" s="20"/>
      <c r="F295" s="20"/>
    </row>
    <row r="296">
      <c r="A296" s="20"/>
      <c r="D296" s="41"/>
      <c r="E296" s="20"/>
      <c r="F296" s="20"/>
    </row>
    <row r="297">
      <c r="A297" s="20"/>
      <c r="D297" s="41"/>
      <c r="E297" s="20"/>
      <c r="F297" s="20"/>
    </row>
    <row r="298">
      <c r="A298" s="20"/>
      <c r="D298" s="41"/>
      <c r="E298" s="20"/>
      <c r="F298" s="20"/>
    </row>
    <row r="299">
      <c r="A299" s="20"/>
      <c r="D299" s="41"/>
      <c r="E299" s="20"/>
      <c r="F299" s="20"/>
    </row>
    <row r="300">
      <c r="A300" s="20"/>
      <c r="D300" s="41"/>
      <c r="E300" s="20"/>
      <c r="F300" s="20"/>
    </row>
    <row r="301">
      <c r="A301" s="20"/>
      <c r="D301" s="41"/>
      <c r="E301" s="20"/>
      <c r="F301" s="20"/>
    </row>
    <row r="302">
      <c r="A302" s="20"/>
      <c r="D302" s="41"/>
      <c r="E302" s="20"/>
      <c r="F302" s="20"/>
    </row>
    <row r="303">
      <c r="A303" s="20"/>
      <c r="D303" s="41"/>
      <c r="E303" s="20"/>
      <c r="F303" s="20"/>
    </row>
    <row r="304">
      <c r="A304" s="20"/>
      <c r="D304" s="41"/>
      <c r="E304" s="20"/>
      <c r="F304" s="20"/>
    </row>
    <row r="305">
      <c r="A305" s="20"/>
      <c r="D305" s="41"/>
      <c r="E305" s="20"/>
      <c r="F305" s="20"/>
    </row>
    <row r="306">
      <c r="A306" s="20"/>
      <c r="D306" s="41"/>
      <c r="E306" s="20"/>
      <c r="F306" s="20"/>
    </row>
    <row r="307">
      <c r="A307" s="20"/>
      <c r="D307" s="41"/>
      <c r="E307" s="20"/>
      <c r="F307" s="20"/>
    </row>
    <row r="308">
      <c r="A308" s="20"/>
      <c r="D308" s="41"/>
      <c r="E308" s="20"/>
      <c r="F308" s="20"/>
    </row>
    <row r="309">
      <c r="A309" s="20"/>
      <c r="D309" s="41"/>
      <c r="E309" s="20"/>
      <c r="F309" s="20"/>
    </row>
    <row r="310">
      <c r="A310" s="20"/>
      <c r="D310" s="41"/>
      <c r="E310" s="20"/>
      <c r="F310" s="20"/>
    </row>
    <row r="311">
      <c r="A311" s="20"/>
      <c r="D311" s="41"/>
      <c r="E311" s="20"/>
      <c r="F311" s="20"/>
    </row>
    <row r="312">
      <c r="A312" s="20"/>
      <c r="D312" s="41"/>
      <c r="E312" s="20"/>
      <c r="F312" s="20"/>
    </row>
    <row r="313">
      <c r="A313" s="20"/>
      <c r="D313" s="41"/>
      <c r="E313" s="20"/>
      <c r="F313" s="20"/>
    </row>
    <row r="314">
      <c r="A314" s="20"/>
      <c r="D314" s="41"/>
      <c r="E314" s="20"/>
      <c r="F314" s="20"/>
    </row>
    <row r="315">
      <c r="A315" s="20"/>
      <c r="D315" s="41"/>
      <c r="E315" s="20"/>
      <c r="F315" s="20"/>
    </row>
    <row r="316">
      <c r="A316" s="20"/>
      <c r="D316" s="41"/>
      <c r="E316" s="20"/>
      <c r="F316" s="20"/>
    </row>
    <row r="317">
      <c r="A317" s="20"/>
      <c r="D317" s="41"/>
      <c r="E317" s="20"/>
      <c r="F317" s="20"/>
    </row>
    <row r="318">
      <c r="A318" s="20"/>
      <c r="D318" s="41"/>
      <c r="E318" s="20"/>
      <c r="F318" s="20"/>
    </row>
    <row r="319">
      <c r="A319" s="20"/>
      <c r="D319" s="41"/>
      <c r="E319" s="20"/>
      <c r="F319" s="20"/>
    </row>
    <row r="320">
      <c r="A320" s="20"/>
      <c r="D320" s="41"/>
      <c r="E320" s="20"/>
      <c r="F320" s="20"/>
    </row>
    <row r="321">
      <c r="A321" s="20"/>
      <c r="D321" s="41"/>
      <c r="E321" s="20"/>
      <c r="F321" s="20"/>
    </row>
    <row r="322">
      <c r="A322" s="20"/>
      <c r="D322" s="41"/>
      <c r="E322" s="20"/>
      <c r="F322" s="20"/>
    </row>
    <row r="323">
      <c r="A323" s="20"/>
      <c r="D323" s="41"/>
      <c r="E323" s="20"/>
      <c r="F323" s="20"/>
    </row>
    <row r="324">
      <c r="A324" s="20"/>
      <c r="D324" s="41"/>
      <c r="E324" s="20"/>
      <c r="F324" s="20"/>
    </row>
    <row r="325">
      <c r="A325" s="20"/>
      <c r="D325" s="41"/>
      <c r="E325" s="20"/>
      <c r="F325" s="20"/>
    </row>
    <row r="326">
      <c r="A326" s="20"/>
      <c r="D326" s="41"/>
      <c r="E326" s="20"/>
      <c r="F326" s="20"/>
    </row>
    <row r="327">
      <c r="A327" s="20"/>
      <c r="D327" s="41"/>
      <c r="E327" s="20"/>
      <c r="F327" s="20"/>
    </row>
    <row r="328">
      <c r="A328" s="20"/>
      <c r="D328" s="41"/>
      <c r="E328" s="20"/>
      <c r="F328" s="20"/>
    </row>
    <row r="329">
      <c r="A329" s="20"/>
      <c r="D329" s="41"/>
      <c r="E329" s="20"/>
      <c r="F329" s="20"/>
    </row>
    <row r="330">
      <c r="A330" s="20"/>
      <c r="D330" s="41"/>
      <c r="E330" s="20"/>
      <c r="F330" s="20"/>
    </row>
    <row r="331">
      <c r="A331" s="20"/>
      <c r="D331" s="41"/>
      <c r="E331" s="20"/>
      <c r="F331" s="20"/>
    </row>
    <row r="332">
      <c r="A332" s="20"/>
      <c r="D332" s="41"/>
      <c r="E332" s="20"/>
      <c r="F332" s="20"/>
    </row>
    <row r="333">
      <c r="A333" s="20"/>
      <c r="D333" s="41"/>
      <c r="E333" s="20"/>
      <c r="F333" s="20"/>
    </row>
    <row r="334">
      <c r="A334" s="20"/>
      <c r="D334" s="41"/>
      <c r="E334" s="20"/>
      <c r="F334" s="20"/>
    </row>
    <row r="335">
      <c r="A335" s="20"/>
      <c r="D335" s="41"/>
      <c r="E335" s="20"/>
      <c r="F335" s="20"/>
    </row>
    <row r="336">
      <c r="A336" s="20"/>
      <c r="D336" s="41"/>
      <c r="E336" s="20"/>
      <c r="F336" s="20"/>
    </row>
    <row r="337">
      <c r="A337" s="20"/>
      <c r="D337" s="41"/>
      <c r="E337" s="20"/>
      <c r="F337" s="20"/>
    </row>
    <row r="338">
      <c r="A338" s="20"/>
      <c r="D338" s="41"/>
      <c r="E338" s="20"/>
      <c r="F338" s="20"/>
    </row>
    <row r="339">
      <c r="A339" s="20"/>
      <c r="D339" s="41"/>
      <c r="E339" s="20"/>
      <c r="F339" s="20"/>
    </row>
    <row r="340">
      <c r="A340" s="20"/>
      <c r="D340" s="41"/>
      <c r="E340" s="20"/>
      <c r="F340" s="20"/>
    </row>
    <row r="341">
      <c r="A341" s="20"/>
      <c r="D341" s="41"/>
      <c r="E341" s="20"/>
      <c r="F341" s="20"/>
    </row>
    <row r="342">
      <c r="A342" s="20"/>
      <c r="D342" s="41"/>
      <c r="E342" s="20"/>
      <c r="F342" s="20"/>
    </row>
    <row r="343">
      <c r="A343" s="20"/>
      <c r="D343" s="41"/>
      <c r="E343" s="20"/>
      <c r="F343" s="20"/>
    </row>
    <row r="344">
      <c r="A344" s="20"/>
      <c r="D344" s="41"/>
      <c r="E344" s="20"/>
      <c r="F344" s="20"/>
    </row>
    <row r="345">
      <c r="A345" s="20"/>
      <c r="D345" s="41"/>
      <c r="E345" s="20"/>
      <c r="F345" s="20"/>
    </row>
    <row r="346">
      <c r="A346" s="20"/>
      <c r="D346" s="41"/>
      <c r="E346" s="20"/>
      <c r="F346" s="20"/>
    </row>
    <row r="347">
      <c r="A347" s="20"/>
      <c r="D347" s="41"/>
      <c r="E347" s="20"/>
      <c r="F347" s="20"/>
    </row>
    <row r="348">
      <c r="A348" s="20"/>
      <c r="D348" s="41"/>
      <c r="E348" s="20"/>
      <c r="F348" s="20"/>
    </row>
    <row r="349">
      <c r="A349" s="20"/>
      <c r="D349" s="41"/>
      <c r="E349" s="20"/>
      <c r="F349" s="20"/>
    </row>
    <row r="350">
      <c r="A350" s="20"/>
      <c r="D350" s="41"/>
      <c r="E350" s="20"/>
      <c r="F350" s="20"/>
    </row>
    <row r="351">
      <c r="A351" s="20"/>
      <c r="D351" s="41"/>
      <c r="E351" s="20"/>
      <c r="F351" s="20"/>
    </row>
    <row r="352">
      <c r="A352" s="20"/>
      <c r="D352" s="41"/>
      <c r="E352" s="20"/>
      <c r="F352" s="20"/>
    </row>
    <row r="353">
      <c r="A353" s="20"/>
      <c r="D353" s="41"/>
      <c r="E353" s="20"/>
      <c r="F353" s="20"/>
    </row>
    <row r="354">
      <c r="A354" s="20"/>
      <c r="D354" s="41"/>
      <c r="E354" s="20"/>
      <c r="F354" s="20"/>
    </row>
    <row r="355">
      <c r="A355" s="20"/>
      <c r="D355" s="41"/>
      <c r="E355" s="20"/>
      <c r="F355" s="20"/>
    </row>
    <row r="356">
      <c r="A356" s="20"/>
      <c r="D356" s="41"/>
      <c r="E356" s="20"/>
      <c r="F356" s="20"/>
    </row>
    <row r="357">
      <c r="A357" s="20"/>
      <c r="D357" s="41"/>
      <c r="E357" s="20"/>
      <c r="F357" s="20"/>
    </row>
    <row r="358">
      <c r="A358" s="20"/>
      <c r="D358" s="41"/>
      <c r="E358" s="20"/>
      <c r="F358" s="20"/>
    </row>
    <row r="359">
      <c r="A359" s="20"/>
      <c r="D359" s="41"/>
      <c r="E359" s="20"/>
      <c r="F359" s="20"/>
    </row>
    <row r="360">
      <c r="A360" s="20"/>
      <c r="D360" s="41"/>
      <c r="E360" s="20"/>
      <c r="F360" s="20"/>
    </row>
    <row r="361">
      <c r="A361" s="20"/>
      <c r="D361" s="41"/>
      <c r="E361" s="20"/>
      <c r="F361" s="20"/>
    </row>
    <row r="362">
      <c r="A362" s="20"/>
      <c r="D362" s="41"/>
      <c r="E362" s="20"/>
      <c r="F362" s="20"/>
    </row>
    <row r="363">
      <c r="A363" s="20"/>
      <c r="D363" s="41"/>
      <c r="E363" s="20"/>
      <c r="F363" s="20"/>
    </row>
    <row r="364">
      <c r="A364" s="20"/>
      <c r="D364" s="41"/>
      <c r="E364" s="20"/>
      <c r="F364" s="20"/>
    </row>
    <row r="365">
      <c r="A365" s="20"/>
      <c r="D365" s="41"/>
      <c r="E365" s="20"/>
      <c r="F365" s="20"/>
    </row>
    <row r="366">
      <c r="A366" s="20"/>
      <c r="D366" s="41"/>
      <c r="E366" s="20"/>
      <c r="F366" s="20"/>
    </row>
    <row r="367">
      <c r="A367" s="20"/>
      <c r="D367" s="41"/>
      <c r="E367" s="20"/>
      <c r="F367" s="20"/>
    </row>
    <row r="368">
      <c r="A368" s="20"/>
      <c r="D368" s="41"/>
      <c r="E368" s="20"/>
      <c r="F368" s="20"/>
    </row>
    <row r="369">
      <c r="A369" s="20"/>
      <c r="D369" s="41"/>
      <c r="E369" s="20"/>
      <c r="F369" s="20"/>
    </row>
    <row r="370">
      <c r="A370" s="20"/>
      <c r="D370" s="41"/>
      <c r="E370" s="20"/>
      <c r="F370" s="20"/>
    </row>
    <row r="371">
      <c r="A371" s="20"/>
      <c r="D371" s="41"/>
      <c r="E371" s="20"/>
      <c r="F371" s="20"/>
    </row>
    <row r="372">
      <c r="A372" s="20"/>
      <c r="D372" s="41"/>
      <c r="E372" s="20"/>
      <c r="F372" s="20"/>
    </row>
    <row r="373">
      <c r="A373" s="20"/>
      <c r="D373" s="41"/>
      <c r="E373" s="20"/>
      <c r="F373" s="20"/>
    </row>
    <row r="374">
      <c r="A374" s="20"/>
      <c r="D374" s="41"/>
      <c r="E374" s="20"/>
      <c r="F374" s="20"/>
    </row>
    <row r="375">
      <c r="A375" s="20"/>
      <c r="D375" s="41"/>
      <c r="E375" s="20"/>
      <c r="F375" s="20"/>
    </row>
    <row r="376">
      <c r="A376" s="20"/>
      <c r="D376" s="41"/>
      <c r="E376" s="20"/>
      <c r="F376" s="20"/>
    </row>
    <row r="377">
      <c r="A377" s="20"/>
      <c r="D377" s="41"/>
      <c r="E377" s="20"/>
      <c r="F377" s="20"/>
    </row>
    <row r="378">
      <c r="A378" s="20"/>
      <c r="D378" s="41"/>
      <c r="E378" s="20"/>
      <c r="F378" s="20"/>
    </row>
    <row r="379">
      <c r="A379" s="20"/>
      <c r="D379" s="41"/>
      <c r="E379" s="20"/>
      <c r="F379" s="20"/>
    </row>
    <row r="380">
      <c r="A380" s="20"/>
      <c r="D380" s="41"/>
      <c r="E380" s="20"/>
      <c r="F380" s="20"/>
    </row>
    <row r="381">
      <c r="A381" s="20"/>
      <c r="D381" s="41"/>
      <c r="E381" s="20"/>
      <c r="F381" s="20"/>
    </row>
    <row r="382">
      <c r="A382" s="20"/>
      <c r="D382" s="41"/>
      <c r="E382" s="20"/>
      <c r="F382" s="20"/>
    </row>
    <row r="383">
      <c r="A383" s="20"/>
      <c r="D383" s="41"/>
      <c r="E383" s="20"/>
      <c r="F383" s="20"/>
    </row>
    <row r="384">
      <c r="A384" s="20"/>
      <c r="D384" s="41"/>
      <c r="E384" s="20"/>
      <c r="F384" s="20"/>
    </row>
    <row r="385">
      <c r="A385" s="20"/>
      <c r="D385" s="41"/>
      <c r="E385" s="20"/>
      <c r="F385" s="20"/>
    </row>
    <row r="386">
      <c r="A386" s="20"/>
      <c r="D386" s="41"/>
      <c r="E386" s="20"/>
      <c r="F386" s="20"/>
    </row>
    <row r="387">
      <c r="A387" s="20"/>
      <c r="D387" s="41"/>
      <c r="E387" s="20"/>
      <c r="F387" s="20"/>
    </row>
    <row r="388">
      <c r="A388" s="20"/>
      <c r="D388" s="41"/>
      <c r="E388" s="20"/>
      <c r="F388" s="20"/>
    </row>
    <row r="389">
      <c r="A389" s="20"/>
      <c r="D389" s="41"/>
      <c r="E389" s="20"/>
      <c r="F389" s="20"/>
    </row>
    <row r="390">
      <c r="A390" s="20"/>
      <c r="D390" s="41"/>
      <c r="E390" s="20"/>
      <c r="F390" s="20"/>
    </row>
    <row r="391">
      <c r="A391" s="20"/>
      <c r="D391" s="41"/>
      <c r="E391" s="20"/>
      <c r="F391" s="20"/>
    </row>
    <row r="392">
      <c r="A392" s="20"/>
      <c r="D392" s="41"/>
      <c r="E392" s="20"/>
      <c r="F392" s="20"/>
    </row>
    <row r="393">
      <c r="A393" s="20"/>
      <c r="D393" s="41"/>
      <c r="E393" s="20"/>
      <c r="F393" s="20"/>
    </row>
    <row r="394">
      <c r="A394" s="20"/>
      <c r="D394" s="41"/>
      <c r="E394" s="20"/>
      <c r="F394" s="20"/>
    </row>
    <row r="395">
      <c r="A395" s="20"/>
      <c r="D395" s="41"/>
      <c r="E395" s="20"/>
      <c r="F395" s="20"/>
    </row>
    <row r="396">
      <c r="A396" s="20"/>
      <c r="D396" s="41"/>
      <c r="E396" s="20"/>
      <c r="F396" s="20"/>
    </row>
    <row r="397">
      <c r="A397" s="20"/>
      <c r="D397" s="41"/>
      <c r="E397" s="20"/>
      <c r="F397" s="20"/>
    </row>
    <row r="398">
      <c r="A398" s="20"/>
      <c r="D398" s="41"/>
      <c r="E398" s="20"/>
      <c r="F398" s="20"/>
    </row>
    <row r="399">
      <c r="A399" s="20"/>
      <c r="D399" s="41"/>
      <c r="E399" s="20"/>
      <c r="F399" s="20"/>
    </row>
    <row r="400">
      <c r="A400" s="20"/>
      <c r="D400" s="41"/>
      <c r="E400" s="20"/>
      <c r="F400" s="20"/>
    </row>
    <row r="401">
      <c r="A401" s="20"/>
      <c r="D401" s="41"/>
      <c r="E401" s="20"/>
      <c r="F401" s="20"/>
    </row>
    <row r="402">
      <c r="A402" s="20"/>
      <c r="D402" s="41"/>
      <c r="E402" s="20"/>
      <c r="F402" s="20"/>
    </row>
    <row r="403">
      <c r="A403" s="20"/>
      <c r="D403" s="41"/>
      <c r="E403" s="20"/>
      <c r="F403" s="20"/>
    </row>
    <row r="404">
      <c r="A404" s="20"/>
      <c r="D404" s="41"/>
      <c r="E404" s="20"/>
      <c r="F404" s="20"/>
    </row>
    <row r="405">
      <c r="A405" s="20"/>
      <c r="D405" s="41"/>
      <c r="E405" s="20"/>
      <c r="F405" s="20"/>
    </row>
    <row r="406">
      <c r="A406" s="20"/>
      <c r="D406" s="41"/>
      <c r="E406" s="20"/>
      <c r="F406" s="20"/>
    </row>
    <row r="407">
      <c r="A407" s="20"/>
      <c r="D407" s="41"/>
      <c r="E407" s="20"/>
      <c r="F407" s="20"/>
    </row>
    <row r="408">
      <c r="A408" s="20"/>
      <c r="D408" s="41"/>
      <c r="E408" s="20"/>
      <c r="F408" s="20"/>
    </row>
    <row r="409">
      <c r="A409" s="20"/>
      <c r="D409" s="41"/>
      <c r="E409" s="20"/>
      <c r="F409" s="20"/>
    </row>
    <row r="410">
      <c r="A410" s="20"/>
      <c r="D410" s="41"/>
      <c r="E410" s="20"/>
      <c r="F410" s="20"/>
    </row>
    <row r="411">
      <c r="A411" s="20"/>
      <c r="D411" s="41"/>
      <c r="E411" s="20"/>
      <c r="F411" s="20"/>
    </row>
    <row r="412">
      <c r="A412" s="20"/>
      <c r="D412" s="41"/>
      <c r="E412" s="20"/>
      <c r="F412" s="20"/>
    </row>
    <row r="413">
      <c r="A413" s="20"/>
      <c r="D413" s="41"/>
      <c r="E413" s="20"/>
      <c r="F413" s="20"/>
    </row>
    <row r="414">
      <c r="A414" s="20"/>
      <c r="D414" s="41"/>
      <c r="E414" s="20"/>
      <c r="F414" s="20"/>
    </row>
    <row r="415">
      <c r="A415" s="20"/>
      <c r="D415" s="41"/>
      <c r="E415" s="20"/>
      <c r="F415" s="20"/>
    </row>
    <row r="416">
      <c r="A416" s="20"/>
      <c r="D416" s="41"/>
      <c r="E416" s="20"/>
      <c r="F416" s="20"/>
    </row>
    <row r="417">
      <c r="A417" s="20"/>
      <c r="D417" s="41"/>
      <c r="E417" s="20"/>
      <c r="F417" s="20"/>
    </row>
    <row r="418">
      <c r="A418" s="20"/>
      <c r="D418" s="41"/>
      <c r="E418" s="20"/>
      <c r="F418" s="20"/>
    </row>
    <row r="419">
      <c r="A419" s="20"/>
      <c r="D419" s="41"/>
      <c r="E419" s="20"/>
      <c r="F419" s="20"/>
    </row>
    <row r="420">
      <c r="A420" s="20"/>
      <c r="D420" s="41"/>
      <c r="E420" s="20"/>
      <c r="F420" s="20"/>
    </row>
    <row r="421">
      <c r="A421" s="20"/>
      <c r="D421" s="41"/>
      <c r="E421" s="20"/>
      <c r="F421" s="20"/>
    </row>
    <row r="422">
      <c r="A422" s="20"/>
      <c r="D422" s="41"/>
      <c r="E422" s="20"/>
      <c r="F422" s="20"/>
    </row>
    <row r="423">
      <c r="A423" s="20"/>
      <c r="D423" s="41"/>
      <c r="E423" s="20"/>
      <c r="F423" s="20"/>
    </row>
    <row r="424">
      <c r="A424" s="20"/>
      <c r="D424" s="41"/>
      <c r="E424" s="20"/>
      <c r="F424" s="20"/>
    </row>
    <row r="425">
      <c r="A425" s="20"/>
      <c r="D425" s="41"/>
      <c r="E425" s="20"/>
      <c r="F425" s="20"/>
    </row>
    <row r="426">
      <c r="A426" s="20"/>
      <c r="D426" s="41"/>
      <c r="E426" s="20"/>
      <c r="F426" s="20"/>
    </row>
    <row r="427">
      <c r="A427" s="20"/>
      <c r="D427" s="41"/>
      <c r="E427" s="20"/>
      <c r="F427" s="20"/>
    </row>
    <row r="428">
      <c r="A428" s="20"/>
      <c r="D428" s="41"/>
      <c r="E428" s="20"/>
      <c r="F428" s="20"/>
    </row>
    <row r="429">
      <c r="A429" s="20"/>
      <c r="D429" s="41"/>
      <c r="E429" s="20"/>
      <c r="F429" s="20"/>
    </row>
    <row r="430">
      <c r="A430" s="20"/>
      <c r="D430" s="41"/>
      <c r="E430" s="20"/>
      <c r="F430" s="20"/>
    </row>
    <row r="431">
      <c r="A431" s="20"/>
      <c r="D431" s="41"/>
      <c r="E431" s="20"/>
      <c r="F431" s="20"/>
    </row>
    <row r="432">
      <c r="A432" s="20"/>
      <c r="D432" s="41"/>
      <c r="E432" s="20"/>
      <c r="F432" s="20"/>
    </row>
    <row r="433">
      <c r="A433" s="20"/>
      <c r="D433" s="41"/>
      <c r="E433" s="20"/>
      <c r="F433" s="20"/>
    </row>
    <row r="434">
      <c r="A434" s="20"/>
      <c r="D434" s="41"/>
      <c r="E434" s="20"/>
      <c r="F434" s="20"/>
    </row>
    <row r="435">
      <c r="A435" s="20"/>
      <c r="D435" s="41"/>
      <c r="E435" s="20"/>
      <c r="F435" s="20"/>
    </row>
    <row r="436">
      <c r="A436" s="20"/>
      <c r="D436" s="41"/>
      <c r="E436" s="20"/>
      <c r="F436" s="20"/>
    </row>
    <row r="437">
      <c r="A437" s="20"/>
      <c r="D437" s="41"/>
      <c r="E437" s="20"/>
      <c r="F437" s="20"/>
    </row>
    <row r="438">
      <c r="A438" s="20"/>
      <c r="D438" s="41"/>
      <c r="E438" s="20"/>
      <c r="F438" s="20"/>
    </row>
    <row r="439">
      <c r="A439" s="20"/>
      <c r="D439" s="41"/>
      <c r="E439" s="20"/>
      <c r="F439" s="20"/>
    </row>
    <row r="440">
      <c r="A440" s="20"/>
      <c r="D440" s="41"/>
      <c r="E440" s="20"/>
      <c r="F440" s="20"/>
    </row>
    <row r="441">
      <c r="A441" s="20"/>
      <c r="D441" s="41"/>
      <c r="E441" s="20"/>
      <c r="F441" s="20"/>
    </row>
    <row r="442">
      <c r="A442" s="20"/>
      <c r="D442" s="41"/>
      <c r="E442" s="20"/>
      <c r="F442" s="20"/>
    </row>
    <row r="443">
      <c r="A443" s="20"/>
      <c r="D443" s="41"/>
      <c r="E443" s="20"/>
      <c r="F443" s="20"/>
    </row>
    <row r="444">
      <c r="A444" s="20"/>
      <c r="D444" s="41"/>
      <c r="E444" s="20"/>
      <c r="F444" s="20"/>
    </row>
    <row r="445">
      <c r="A445" s="20"/>
      <c r="D445" s="41"/>
      <c r="E445" s="20"/>
      <c r="F445" s="20"/>
    </row>
    <row r="446">
      <c r="A446" s="20"/>
      <c r="D446" s="41"/>
      <c r="E446" s="20"/>
      <c r="F446" s="20"/>
    </row>
    <row r="447">
      <c r="A447" s="20"/>
      <c r="D447" s="41"/>
      <c r="E447" s="20"/>
      <c r="F447" s="20"/>
    </row>
    <row r="448">
      <c r="A448" s="20"/>
      <c r="D448" s="41"/>
      <c r="E448" s="20"/>
      <c r="F448" s="20"/>
    </row>
    <row r="449">
      <c r="A449" s="20"/>
      <c r="D449" s="41"/>
      <c r="E449" s="20"/>
      <c r="F449" s="20"/>
    </row>
    <row r="450">
      <c r="A450" s="20"/>
      <c r="D450" s="41"/>
      <c r="E450" s="20"/>
      <c r="F450" s="20"/>
    </row>
    <row r="451">
      <c r="A451" s="20"/>
      <c r="D451" s="41"/>
      <c r="E451" s="20"/>
      <c r="F451" s="20"/>
    </row>
    <row r="452">
      <c r="A452" s="20"/>
      <c r="D452" s="41"/>
      <c r="E452" s="20"/>
      <c r="F452" s="20"/>
    </row>
    <row r="453">
      <c r="A453" s="20"/>
      <c r="D453" s="41"/>
      <c r="E453" s="20"/>
      <c r="F453" s="20"/>
    </row>
    <row r="454">
      <c r="A454" s="20"/>
      <c r="D454" s="41"/>
      <c r="E454" s="20"/>
      <c r="F454" s="20"/>
    </row>
    <row r="455">
      <c r="A455" s="20"/>
      <c r="D455" s="41"/>
      <c r="E455" s="20"/>
      <c r="F455" s="20"/>
    </row>
    <row r="456">
      <c r="A456" s="20"/>
      <c r="D456" s="41"/>
      <c r="E456" s="20"/>
      <c r="F456" s="20"/>
    </row>
    <row r="457">
      <c r="A457" s="20"/>
      <c r="D457" s="41"/>
      <c r="E457" s="20"/>
      <c r="F457" s="20"/>
    </row>
    <row r="458">
      <c r="A458" s="20"/>
      <c r="D458" s="41"/>
      <c r="E458" s="20"/>
      <c r="F458" s="20"/>
    </row>
    <row r="459">
      <c r="A459" s="20"/>
      <c r="D459" s="41"/>
      <c r="E459" s="20"/>
      <c r="F459" s="20"/>
    </row>
    <row r="460">
      <c r="A460" s="20"/>
      <c r="D460" s="41"/>
      <c r="E460" s="20"/>
      <c r="F460" s="20"/>
    </row>
    <row r="461">
      <c r="A461" s="20"/>
      <c r="D461" s="41"/>
      <c r="E461" s="20"/>
      <c r="F461" s="20"/>
    </row>
    <row r="462">
      <c r="A462" s="20"/>
      <c r="D462" s="41"/>
      <c r="E462" s="20"/>
      <c r="F462" s="20"/>
    </row>
    <row r="463">
      <c r="A463" s="20"/>
      <c r="D463" s="41"/>
      <c r="E463" s="20"/>
      <c r="F463" s="20"/>
    </row>
    <row r="464">
      <c r="A464" s="20"/>
      <c r="D464" s="41"/>
      <c r="E464" s="20"/>
      <c r="F464" s="20"/>
    </row>
    <row r="465">
      <c r="A465" s="20"/>
      <c r="D465" s="41"/>
      <c r="E465" s="20"/>
      <c r="F465" s="20"/>
    </row>
    <row r="466">
      <c r="A466" s="20"/>
      <c r="D466" s="41"/>
      <c r="E466" s="20"/>
      <c r="F466" s="20"/>
    </row>
    <row r="467">
      <c r="A467" s="20"/>
      <c r="D467" s="41"/>
      <c r="E467" s="20"/>
      <c r="F467" s="20"/>
    </row>
    <row r="468">
      <c r="A468" s="20"/>
      <c r="D468" s="41"/>
      <c r="E468" s="20"/>
      <c r="F468" s="20"/>
    </row>
    <row r="469">
      <c r="A469" s="20"/>
      <c r="D469" s="41"/>
      <c r="E469" s="20"/>
      <c r="F469" s="20"/>
    </row>
    <row r="470">
      <c r="A470" s="20"/>
      <c r="D470" s="41"/>
      <c r="E470" s="20"/>
      <c r="F470" s="20"/>
    </row>
    <row r="471">
      <c r="A471" s="20"/>
      <c r="D471" s="41"/>
      <c r="E471" s="20"/>
      <c r="F471" s="20"/>
    </row>
    <row r="472">
      <c r="A472" s="20"/>
      <c r="D472" s="41"/>
      <c r="E472" s="20"/>
      <c r="F472" s="20"/>
    </row>
    <row r="473">
      <c r="A473" s="20"/>
      <c r="D473" s="41"/>
      <c r="E473" s="20"/>
      <c r="F473" s="20"/>
    </row>
    <row r="474">
      <c r="A474" s="20"/>
      <c r="D474" s="41"/>
      <c r="E474" s="20"/>
      <c r="F474" s="20"/>
    </row>
    <row r="475">
      <c r="A475" s="20"/>
      <c r="D475" s="41"/>
      <c r="E475" s="20"/>
      <c r="F475" s="20"/>
    </row>
    <row r="476">
      <c r="A476" s="20"/>
      <c r="D476" s="41"/>
      <c r="E476" s="20"/>
      <c r="F476" s="20"/>
    </row>
    <row r="477">
      <c r="A477" s="20"/>
      <c r="D477" s="41"/>
      <c r="E477" s="20"/>
      <c r="F477" s="20"/>
    </row>
    <row r="478">
      <c r="A478" s="20"/>
      <c r="D478" s="41"/>
      <c r="E478" s="20"/>
      <c r="F478" s="20"/>
    </row>
    <row r="479">
      <c r="A479" s="20"/>
      <c r="D479" s="41"/>
      <c r="E479" s="20"/>
      <c r="F479" s="20"/>
    </row>
    <row r="480">
      <c r="A480" s="20"/>
      <c r="D480" s="41"/>
      <c r="E480" s="20"/>
      <c r="F480" s="20"/>
    </row>
    <row r="481">
      <c r="A481" s="20"/>
      <c r="D481" s="41"/>
      <c r="E481" s="20"/>
      <c r="F481" s="20"/>
    </row>
    <row r="482">
      <c r="A482" s="20"/>
      <c r="D482" s="41"/>
      <c r="E482" s="20"/>
      <c r="F482" s="20"/>
    </row>
    <row r="483">
      <c r="A483" s="20"/>
      <c r="D483" s="41"/>
      <c r="E483" s="20"/>
      <c r="F483" s="20"/>
    </row>
    <row r="484">
      <c r="A484" s="20"/>
      <c r="D484" s="41"/>
      <c r="E484" s="20"/>
      <c r="F484" s="20"/>
    </row>
    <row r="485">
      <c r="A485" s="20"/>
      <c r="D485" s="41"/>
      <c r="E485" s="20"/>
      <c r="F485" s="20"/>
    </row>
    <row r="486">
      <c r="A486" s="20"/>
      <c r="D486" s="41"/>
      <c r="E486" s="20"/>
      <c r="F486" s="20"/>
    </row>
    <row r="487">
      <c r="A487" s="20"/>
      <c r="D487" s="41"/>
      <c r="E487" s="20"/>
      <c r="F487" s="20"/>
    </row>
    <row r="488">
      <c r="A488" s="20"/>
      <c r="D488" s="41"/>
      <c r="E488" s="20"/>
      <c r="F488" s="20"/>
    </row>
    <row r="489">
      <c r="A489" s="20"/>
      <c r="D489" s="41"/>
      <c r="E489" s="20"/>
      <c r="F489" s="20"/>
    </row>
    <row r="490">
      <c r="A490" s="20"/>
      <c r="D490" s="41"/>
      <c r="E490" s="20"/>
      <c r="F490" s="20"/>
    </row>
    <row r="491">
      <c r="A491" s="20"/>
      <c r="D491" s="41"/>
      <c r="E491" s="20"/>
      <c r="F491" s="20"/>
    </row>
    <row r="492">
      <c r="A492" s="20"/>
      <c r="D492" s="41"/>
      <c r="E492" s="20"/>
      <c r="F492" s="20"/>
    </row>
    <row r="493">
      <c r="A493" s="20"/>
      <c r="D493" s="41"/>
      <c r="E493" s="20"/>
      <c r="F493" s="20"/>
    </row>
    <row r="494">
      <c r="A494" s="20"/>
      <c r="D494" s="41"/>
      <c r="E494" s="20"/>
      <c r="F494" s="20"/>
    </row>
    <row r="495">
      <c r="A495" s="20"/>
      <c r="D495" s="41"/>
      <c r="E495" s="20"/>
      <c r="F495" s="20"/>
    </row>
    <row r="496">
      <c r="A496" s="20"/>
      <c r="D496" s="41"/>
      <c r="E496" s="20"/>
      <c r="F496" s="20"/>
    </row>
    <row r="497">
      <c r="A497" s="20"/>
      <c r="D497" s="41"/>
      <c r="E497" s="20"/>
      <c r="F497" s="20"/>
    </row>
    <row r="498">
      <c r="A498" s="20"/>
      <c r="D498" s="41"/>
      <c r="E498" s="20"/>
      <c r="F498" s="20"/>
    </row>
    <row r="499">
      <c r="A499" s="20"/>
      <c r="D499" s="41"/>
      <c r="E499" s="20"/>
      <c r="F499" s="20"/>
    </row>
    <row r="500">
      <c r="A500" s="20"/>
      <c r="D500" s="41"/>
      <c r="E500" s="20"/>
      <c r="F500" s="20"/>
    </row>
    <row r="501">
      <c r="A501" s="20"/>
      <c r="D501" s="41"/>
      <c r="E501" s="20"/>
      <c r="F501" s="20"/>
    </row>
    <row r="502">
      <c r="A502" s="20"/>
      <c r="D502" s="41"/>
      <c r="E502" s="20"/>
      <c r="F502" s="20"/>
    </row>
    <row r="503">
      <c r="A503" s="20"/>
      <c r="D503" s="41"/>
      <c r="E503" s="20"/>
      <c r="F503" s="20"/>
    </row>
    <row r="504">
      <c r="A504" s="20"/>
      <c r="D504" s="41"/>
      <c r="E504" s="20"/>
      <c r="F504" s="20"/>
    </row>
    <row r="505">
      <c r="A505" s="20"/>
      <c r="D505" s="41"/>
      <c r="E505" s="20"/>
      <c r="F505" s="20"/>
    </row>
    <row r="506">
      <c r="A506" s="20"/>
      <c r="D506" s="41"/>
      <c r="E506" s="20"/>
      <c r="F506" s="20"/>
    </row>
    <row r="507">
      <c r="A507" s="20"/>
      <c r="D507" s="41"/>
      <c r="E507" s="20"/>
      <c r="F507" s="20"/>
    </row>
    <row r="508">
      <c r="A508" s="20"/>
      <c r="D508" s="41"/>
      <c r="E508" s="20"/>
      <c r="F508" s="20"/>
    </row>
    <row r="509">
      <c r="A509" s="20"/>
      <c r="D509" s="41"/>
      <c r="E509" s="20"/>
      <c r="F509" s="20"/>
    </row>
    <row r="510">
      <c r="A510" s="20"/>
      <c r="D510" s="41"/>
      <c r="E510" s="20"/>
      <c r="F510" s="20"/>
    </row>
    <row r="511">
      <c r="A511" s="20"/>
      <c r="D511" s="41"/>
      <c r="E511" s="20"/>
      <c r="F511" s="20"/>
    </row>
    <row r="512">
      <c r="A512" s="20"/>
      <c r="D512" s="41"/>
      <c r="E512" s="20"/>
      <c r="F512" s="20"/>
    </row>
    <row r="513">
      <c r="A513" s="20"/>
      <c r="D513" s="41"/>
      <c r="E513" s="20"/>
      <c r="F513" s="20"/>
    </row>
    <row r="514">
      <c r="A514" s="20"/>
      <c r="D514" s="41"/>
      <c r="E514" s="20"/>
      <c r="F514" s="20"/>
    </row>
    <row r="515">
      <c r="A515" s="20"/>
      <c r="D515" s="41"/>
      <c r="E515" s="20"/>
      <c r="F515" s="20"/>
    </row>
    <row r="516">
      <c r="A516" s="20"/>
      <c r="D516" s="41"/>
      <c r="E516" s="20"/>
      <c r="F516" s="20"/>
    </row>
    <row r="517">
      <c r="A517" s="20"/>
      <c r="D517" s="41"/>
      <c r="E517" s="20"/>
      <c r="F517" s="20"/>
    </row>
    <row r="518">
      <c r="A518" s="20"/>
      <c r="D518" s="41"/>
      <c r="E518" s="20"/>
      <c r="F518" s="20"/>
    </row>
    <row r="519">
      <c r="A519" s="20"/>
      <c r="D519" s="41"/>
      <c r="E519" s="20"/>
      <c r="F519" s="20"/>
    </row>
    <row r="520">
      <c r="A520" s="20"/>
      <c r="D520" s="41"/>
      <c r="E520" s="20"/>
      <c r="F520" s="20"/>
    </row>
    <row r="521">
      <c r="A521" s="20"/>
      <c r="D521" s="41"/>
      <c r="E521" s="20"/>
      <c r="F521" s="20"/>
    </row>
    <row r="522">
      <c r="A522" s="20"/>
      <c r="D522" s="41"/>
      <c r="E522" s="20"/>
      <c r="F522" s="20"/>
    </row>
    <row r="523">
      <c r="A523" s="20"/>
      <c r="D523" s="41"/>
      <c r="E523" s="20"/>
      <c r="F523" s="20"/>
    </row>
    <row r="524">
      <c r="A524" s="20"/>
      <c r="D524" s="41"/>
      <c r="E524" s="20"/>
      <c r="F524" s="20"/>
    </row>
    <row r="525">
      <c r="A525" s="20"/>
      <c r="D525" s="41"/>
      <c r="E525" s="20"/>
      <c r="F525" s="20"/>
    </row>
    <row r="526">
      <c r="A526" s="20"/>
      <c r="D526" s="41"/>
      <c r="E526" s="20"/>
      <c r="F526" s="20"/>
    </row>
    <row r="527">
      <c r="A527" s="20"/>
      <c r="D527" s="41"/>
      <c r="E527" s="20"/>
      <c r="F527" s="20"/>
    </row>
    <row r="528">
      <c r="A528" s="20"/>
      <c r="D528" s="41"/>
      <c r="E528" s="20"/>
      <c r="F528" s="20"/>
    </row>
    <row r="529">
      <c r="A529" s="20"/>
      <c r="D529" s="41"/>
      <c r="E529" s="20"/>
      <c r="F529" s="20"/>
    </row>
    <row r="530">
      <c r="A530" s="20"/>
      <c r="D530" s="41"/>
      <c r="E530" s="20"/>
      <c r="F530" s="20"/>
    </row>
    <row r="531">
      <c r="A531" s="20"/>
      <c r="D531" s="41"/>
      <c r="E531" s="20"/>
      <c r="F531" s="20"/>
    </row>
    <row r="532">
      <c r="A532" s="20"/>
      <c r="D532" s="41"/>
      <c r="E532" s="20"/>
      <c r="F532" s="20"/>
    </row>
    <row r="533">
      <c r="A533" s="20"/>
      <c r="D533" s="41"/>
      <c r="E533" s="20"/>
      <c r="F533" s="20"/>
    </row>
    <row r="534">
      <c r="A534" s="20"/>
      <c r="D534" s="41"/>
      <c r="E534" s="20"/>
      <c r="F534" s="20"/>
    </row>
    <row r="535">
      <c r="A535" s="20"/>
      <c r="D535" s="41"/>
      <c r="E535" s="20"/>
      <c r="F535" s="20"/>
    </row>
    <row r="536">
      <c r="A536" s="20"/>
      <c r="D536" s="41"/>
      <c r="E536" s="20"/>
      <c r="F536" s="20"/>
    </row>
    <row r="537">
      <c r="A537" s="20"/>
      <c r="D537" s="41"/>
      <c r="E537" s="20"/>
      <c r="F537" s="20"/>
    </row>
    <row r="538">
      <c r="A538" s="20"/>
      <c r="D538" s="41"/>
      <c r="E538" s="20"/>
      <c r="F538" s="20"/>
    </row>
    <row r="539">
      <c r="A539" s="20"/>
      <c r="D539" s="41"/>
      <c r="E539" s="20"/>
      <c r="F539" s="20"/>
    </row>
    <row r="540">
      <c r="A540" s="20"/>
      <c r="D540" s="41"/>
      <c r="E540" s="20"/>
      <c r="F540" s="20"/>
    </row>
    <row r="541">
      <c r="A541" s="20"/>
      <c r="D541" s="41"/>
      <c r="E541" s="20"/>
      <c r="F541" s="20"/>
    </row>
    <row r="542">
      <c r="A542" s="20"/>
      <c r="D542" s="41"/>
      <c r="E542" s="20"/>
      <c r="F542" s="20"/>
    </row>
    <row r="543">
      <c r="A543" s="20"/>
      <c r="D543" s="41"/>
      <c r="E543" s="20"/>
      <c r="F543" s="20"/>
    </row>
    <row r="544">
      <c r="A544" s="20"/>
      <c r="D544" s="41"/>
      <c r="E544" s="20"/>
      <c r="F544" s="20"/>
    </row>
    <row r="545">
      <c r="A545" s="20"/>
      <c r="D545" s="41"/>
      <c r="E545" s="20"/>
      <c r="F545" s="20"/>
    </row>
    <row r="546">
      <c r="A546" s="20"/>
      <c r="D546" s="41"/>
      <c r="E546" s="20"/>
      <c r="F546" s="20"/>
    </row>
    <row r="547">
      <c r="A547" s="20"/>
      <c r="D547" s="41"/>
      <c r="E547" s="20"/>
      <c r="F547" s="20"/>
    </row>
    <row r="548">
      <c r="A548" s="20"/>
      <c r="D548" s="41"/>
      <c r="E548" s="20"/>
      <c r="F548" s="20"/>
    </row>
    <row r="549">
      <c r="A549" s="20"/>
      <c r="D549" s="41"/>
      <c r="E549" s="20"/>
      <c r="F549" s="20"/>
    </row>
    <row r="550">
      <c r="A550" s="20"/>
      <c r="D550" s="41"/>
      <c r="E550" s="20"/>
      <c r="F550" s="20"/>
    </row>
    <row r="551">
      <c r="A551" s="20"/>
      <c r="D551" s="41"/>
      <c r="E551" s="20"/>
      <c r="F551" s="20"/>
    </row>
    <row r="552">
      <c r="A552" s="20"/>
      <c r="D552" s="41"/>
      <c r="E552" s="20"/>
      <c r="F552" s="20"/>
    </row>
    <row r="553">
      <c r="A553" s="20"/>
      <c r="D553" s="41"/>
      <c r="E553" s="20"/>
      <c r="F553" s="20"/>
    </row>
    <row r="554">
      <c r="A554" s="20"/>
      <c r="D554" s="41"/>
      <c r="E554" s="20"/>
      <c r="F554" s="20"/>
    </row>
    <row r="555">
      <c r="A555" s="20"/>
      <c r="D555" s="41"/>
      <c r="E555" s="20"/>
      <c r="F555" s="20"/>
    </row>
    <row r="556">
      <c r="A556" s="20"/>
      <c r="D556" s="41"/>
      <c r="E556" s="20"/>
      <c r="F556" s="20"/>
    </row>
    <row r="557">
      <c r="A557" s="20"/>
      <c r="D557" s="41"/>
      <c r="E557" s="20"/>
      <c r="F557" s="20"/>
    </row>
    <row r="558">
      <c r="A558" s="20"/>
      <c r="D558" s="41"/>
      <c r="E558" s="20"/>
      <c r="F558" s="20"/>
    </row>
    <row r="559">
      <c r="A559" s="20"/>
      <c r="D559" s="41"/>
      <c r="E559" s="20"/>
      <c r="F559" s="20"/>
    </row>
    <row r="560">
      <c r="A560" s="20"/>
      <c r="D560" s="41"/>
      <c r="E560" s="20"/>
      <c r="F560" s="20"/>
    </row>
    <row r="561">
      <c r="A561" s="20"/>
      <c r="D561" s="41"/>
      <c r="E561" s="20"/>
      <c r="F561" s="20"/>
    </row>
    <row r="562">
      <c r="A562" s="20"/>
      <c r="D562" s="41"/>
      <c r="E562" s="20"/>
      <c r="F562" s="20"/>
    </row>
    <row r="563">
      <c r="A563" s="20"/>
      <c r="D563" s="41"/>
      <c r="E563" s="20"/>
      <c r="F563" s="20"/>
    </row>
    <row r="564">
      <c r="A564" s="20"/>
      <c r="D564" s="41"/>
      <c r="E564" s="20"/>
      <c r="F564" s="20"/>
    </row>
    <row r="565">
      <c r="A565" s="20"/>
      <c r="D565" s="41"/>
      <c r="E565" s="20"/>
      <c r="F565" s="20"/>
    </row>
    <row r="566">
      <c r="A566" s="20"/>
      <c r="D566" s="41"/>
      <c r="E566" s="20"/>
      <c r="F566" s="20"/>
    </row>
    <row r="567">
      <c r="A567" s="20"/>
      <c r="D567" s="41"/>
      <c r="E567" s="20"/>
      <c r="F567" s="20"/>
    </row>
    <row r="568">
      <c r="A568" s="20"/>
      <c r="D568" s="41"/>
      <c r="E568" s="20"/>
      <c r="F568" s="20"/>
    </row>
    <row r="569">
      <c r="A569" s="20"/>
      <c r="D569" s="41"/>
      <c r="E569" s="20"/>
      <c r="F569" s="20"/>
    </row>
    <row r="570">
      <c r="A570" s="20"/>
      <c r="D570" s="41"/>
      <c r="E570" s="20"/>
      <c r="F570" s="20"/>
    </row>
    <row r="571">
      <c r="A571" s="20"/>
      <c r="D571" s="41"/>
      <c r="E571" s="20"/>
      <c r="F571" s="20"/>
    </row>
    <row r="572">
      <c r="A572" s="20"/>
      <c r="D572" s="41"/>
      <c r="E572" s="20"/>
      <c r="F572" s="20"/>
    </row>
    <row r="573">
      <c r="A573" s="20"/>
      <c r="D573" s="41"/>
      <c r="E573" s="20"/>
      <c r="F573" s="20"/>
    </row>
    <row r="574">
      <c r="A574" s="20"/>
      <c r="D574" s="41"/>
      <c r="E574" s="20"/>
      <c r="F574" s="20"/>
    </row>
    <row r="575">
      <c r="A575" s="20"/>
      <c r="D575" s="41"/>
      <c r="E575" s="20"/>
      <c r="F575" s="20"/>
    </row>
    <row r="576">
      <c r="A576" s="20"/>
      <c r="D576" s="41"/>
      <c r="E576" s="20"/>
      <c r="F576" s="20"/>
    </row>
    <row r="577">
      <c r="A577" s="20"/>
      <c r="D577" s="41"/>
      <c r="E577" s="20"/>
      <c r="F577" s="20"/>
    </row>
    <row r="578">
      <c r="A578" s="20"/>
      <c r="D578" s="41"/>
      <c r="E578" s="20"/>
      <c r="F578" s="20"/>
    </row>
    <row r="579">
      <c r="A579" s="20"/>
      <c r="D579" s="41"/>
      <c r="E579" s="20"/>
      <c r="F579" s="20"/>
    </row>
    <row r="580">
      <c r="A580" s="20"/>
      <c r="D580" s="41"/>
      <c r="E580" s="20"/>
      <c r="F580" s="20"/>
    </row>
    <row r="581">
      <c r="A581" s="20"/>
      <c r="D581" s="41"/>
      <c r="E581" s="20"/>
      <c r="F581" s="20"/>
    </row>
    <row r="582">
      <c r="A582" s="20"/>
      <c r="D582" s="41"/>
      <c r="E582" s="20"/>
      <c r="F582" s="20"/>
    </row>
    <row r="583">
      <c r="A583" s="20"/>
      <c r="D583" s="41"/>
      <c r="E583" s="20"/>
      <c r="F583" s="20"/>
    </row>
    <row r="584">
      <c r="A584" s="20"/>
      <c r="D584" s="41"/>
      <c r="E584" s="20"/>
      <c r="F584" s="20"/>
    </row>
    <row r="585">
      <c r="A585" s="20"/>
      <c r="D585" s="41"/>
      <c r="E585" s="20"/>
      <c r="F585" s="20"/>
    </row>
    <row r="586">
      <c r="A586" s="20"/>
      <c r="D586" s="41"/>
      <c r="E586" s="20"/>
      <c r="F586" s="20"/>
    </row>
    <row r="587">
      <c r="A587" s="20"/>
      <c r="D587" s="41"/>
      <c r="E587" s="20"/>
      <c r="F587" s="20"/>
    </row>
    <row r="588">
      <c r="A588" s="20"/>
      <c r="D588" s="41"/>
      <c r="E588" s="20"/>
      <c r="F588" s="20"/>
    </row>
    <row r="589">
      <c r="A589" s="20"/>
      <c r="D589" s="41"/>
      <c r="E589" s="20"/>
      <c r="F589" s="20"/>
    </row>
    <row r="590">
      <c r="A590" s="20"/>
      <c r="D590" s="41"/>
      <c r="E590" s="20"/>
      <c r="F590" s="20"/>
    </row>
    <row r="591">
      <c r="A591" s="20"/>
      <c r="D591" s="41"/>
      <c r="E591" s="20"/>
      <c r="F591" s="20"/>
    </row>
    <row r="592">
      <c r="A592" s="20"/>
      <c r="D592" s="41"/>
      <c r="E592" s="20"/>
      <c r="F592" s="20"/>
    </row>
    <row r="593">
      <c r="A593" s="20"/>
      <c r="D593" s="41"/>
      <c r="E593" s="20"/>
      <c r="F593" s="20"/>
    </row>
    <row r="594">
      <c r="A594" s="20"/>
      <c r="D594" s="41"/>
      <c r="E594" s="20"/>
      <c r="F594" s="20"/>
    </row>
    <row r="595">
      <c r="A595" s="20"/>
      <c r="D595" s="41"/>
      <c r="E595" s="20"/>
      <c r="F595" s="20"/>
    </row>
    <row r="596">
      <c r="A596" s="20"/>
      <c r="D596" s="41"/>
      <c r="E596" s="20"/>
      <c r="F596" s="20"/>
    </row>
    <row r="597">
      <c r="A597" s="20"/>
      <c r="D597" s="41"/>
      <c r="E597" s="20"/>
      <c r="F597" s="20"/>
    </row>
    <row r="598">
      <c r="A598" s="20"/>
      <c r="D598" s="41"/>
      <c r="E598" s="20"/>
      <c r="F598" s="20"/>
    </row>
    <row r="599">
      <c r="A599" s="20"/>
      <c r="D599" s="41"/>
      <c r="E599" s="20"/>
      <c r="F599" s="20"/>
    </row>
    <row r="600">
      <c r="A600" s="20"/>
      <c r="D600" s="41"/>
      <c r="E600" s="20"/>
      <c r="F600" s="20"/>
    </row>
    <row r="601">
      <c r="A601" s="20"/>
      <c r="D601" s="41"/>
      <c r="E601" s="20"/>
      <c r="F601" s="20"/>
    </row>
    <row r="602">
      <c r="A602" s="20"/>
      <c r="D602" s="41"/>
      <c r="E602" s="20"/>
      <c r="F602" s="20"/>
    </row>
    <row r="603">
      <c r="A603" s="20"/>
      <c r="D603" s="41"/>
      <c r="E603" s="20"/>
      <c r="F603" s="20"/>
    </row>
    <row r="604">
      <c r="A604" s="20"/>
      <c r="D604" s="41"/>
      <c r="E604" s="20"/>
      <c r="F604" s="20"/>
    </row>
    <row r="605">
      <c r="A605" s="20"/>
      <c r="D605" s="41"/>
      <c r="E605" s="20"/>
      <c r="F605" s="20"/>
    </row>
    <row r="606">
      <c r="A606" s="20"/>
      <c r="D606" s="41"/>
      <c r="E606" s="20"/>
      <c r="F606" s="20"/>
    </row>
    <row r="607">
      <c r="A607" s="20"/>
      <c r="D607" s="41"/>
      <c r="E607" s="20"/>
      <c r="F607" s="20"/>
    </row>
    <row r="608">
      <c r="A608" s="20"/>
      <c r="D608" s="41"/>
      <c r="E608" s="20"/>
      <c r="F608" s="20"/>
    </row>
    <row r="609">
      <c r="A609" s="20"/>
      <c r="D609" s="41"/>
      <c r="E609" s="20"/>
      <c r="F609" s="20"/>
    </row>
    <row r="610">
      <c r="A610" s="20"/>
      <c r="D610" s="41"/>
      <c r="E610" s="20"/>
      <c r="F610" s="20"/>
    </row>
    <row r="611">
      <c r="A611" s="20"/>
      <c r="D611" s="41"/>
      <c r="E611" s="20"/>
      <c r="F611" s="20"/>
    </row>
    <row r="612">
      <c r="A612" s="20"/>
      <c r="D612" s="41"/>
      <c r="E612" s="20"/>
      <c r="F612" s="20"/>
    </row>
    <row r="613">
      <c r="A613" s="20"/>
      <c r="D613" s="41"/>
      <c r="E613" s="20"/>
      <c r="F613" s="20"/>
    </row>
    <row r="614">
      <c r="A614" s="20"/>
      <c r="D614" s="41"/>
      <c r="E614" s="20"/>
      <c r="F614" s="20"/>
    </row>
    <row r="615">
      <c r="A615" s="20"/>
      <c r="D615" s="41"/>
      <c r="E615" s="20"/>
      <c r="F615" s="20"/>
    </row>
    <row r="616">
      <c r="A616" s="20"/>
      <c r="D616" s="41"/>
      <c r="E616" s="20"/>
      <c r="F616" s="20"/>
    </row>
    <row r="617">
      <c r="A617" s="20"/>
      <c r="D617" s="41"/>
      <c r="E617" s="20"/>
      <c r="F617" s="20"/>
    </row>
    <row r="618">
      <c r="A618" s="20"/>
      <c r="D618" s="41"/>
      <c r="E618" s="20"/>
      <c r="F618" s="20"/>
    </row>
    <row r="619">
      <c r="A619" s="20"/>
      <c r="D619" s="41"/>
      <c r="E619" s="20"/>
      <c r="F619" s="20"/>
    </row>
    <row r="620">
      <c r="A620" s="20"/>
      <c r="D620" s="41"/>
      <c r="E620" s="20"/>
      <c r="F620" s="20"/>
    </row>
    <row r="621">
      <c r="A621" s="20"/>
      <c r="D621" s="41"/>
      <c r="E621" s="20"/>
      <c r="F621" s="20"/>
    </row>
    <row r="622">
      <c r="A622" s="20"/>
      <c r="D622" s="41"/>
      <c r="E622" s="20"/>
      <c r="F622" s="20"/>
    </row>
    <row r="623">
      <c r="A623" s="20"/>
      <c r="D623" s="41"/>
      <c r="E623" s="20"/>
      <c r="F623" s="20"/>
    </row>
    <row r="624">
      <c r="A624" s="20"/>
      <c r="D624" s="41"/>
      <c r="E624" s="20"/>
      <c r="F624" s="20"/>
    </row>
    <row r="625">
      <c r="A625" s="20"/>
      <c r="D625" s="41"/>
      <c r="E625" s="20"/>
      <c r="F625" s="20"/>
    </row>
    <row r="626">
      <c r="A626" s="20"/>
      <c r="D626" s="41"/>
      <c r="E626" s="20"/>
      <c r="F626" s="20"/>
    </row>
    <row r="627">
      <c r="A627" s="20"/>
      <c r="D627" s="41"/>
      <c r="E627" s="20"/>
      <c r="F627" s="20"/>
    </row>
    <row r="628">
      <c r="A628" s="20"/>
      <c r="D628" s="41"/>
      <c r="E628" s="20"/>
      <c r="F628" s="20"/>
    </row>
    <row r="629">
      <c r="A629" s="20"/>
      <c r="D629" s="41"/>
      <c r="E629" s="20"/>
      <c r="F629" s="20"/>
    </row>
    <row r="630">
      <c r="A630" s="20"/>
      <c r="D630" s="41"/>
      <c r="E630" s="20"/>
      <c r="F630" s="20"/>
    </row>
    <row r="631">
      <c r="A631" s="20"/>
      <c r="D631" s="41"/>
      <c r="E631" s="20"/>
      <c r="F631" s="20"/>
    </row>
    <row r="632">
      <c r="A632" s="20"/>
      <c r="D632" s="41"/>
      <c r="E632" s="20"/>
      <c r="F632" s="20"/>
    </row>
    <row r="633">
      <c r="A633" s="20"/>
      <c r="D633" s="41"/>
      <c r="E633" s="20"/>
      <c r="F633" s="20"/>
    </row>
    <row r="634">
      <c r="A634" s="20"/>
      <c r="D634" s="41"/>
      <c r="E634" s="20"/>
      <c r="F634" s="20"/>
    </row>
    <row r="635">
      <c r="A635" s="20"/>
      <c r="D635" s="41"/>
      <c r="E635" s="20"/>
      <c r="F635" s="20"/>
    </row>
    <row r="636">
      <c r="A636" s="20"/>
      <c r="D636" s="41"/>
      <c r="E636" s="20"/>
      <c r="F636" s="20"/>
    </row>
    <row r="637">
      <c r="A637" s="20"/>
      <c r="D637" s="41"/>
      <c r="E637" s="20"/>
      <c r="F637" s="20"/>
    </row>
    <row r="638">
      <c r="A638" s="20"/>
      <c r="D638" s="41"/>
      <c r="E638" s="20"/>
      <c r="F638" s="20"/>
    </row>
    <row r="639">
      <c r="A639" s="20"/>
      <c r="D639" s="41"/>
      <c r="E639" s="20"/>
      <c r="F639" s="20"/>
    </row>
    <row r="640">
      <c r="A640" s="20"/>
      <c r="D640" s="41"/>
      <c r="E640" s="20"/>
      <c r="F640" s="20"/>
    </row>
    <row r="641">
      <c r="A641" s="20"/>
      <c r="D641" s="41"/>
      <c r="E641" s="20"/>
      <c r="F641" s="20"/>
    </row>
    <row r="642">
      <c r="A642" s="20"/>
      <c r="D642" s="41"/>
      <c r="E642" s="20"/>
      <c r="F642" s="20"/>
    </row>
    <row r="643">
      <c r="A643" s="20"/>
      <c r="D643" s="41"/>
      <c r="E643" s="20"/>
      <c r="F643" s="20"/>
    </row>
    <row r="644">
      <c r="A644" s="20"/>
      <c r="D644" s="41"/>
      <c r="E644" s="20"/>
      <c r="F644" s="20"/>
    </row>
    <row r="645">
      <c r="A645" s="20"/>
      <c r="D645" s="41"/>
      <c r="E645" s="20"/>
      <c r="F645" s="20"/>
    </row>
    <row r="646">
      <c r="A646" s="20"/>
      <c r="D646" s="41"/>
      <c r="E646" s="20"/>
      <c r="F646" s="20"/>
    </row>
    <row r="647">
      <c r="A647" s="20"/>
      <c r="D647" s="41"/>
      <c r="E647" s="20"/>
      <c r="F647" s="20"/>
    </row>
    <row r="648">
      <c r="A648" s="20"/>
      <c r="D648" s="41"/>
      <c r="E648" s="20"/>
      <c r="F648" s="20"/>
    </row>
    <row r="649">
      <c r="A649" s="20"/>
      <c r="D649" s="41"/>
      <c r="E649" s="20"/>
      <c r="F649" s="20"/>
    </row>
    <row r="650">
      <c r="A650" s="20"/>
      <c r="D650" s="41"/>
      <c r="E650" s="20"/>
      <c r="F650" s="20"/>
    </row>
    <row r="651">
      <c r="A651" s="20"/>
      <c r="D651" s="41"/>
      <c r="E651" s="20"/>
      <c r="F651" s="20"/>
    </row>
    <row r="652">
      <c r="A652" s="20"/>
      <c r="D652" s="41"/>
      <c r="E652" s="20"/>
      <c r="F652" s="20"/>
    </row>
    <row r="653">
      <c r="A653" s="20"/>
      <c r="D653" s="41"/>
      <c r="E653" s="20"/>
      <c r="F653" s="20"/>
    </row>
    <row r="654">
      <c r="A654" s="20"/>
      <c r="D654" s="41"/>
      <c r="E654" s="20"/>
      <c r="F654" s="20"/>
    </row>
    <row r="655">
      <c r="A655" s="20"/>
      <c r="D655" s="41"/>
      <c r="E655" s="20"/>
      <c r="F655" s="20"/>
    </row>
    <row r="656">
      <c r="A656" s="20"/>
      <c r="D656" s="41"/>
      <c r="E656" s="20"/>
      <c r="F656" s="20"/>
    </row>
    <row r="657">
      <c r="A657" s="20"/>
      <c r="D657" s="41"/>
      <c r="E657" s="20"/>
      <c r="F657" s="20"/>
    </row>
    <row r="658">
      <c r="A658" s="20"/>
      <c r="D658" s="41"/>
      <c r="E658" s="20"/>
      <c r="F658" s="20"/>
    </row>
    <row r="659">
      <c r="A659" s="20"/>
      <c r="D659" s="41"/>
      <c r="E659" s="20"/>
      <c r="F659" s="20"/>
    </row>
    <row r="660">
      <c r="A660" s="20"/>
      <c r="D660" s="41"/>
      <c r="E660" s="20"/>
      <c r="F660" s="20"/>
    </row>
    <row r="661">
      <c r="A661" s="20"/>
      <c r="D661" s="41"/>
      <c r="E661" s="20"/>
      <c r="F661" s="20"/>
    </row>
    <row r="662">
      <c r="A662" s="20"/>
      <c r="D662" s="41"/>
      <c r="E662" s="20"/>
      <c r="F662" s="20"/>
    </row>
    <row r="663">
      <c r="A663" s="20"/>
      <c r="D663" s="41"/>
      <c r="E663" s="20"/>
      <c r="F663" s="20"/>
    </row>
    <row r="664">
      <c r="A664" s="20"/>
      <c r="D664" s="41"/>
      <c r="E664" s="20"/>
      <c r="F664" s="20"/>
    </row>
    <row r="665">
      <c r="A665" s="20"/>
      <c r="D665" s="41"/>
      <c r="E665" s="20"/>
      <c r="F665" s="20"/>
    </row>
    <row r="666">
      <c r="A666" s="20"/>
      <c r="D666" s="41"/>
      <c r="E666" s="20"/>
      <c r="F666" s="20"/>
    </row>
    <row r="667">
      <c r="A667" s="20"/>
      <c r="D667" s="41"/>
      <c r="E667" s="20"/>
      <c r="F667" s="20"/>
    </row>
    <row r="668">
      <c r="A668" s="20"/>
      <c r="D668" s="41"/>
      <c r="E668" s="20"/>
      <c r="F668" s="20"/>
    </row>
    <row r="669">
      <c r="A669" s="20"/>
      <c r="D669" s="41"/>
      <c r="E669" s="20"/>
      <c r="F669" s="20"/>
    </row>
    <row r="670">
      <c r="A670" s="20"/>
      <c r="D670" s="41"/>
      <c r="E670" s="20"/>
      <c r="F670" s="20"/>
    </row>
    <row r="671">
      <c r="A671" s="20"/>
      <c r="D671" s="41"/>
      <c r="E671" s="20"/>
      <c r="F671" s="20"/>
    </row>
    <row r="672">
      <c r="A672" s="20"/>
      <c r="D672" s="41"/>
      <c r="E672" s="20"/>
      <c r="F672" s="20"/>
    </row>
    <row r="673">
      <c r="A673" s="20"/>
      <c r="D673" s="41"/>
      <c r="E673" s="20"/>
      <c r="F673" s="20"/>
    </row>
    <row r="674">
      <c r="A674" s="20"/>
      <c r="D674" s="41"/>
      <c r="E674" s="20"/>
      <c r="F674" s="20"/>
    </row>
    <row r="675">
      <c r="A675" s="20"/>
      <c r="D675" s="41"/>
      <c r="E675" s="20"/>
      <c r="F675" s="20"/>
    </row>
    <row r="676">
      <c r="A676" s="20"/>
      <c r="D676" s="41"/>
      <c r="E676" s="20"/>
      <c r="F676" s="20"/>
    </row>
    <row r="677">
      <c r="A677" s="20"/>
      <c r="D677" s="41"/>
      <c r="E677" s="20"/>
      <c r="F677" s="20"/>
    </row>
    <row r="678">
      <c r="A678" s="20"/>
      <c r="D678" s="41"/>
      <c r="E678" s="20"/>
      <c r="F678" s="20"/>
    </row>
    <row r="679">
      <c r="A679" s="20"/>
      <c r="D679" s="41"/>
      <c r="E679" s="20"/>
      <c r="F679" s="20"/>
    </row>
    <row r="680">
      <c r="A680" s="20"/>
      <c r="D680" s="41"/>
      <c r="E680" s="20"/>
      <c r="F680" s="20"/>
    </row>
    <row r="681">
      <c r="A681" s="20"/>
      <c r="D681" s="41"/>
      <c r="E681" s="20"/>
      <c r="F681" s="20"/>
    </row>
    <row r="682">
      <c r="A682" s="20"/>
      <c r="D682" s="41"/>
      <c r="E682" s="20"/>
      <c r="F682" s="20"/>
    </row>
    <row r="683">
      <c r="A683" s="20"/>
      <c r="D683" s="41"/>
      <c r="E683" s="20"/>
      <c r="F683" s="20"/>
    </row>
    <row r="684">
      <c r="A684" s="20"/>
      <c r="D684" s="41"/>
      <c r="E684" s="20"/>
      <c r="F684" s="20"/>
    </row>
    <row r="685">
      <c r="A685" s="20"/>
      <c r="D685" s="41"/>
      <c r="E685" s="20"/>
      <c r="F685" s="20"/>
    </row>
    <row r="686">
      <c r="A686" s="20"/>
      <c r="D686" s="41"/>
      <c r="E686" s="20"/>
      <c r="F686" s="20"/>
    </row>
    <row r="687">
      <c r="A687" s="20"/>
      <c r="D687" s="41"/>
      <c r="E687" s="20"/>
      <c r="F687" s="20"/>
    </row>
    <row r="688">
      <c r="A688" s="20"/>
      <c r="D688" s="41"/>
      <c r="E688" s="20"/>
      <c r="F688" s="20"/>
    </row>
    <row r="689">
      <c r="A689" s="20"/>
      <c r="D689" s="41"/>
      <c r="E689" s="20"/>
      <c r="F689" s="20"/>
    </row>
    <row r="690">
      <c r="A690" s="20"/>
      <c r="D690" s="41"/>
      <c r="E690" s="20"/>
      <c r="F690" s="20"/>
    </row>
    <row r="691">
      <c r="A691" s="20"/>
      <c r="D691" s="41"/>
      <c r="E691" s="20"/>
      <c r="F691" s="20"/>
    </row>
    <row r="692">
      <c r="A692" s="20"/>
      <c r="D692" s="41"/>
      <c r="E692" s="20"/>
      <c r="F692" s="20"/>
    </row>
    <row r="693">
      <c r="A693" s="20"/>
      <c r="D693" s="41"/>
      <c r="E693" s="20"/>
      <c r="F693" s="20"/>
    </row>
    <row r="694">
      <c r="A694" s="20"/>
      <c r="D694" s="41"/>
      <c r="E694" s="20"/>
      <c r="F694" s="20"/>
    </row>
    <row r="695">
      <c r="A695" s="20"/>
      <c r="D695" s="41"/>
      <c r="E695" s="20"/>
      <c r="F695" s="20"/>
    </row>
    <row r="696">
      <c r="A696" s="20"/>
      <c r="D696" s="41"/>
      <c r="E696" s="20"/>
      <c r="F696" s="20"/>
    </row>
    <row r="697">
      <c r="A697" s="20"/>
      <c r="D697" s="41"/>
      <c r="E697" s="20"/>
      <c r="F697" s="20"/>
    </row>
    <row r="698">
      <c r="A698" s="20"/>
      <c r="D698" s="41"/>
      <c r="E698" s="20"/>
      <c r="F698" s="20"/>
    </row>
    <row r="699">
      <c r="A699" s="20"/>
      <c r="D699" s="41"/>
      <c r="E699" s="20"/>
      <c r="F699" s="20"/>
    </row>
    <row r="700">
      <c r="A700" s="20"/>
      <c r="D700" s="41"/>
      <c r="E700" s="20"/>
      <c r="F700" s="20"/>
    </row>
    <row r="701">
      <c r="A701" s="20"/>
      <c r="D701" s="41"/>
      <c r="E701" s="20"/>
      <c r="F701" s="20"/>
    </row>
    <row r="702">
      <c r="A702" s="20"/>
      <c r="D702" s="41"/>
      <c r="E702" s="20"/>
      <c r="F702" s="20"/>
    </row>
    <row r="703">
      <c r="A703" s="20"/>
      <c r="D703" s="41"/>
      <c r="E703" s="20"/>
      <c r="F703" s="20"/>
    </row>
    <row r="704">
      <c r="A704" s="20"/>
      <c r="D704" s="41"/>
      <c r="E704" s="20"/>
      <c r="F704" s="20"/>
    </row>
    <row r="705">
      <c r="A705" s="20"/>
      <c r="D705" s="41"/>
      <c r="E705" s="20"/>
      <c r="F705" s="20"/>
    </row>
    <row r="706">
      <c r="A706" s="20"/>
      <c r="D706" s="41"/>
      <c r="E706" s="20"/>
      <c r="F706" s="20"/>
    </row>
    <row r="707">
      <c r="A707" s="20"/>
      <c r="D707" s="41"/>
      <c r="E707" s="20"/>
      <c r="F707" s="20"/>
    </row>
    <row r="708">
      <c r="A708" s="20"/>
      <c r="D708" s="41"/>
      <c r="E708" s="20"/>
      <c r="F708" s="20"/>
    </row>
    <row r="709">
      <c r="A709" s="20"/>
      <c r="D709" s="41"/>
      <c r="E709" s="20"/>
      <c r="F709" s="20"/>
    </row>
    <row r="710">
      <c r="A710" s="20"/>
      <c r="D710" s="41"/>
      <c r="E710" s="20"/>
      <c r="F710" s="20"/>
    </row>
    <row r="711">
      <c r="A711" s="20"/>
      <c r="D711" s="41"/>
      <c r="E711" s="20"/>
      <c r="F711" s="20"/>
    </row>
    <row r="712">
      <c r="A712" s="20"/>
      <c r="D712" s="41"/>
      <c r="E712" s="20"/>
      <c r="F712" s="20"/>
    </row>
    <row r="713">
      <c r="A713" s="20"/>
      <c r="D713" s="41"/>
      <c r="E713" s="20"/>
      <c r="F713" s="20"/>
    </row>
    <row r="714">
      <c r="A714" s="20"/>
      <c r="D714" s="41"/>
      <c r="E714" s="20"/>
      <c r="F714" s="20"/>
    </row>
    <row r="715">
      <c r="A715" s="20"/>
      <c r="D715" s="41"/>
      <c r="E715" s="20"/>
      <c r="F715" s="20"/>
    </row>
    <row r="716">
      <c r="A716" s="20"/>
      <c r="D716" s="41"/>
      <c r="E716" s="20"/>
      <c r="F716" s="20"/>
    </row>
    <row r="717">
      <c r="A717" s="20"/>
      <c r="D717" s="41"/>
      <c r="E717" s="20"/>
      <c r="F717" s="20"/>
    </row>
    <row r="718">
      <c r="A718" s="20"/>
      <c r="D718" s="41"/>
      <c r="E718" s="20"/>
      <c r="F718" s="20"/>
    </row>
    <row r="719">
      <c r="A719" s="20"/>
      <c r="D719" s="41"/>
      <c r="E719" s="20"/>
      <c r="F719" s="20"/>
    </row>
    <row r="720">
      <c r="A720" s="20"/>
      <c r="D720" s="41"/>
      <c r="E720" s="20"/>
      <c r="F720" s="20"/>
    </row>
    <row r="721">
      <c r="A721" s="20"/>
      <c r="D721" s="41"/>
      <c r="E721" s="20"/>
      <c r="F721" s="20"/>
    </row>
    <row r="722">
      <c r="A722" s="20"/>
      <c r="D722" s="41"/>
      <c r="E722" s="20"/>
      <c r="F722" s="20"/>
    </row>
    <row r="723">
      <c r="A723" s="20"/>
      <c r="D723" s="41"/>
      <c r="E723" s="20"/>
      <c r="F723" s="20"/>
    </row>
    <row r="724">
      <c r="A724" s="20"/>
      <c r="D724" s="41"/>
      <c r="E724" s="20"/>
      <c r="F724" s="20"/>
    </row>
    <row r="725">
      <c r="A725" s="20"/>
      <c r="D725" s="41"/>
      <c r="E725" s="20"/>
      <c r="F725" s="20"/>
    </row>
    <row r="726">
      <c r="A726" s="20"/>
      <c r="D726" s="41"/>
      <c r="E726" s="20"/>
      <c r="F726" s="20"/>
    </row>
    <row r="727">
      <c r="A727" s="20"/>
      <c r="D727" s="41"/>
      <c r="E727" s="20"/>
      <c r="F727" s="20"/>
    </row>
    <row r="728">
      <c r="A728" s="20"/>
      <c r="D728" s="41"/>
      <c r="E728" s="20"/>
      <c r="F728" s="20"/>
    </row>
    <row r="729">
      <c r="A729" s="20"/>
      <c r="D729" s="41"/>
      <c r="E729" s="20"/>
      <c r="F729" s="20"/>
    </row>
    <row r="730">
      <c r="A730" s="20"/>
      <c r="D730" s="41"/>
      <c r="E730" s="20"/>
      <c r="F730" s="20"/>
    </row>
    <row r="731">
      <c r="A731" s="20"/>
      <c r="D731" s="41"/>
      <c r="E731" s="20"/>
      <c r="F731" s="20"/>
    </row>
    <row r="732">
      <c r="A732" s="20"/>
      <c r="D732" s="41"/>
      <c r="E732" s="20"/>
      <c r="F732" s="20"/>
    </row>
    <row r="733">
      <c r="A733" s="20"/>
      <c r="D733" s="41"/>
      <c r="E733" s="20"/>
      <c r="F733" s="20"/>
    </row>
    <row r="734">
      <c r="A734" s="20"/>
      <c r="D734" s="41"/>
      <c r="E734" s="20"/>
      <c r="F734" s="20"/>
    </row>
    <row r="735">
      <c r="A735" s="20"/>
      <c r="D735" s="41"/>
      <c r="E735" s="20"/>
      <c r="F735" s="20"/>
    </row>
    <row r="736">
      <c r="A736" s="20"/>
      <c r="D736" s="41"/>
      <c r="E736" s="20"/>
      <c r="F736" s="20"/>
    </row>
    <row r="737">
      <c r="A737" s="20"/>
      <c r="D737" s="41"/>
      <c r="E737" s="20"/>
      <c r="F737" s="20"/>
    </row>
    <row r="738">
      <c r="A738" s="20"/>
      <c r="D738" s="41"/>
      <c r="E738" s="20"/>
      <c r="F738" s="20"/>
    </row>
    <row r="739">
      <c r="A739" s="20"/>
      <c r="D739" s="41"/>
      <c r="E739" s="20"/>
      <c r="F739" s="20"/>
    </row>
    <row r="740">
      <c r="A740" s="20"/>
      <c r="D740" s="41"/>
      <c r="E740" s="20"/>
      <c r="F740" s="20"/>
    </row>
    <row r="741">
      <c r="A741" s="20"/>
      <c r="D741" s="41"/>
      <c r="E741" s="20"/>
      <c r="F741" s="20"/>
    </row>
    <row r="742">
      <c r="A742" s="20"/>
      <c r="D742" s="41"/>
      <c r="E742" s="20"/>
      <c r="F742" s="20"/>
    </row>
    <row r="743">
      <c r="A743" s="20"/>
      <c r="D743" s="41"/>
      <c r="E743" s="20"/>
      <c r="F743" s="20"/>
    </row>
    <row r="744">
      <c r="A744" s="20"/>
      <c r="D744" s="41"/>
      <c r="E744" s="20"/>
      <c r="F744" s="20"/>
    </row>
    <row r="745">
      <c r="A745" s="20"/>
      <c r="D745" s="41"/>
      <c r="E745" s="20"/>
      <c r="F745" s="20"/>
    </row>
    <row r="746">
      <c r="A746" s="20"/>
      <c r="D746" s="41"/>
      <c r="E746" s="20"/>
      <c r="F746" s="20"/>
    </row>
    <row r="747">
      <c r="A747" s="20"/>
      <c r="D747" s="41"/>
      <c r="E747" s="20"/>
      <c r="F747" s="20"/>
    </row>
    <row r="748">
      <c r="A748" s="20"/>
      <c r="D748" s="41"/>
      <c r="E748" s="20"/>
      <c r="F748" s="20"/>
    </row>
    <row r="749">
      <c r="A749" s="20"/>
      <c r="D749" s="41"/>
      <c r="E749" s="20"/>
      <c r="F749" s="20"/>
    </row>
    <row r="750">
      <c r="A750" s="20"/>
      <c r="D750" s="41"/>
      <c r="E750" s="20"/>
      <c r="F750" s="20"/>
    </row>
    <row r="751">
      <c r="A751" s="20"/>
      <c r="D751" s="41"/>
      <c r="E751" s="20"/>
      <c r="F751" s="20"/>
    </row>
    <row r="752">
      <c r="A752" s="20"/>
      <c r="D752" s="41"/>
      <c r="E752" s="20"/>
      <c r="F752" s="20"/>
    </row>
    <row r="753">
      <c r="A753" s="20"/>
      <c r="D753" s="41"/>
      <c r="E753" s="20"/>
      <c r="F753" s="20"/>
    </row>
    <row r="754">
      <c r="A754" s="20"/>
      <c r="D754" s="41"/>
      <c r="E754" s="20"/>
      <c r="F754" s="20"/>
    </row>
    <row r="755">
      <c r="A755" s="20"/>
      <c r="D755" s="41"/>
      <c r="E755" s="20"/>
      <c r="F755" s="20"/>
    </row>
    <row r="756">
      <c r="A756" s="20"/>
      <c r="D756" s="41"/>
      <c r="E756" s="20"/>
      <c r="F756" s="20"/>
    </row>
    <row r="757">
      <c r="A757" s="20"/>
      <c r="D757" s="41"/>
      <c r="E757" s="20"/>
      <c r="F757" s="20"/>
    </row>
    <row r="758">
      <c r="A758" s="20"/>
      <c r="D758" s="41"/>
      <c r="E758" s="20"/>
      <c r="F758" s="20"/>
    </row>
    <row r="759">
      <c r="A759" s="20"/>
      <c r="D759" s="41"/>
      <c r="E759" s="20"/>
      <c r="F759" s="20"/>
    </row>
    <row r="760">
      <c r="A760" s="20"/>
      <c r="D760" s="41"/>
      <c r="E760" s="20"/>
      <c r="F760" s="20"/>
    </row>
    <row r="761">
      <c r="A761" s="20"/>
      <c r="D761" s="41"/>
      <c r="E761" s="20"/>
      <c r="F761" s="20"/>
    </row>
    <row r="762">
      <c r="A762" s="20"/>
      <c r="D762" s="41"/>
      <c r="E762" s="20"/>
      <c r="F762" s="20"/>
    </row>
    <row r="763">
      <c r="A763" s="20"/>
      <c r="D763" s="41"/>
      <c r="E763" s="20"/>
      <c r="F763" s="20"/>
    </row>
    <row r="764">
      <c r="A764" s="20"/>
      <c r="D764" s="41"/>
      <c r="E764" s="20"/>
      <c r="F764" s="20"/>
    </row>
    <row r="765">
      <c r="A765" s="20"/>
      <c r="D765" s="41"/>
      <c r="E765" s="20"/>
      <c r="F765" s="20"/>
    </row>
    <row r="766">
      <c r="A766" s="20"/>
      <c r="D766" s="41"/>
      <c r="E766" s="20"/>
      <c r="F766" s="20"/>
    </row>
    <row r="767">
      <c r="A767" s="20"/>
      <c r="D767" s="41"/>
      <c r="E767" s="20"/>
      <c r="F767" s="20"/>
    </row>
    <row r="768">
      <c r="A768" s="20"/>
      <c r="D768" s="41"/>
      <c r="E768" s="20"/>
      <c r="F768" s="20"/>
    </row>
    <row r="769">
      <c r="A769" s="20"/>
      <c r="D769" s="41"/>
      <c r="E769" s="20"/>
      <c r="F769" s="20"/>
    </row>
    <row r="770">
      <c r="A770" s="20"/>
      <c r="D770" s="41"/>
      <c r="E770" s="20"/>
      <c r="F770" s="20"/>
    </row>
    <row r="771">
      <c r="A771" s="20"/>
      <c r="D771" s="41"/>
      <c r="E771" s="20"/>
      <c r="F771" s="20"/>
    </row>
    <row r="772">
      <c r="A772" s="20"/>
      <c r="D772" s="41"/>
      <c r="E772" s="20"/>
      <c r="F772" s="20"/>
    </row>
    <row r="773">
      <c r="A773" s="20"/>
      <c r="D773" s="41"/>
      <c r="E773" s="20"/>
      <c r="F773" s="20"/>
    </row>
    <row r="774">
      <c r="A774" s="20"/>
      <c r="D774" s="41"/>
      <c r="E774" s="20"/>
      <c r="F774" s="20"/>
    </row>
    <row r="775">
      <c r="A775" s="20"/>
      <c r="D775" s="41"/>
      <c r="E775" s="20"/>
      <c r="F775" s="20"/>
    </row>
    <row r="776">
      <c r="A776" s="20"/>
      <c r="D776" s="41"/>
      <c r="E776" s="20"/>
      <c r="F776" s="20"/>
    </row>
    <row r="777">
      <c r="A777" s="20"/>
      <c r="D777" s="41"/>
      <c r="E777" s="20"/>
      <c r="F777" s="20"/>
    </row>
    <row r="778">
      <c r="A778" s="20"/>
      <c r="D778" s="41"/>
      <c r="E778" s="20"/>
      <c r="F778" s="20"/>
    </row>
    <row r="779">
      <c r="A779" s="20"/>
      <c r="D779" s="41"/>
      <c r="E779" s="20"/>
      <c r="F779" s="20"/>
    </row>
    <row r="780">
      <c r="A780" s="20"/>
      <c r="D780" s="41"/>
      <c r="E780" s="20"/>
      <c r="F780" s="20"/>
    </row>
    <row r="781">
      <c r="A781" s="20"/>
      <c r="D781" s="41"/>
      <c r="E781" s="20"/>
      <c r="F781" s="20"/>
    </row>
    <row r="782">
      <c r="A782" s="20"/>
      <c r="D782" s="41"/>
      <c r="E782" s="20"/>
      <c r="F782" s="20"/>
    </row>
    <row r="783">
      <c r="A783" s="20"/>
      <c r="D783" s="41"/>
      <c r="E783" s="20"/>
      <c r="F783" s="20"/>
    </row>
    <row r="784">
      <c r="A784" s="20"/>
      <c r="D784" s="41"/>
      <c r="E784" s="20"/>
      <c r="F784" s="20"/>
    </row>
    <row r="785">
      <c r="A785" s="20"/>
      <c r="D785" s="41"/>
      <c r="E785" s="20"/>
      <c r="F785" s="20"/>
    </row>
    <row r="786">
      <c r="A786" s="20"/>
      <c r="D786" s="41"/>
      <c r="E786" s="20"/>
      <c r="F786" s="20"/>
    </row>
    <row r="787">
      <c r="A787" s="20"/>
      <c r="D787" s="41"/>
      <c r="E787" s="20"/>
      <c r="F787" s="20"/>
    </row>
    <row r="788">
      <c r="A788" s="20"/>
      <c r="D788" s="41"/>
      <c r="E788" s="20"/>
      <c r="F788" s="20"/>
    </row>
    <row r="789">
      <c r="A789" s="20"/>
      <c r="D789" s="41"/>
      <c r="E789" s="20"/>
      <c r="F789" s="20"/>
    </row>
    <row r="790">
      <c r="A790" s="20"/>
      <c r="D790" s="41"/>
      <c r="E790" s="20"/>
      <c r="F790" s="20"/>
    </row>
    <row r="791">
      <c r="A791" s="20"/>
      <c r="D791" s="41"/>
      <c r="E791" s="20"/>
      <c r="F791" s="20"/>
    </row>
    <row r="792">
      <c r="A792" s="20"/>
      <c r="D792" s="41"/>
      <c r="E792" s="20"/>
      <c r="F792" s="20"/>
    </row>
    <row r="793">
      <c r="A793" s="20"/>
      <c r="D793" s="41"/>
      <c r="E793" s="20"/>
      <c r="F793" s="20"/>
    </row>
    <row r="794">
      <c r="A794" s="20"/>
      <c r="D794" s="41"/>
      <c r="E794" s="20"/>
      <c r="F794" s="20"/>
    </row>
    <row r="795">
      <c r="A795" s="20"/>
      <c r="D795" s="41"/>
      <c r="E795" s="20"/>
      <c r="F795" s="20"/>
    </row>
    <row r="796">
      <c r="A796" s="20"/>
      <c r="D796" s="41"/>
      <c r="E796" s="20"/>
      <c r="F796" s="20"/>
    </row>
    <row r="797">
      <c r="A797" s="20"/>
      <c r="D797" s="41"/>
      <c r="E797" s="20"/>
      <c r="F797" s="20"/>
    </row>
    <row r="798">
      <c r="A798" s="20"/>
      <c r="D798" s="41"/>
      <c r="E798" s="20"/>
      <c r="F798" s="20"/>
    </row>
    <row r="799">
      <c r="A799" s="20"/>
      <c r="D799" s="41"/>
      <c r="E799" s="20"/>
      <c r="F799" s="20"/>
    </row>
    <row r="800">
      <c r="A800" s="20"/>
      <c r="D800" s="41"/>
      <c r="E800" s="20"/>
      <c r="F800" s="20"/>
    </row>
    <row r="801">
      <c r="A801" s="20"/>
      <c r="D801" s="41"/>
      <c r="E801" s="20"/>
      <c r="F801" s="20"/>
    </row>
    <row r="802">
      <c r="A802" s="20"/>
      <c r="D802" s="41"/>
      <c r="E802" s="20"/>
      <c r="F802" s="20"/>
    </row>
    <row r="803">
      <c r="A803" s="20"/>
      <c r="D803" s="41"/>
      <c r="E803" s="20"/>
      <c r="F803" s="20"/>
    </row>
    <row r="804">
      <c r="A804" s="20"/>
      <c r="D804" s="41"/>
      <c r="E804" s="20"/>
      <c r="F804" s="20"/>
    </row>
    <row r="805">
      <c r="A805" s="20"/>
      <c r="D805" s="41"/>
      <c r="E805" s="20"/>
      <c r="F805" s="20"/>
    </row>
    <row r="806">
      <c r="A806" s="20"/>
      <c r="D806" s="41"/>
      <c r="E806" s="20"/>
      <c r="F806" s="20"/>
    </row>
    <row r="807">
      <c r="A807" s="20"/>
      <c r="D807" s="41"/>
      <c r="E807" s="20"/>
      <c r="F807" s="20"/>
    </row>
    <row r="808">
      <c r="A808" s="20"/>
      <c r="D808" s="41"/>
      <c r="E808" s="20"/>
      <c r="F808" s="20"/>
    </row>
    <row r="809">
      <c r="A809" s="20"/>
      <c r="D809" s="41"/>
      <c r="E809" s="20"/>
      <c r="F809" s="20"/>
    </row>
    <row r="810">
      <c r="A810" s="20"/>
      <c r="D810" s="41"/>
      <c r="E810" s="20"/>
      <c r="F810" s="20"/>
    </row>
    <row r="811">
      <c r="A811" s="20"/>
      <c r="D811" s="41"/>
      <c r="E811" s="20"/>
      <c r="F811" s="20"/>
    </row>
    <row r="812">
      <c r="A812" s="20"/>
      <c r="D812" s="41"/>
      <c r="E812" s="20"/>
      <c r="F812" s="20"/>
    </row>
    <row r="813">
      <c r="A813" s="20"/>
      <c r="D813" s="41"/>
      <c r="E813" s="20"/>
      <c r="F813" s="20"/>
    </row>
    <row r="814">
      <c r="A814" s="20"/>
      <c r="D814" s="41"/>
      <c r="E814" s="20"/>
      <c r="F814" s="20"/>
    </row>
    <row r="815">
      <c r="A815" s="20"/>
      <c r="D815" s="41"/>
      <c r="E815" s="20"/>
      <c r="F815" s="20"/>
    </row>
    <row r="816">
      <c r="A816" s="20"/>
      <c r="D816" s="41"/>
      <c r="E816" s="20"/>
      <c r="F816" s="20"/>
    </row>
    <row r="817">
      <c r="A817" s="20"/>
      <c r="D817" s="41"/>
      <c r="E817" s="20"/>
      <c r="F817" s="20"/>
    </row>
    <row r="818">
      <c r="A818" s="20"/>
      <c r="D818" s="41"/>
      <c r="E818" s="20"/>
      <c r="F818" s="20"/>
    </row>
    <row r="819">
      <c r="A819" s="20"/>
      <c r="D819" s="41"/>
      <c r="E819" s="20"/>
      <c r="F819" s="20"/>
    </row>
    <row r="820">
      <c r="A820" s="20"/>
      <c r="D820" s="41"/>
      <c r="E820" s="20"/>
      <c r="F820" s="20"/>
    </row>
    <row r="821">
      <c r="A821" s="20"/>
      <c r="D821" s="41"/>
      <c r="E821" s="20"/>
      <c r="F821" s="20"/>
    </row>
    <row r="822">
      <c r="A822" s="20"/>
      <c r="D822" s="41"/>
      <c r="E822" s="20"/>
      <c r="F822" s="20"/>
    </row>
    <row r="823">
      <c r="A823" s="20"/>
      <c r="D823" s="41"/>
      <c r="E823" s="20"/>
      <c r="F823" s="20"/>
    </row>
    <row r="824">
      <c r="A824" s="20"/>
      <c r="D824" s="41"/>
      <c r="E824" s="20"/>
      <c r="F824" s="20"/>
    </row>
    <row r="825">
      <c r="A825" s="20"/>
      <c r="D825" s="41"/>
      <c r="E825" s="20"/>
      <c r="F825" s="20"/>
    </row>
    <row r="826">
      <c r="A826" s="20"/>
      <c r="D826" s="41"/>
      <c r="E826" s="20"/>
      <c r="F826" s="20"/>
    </row>
    <row r="827">
      <c r="A827" s="20"/>
      <c r="D827" s="41"/>
      <c r="E827" s="20"/>
      <c r="F827" s="20"/>
    </row>
    <row r="828">
      <c r="A828" s="20"/>
      <c r="D828" s="41"/>
      <c r="E828" s="20"/>
      <c r="F828" s="20"/>
    </row>
    <row r="829">
      <c r="A829" s="20"/>
      <c r="D829" s="41"/>
      <c r="E829" s="20"/>
      <c r="F829" s="20"/>
    </row>
    <row r="830">
      <c r="A830" s="20"/>
      <c r="D830" s="41"/>
      <c r="E830" s="20"/>
      <c r="F830" s="20"/>
    </row>
    <row r="831">
      <c r="A831" s="20"/>
      <c r="D831" s="41"/>
      <c r="E831" s="20"/>
      <c r="F831" s="20"/>
    </row>
    <row r="832">
      <c r="A832" s="20"/>
      <c r="D832" s="41"/>
      <c r="E832" s="20"/>
      <c r="F832" s="20"/>
    </row>
    <row r="833">
      <c r="A833" s="20"/>
      <c r="D833" s="41"/>
      <c r="E833" s="20"/>
      <c r="F833" s="20"/>
    </row>
    <row r="834">
      <c r="A834" s="20"/>
      <c r="D834" s="41"/>
      <c r="E834" s="20"/>
      <c r="F834" s="20"/>
    </row>
    <row r="835">
      <c r="A835" s="20"/>
      <c r="D835" s="41"/>
      <c r="E835" s="20"/>
      <c r="F835" s="20"/>
    </row>
    <row r="836">
      <c r="A836" s="20"/>
      <c r="D836" s="41"/>
      <c r="E836" s="20"/>
      <c r="F836" s="20"/>
    </row>
    <row r="837">
      <c r="A837" s="20"/>
      <c r="D837" s="41"/>
      <c r="E837" s="20"/>
      <c r="F837" s="20"/>
    </row>
    <row r="838">
      <c r="A838" s="20"/>
      <c r="D838" s="41"/>
      <c r="E838" s="20"/>
      <c r="F838" s="20"/>
    </row>
    <row r="839">
      <c r="A839" s="20"/>
      <c r="D839" s="41"/>
      <c r="E839" s="20"/>
      <c r="F839" s="20"/>
    </row>
    <row r="840">
      <c r="A840" s="20"/>
      <c r="D840" s="41"/>
      <c r="E840" s="20"/>
      <c r="F840" s="20"/>
    </row>
    <row r="841">
      <c r="A841" s="20"/>
      <c r="D841" s="41"/>
      <c r="E841" s="20"/>
      <c r="F841" s="20"/>
    </row>
    <row r="842">
      <c r="A842" s="20"/>
      <c r="D842" s="41"/>
      <c r="E842" s="20"/>
      <c r="F842" s="20"/>
    </row>
    <row r="843">
      <c r="A843" s="20"/>
      <c r="D843" s="41"/>
      <c r="E843" s="20"/>
      <c r="F843" s="20"/>
    </row>
    <row r="844">
      <c r="A844" s="20"/>
      <c r="D844" s="41"/>
      <c r="E844" s="20"/>
      <c r="F844" s="20"/>
    </row>
    <row r="845">
      <c r="A845" s="20"/>
      <c r="D845" s="41"/>
      <c r="E845" s="20"/>
      <c r="F845" s="20"/>
    </row>
    <row r="846">
      <c r="A846" s="20"/>
      <c r="D846" s="41"/>
      <c r="E846" s="20"/>
      <c r="F846" s="20"/>
    </row>
    <row r="847">
      <c r="A847" s="20"/>
      <c r="D847" s="41"/>
      <c r="E847" s="20"/>
      <c r="F847" s="20"/>
    </row>
    <row r="848">
      <c r="A848" s="20"/>
      <c r="D848" s="41"/>
      <c r="E848" s="20"/>
      <c r="F848" s="20"/>
    </row>
    <row r="849">
      <c r="A849" s="20"/>
      <c r="D849" s="41"/>
      <c r="E849" s="20"/>
      <c r="F849" s="20"/>
    </row>
    <row r="850">
      <c r="A850" s="20"/>
      <c r="D850" s="41"/>
      <c r="E850" s="20"/>
      <c r="F850" s="20"/>
    </row>
    <row r="851">
      <c r="A851" s="20"/>
      <c r="D851" s="41"/>
      <c r="E851" s="20"/>
      <c r="F851" s="20"/>
    </row>
    <row r="852">
      <c r="A852" s="20"/>
      <c r="D852" s="41"/>
      <c r="E852" s="20"/>
      <c r="F852" s="20"/>
    </row>
    <row r="853">
      <c r="A853" s="20"/>
      <c r="D853" s="41"/>
      <c r="E853" s="20"/>
      <c r="F853" s="20"/>
    </row>
    <row r="854">
      <c r="A854" s="20"/>
      <c r="D854" s="41"/>
      <c r="E854" s="20"/>
      <c r="F854" s="20"/>
    </row>
    <row r="855">
      <c r="A855" s="20"/>
      <c r="D855" s="41"/>
      <c r="E855" s="20"/>
      <c r="F855" s="20"/>
    </row>
    <row r="856">
      <c r="A856" s="20"/>
      <c r="D856" s="41"/>
      <c r="E856" s="20"/>
      <c r="F856" s="20"/>
    </row>
    <row r="857">
      <c r="A857" s="20"/>
      <c r="D857" s="41"/>
      <c r="E857" s="20"/>
      <c r="F857" s="20"/>
    </row>
    <row r="858">
      <c r="A858" s="20"/>
      <c r="D858" s="41"/>
      <c r="E858" s="20"/>
      <c r="F858" s="20"/>
    </row>
    <row r="859">
      <c r="A859" s="20"/>
      <c r="D859" s="41"/>
      <c r="E859" s="20"/>
      <c r="F859" s="20"/>
    </row>
    <row r="860">
      <c r="A860" s="20"/>
      <c r="D860" s="41"/>
      <c r="E860" s="20"/>
      <c r="F860" s="20"/>
    </row>
    <row r="861">
      <c r="A861" s="20"/>
      <c r="D861" s="41"/>
      <c r="E861" s="20"/>
      <c r="F861" s="20"/>
    </row>
    <row r="862">
      <c r="A862" s="20"/>
      <c r="D862" s="41"/>
      <c r="E862" s="20"/>
      <c r="F862" s="20"/>
    </row>
    <row r="863">
      <c r="A863" s="20"/>
      <c r="D863" s="41"/>
      <c r="E863" s="20"/>
      <c r="F863" s="20"/>
    </row>
    <row r="864">
      <c r="A864" s="20"/>
      <c r="D864" s="41"/>
      <c r="E864" s="20"/>
      <c r="F864" s="20"/>
    </row>
    <row r="865">
      <c r="A865" s="20"/>
      <c r="D865" s="41"/>
      <c r="E865" s="20"/>
      <c r="F865" s="20"/>
    </row>
    <row r="866">
      <c r="A866" s="20"/>
      <c r="D866" s="41"/>
      <c r="E866" s="20"/>
      <c r="F866" s="20"/>
    </row>
    <row r="867">
      <c r="A867" s="20"/>
      <c r="D867" s="41"/>
      <c r="E867" s="20"/>
      <c r="F867" s="20"/>
    </row>
    <row r="868">
      <c r="A868" s="20"/>
      <c r="D868" s="41"/>
      <c r="E868" s="20"/>
      <c r="F868" s="20"/>
    </row>
    <row r="869">
      <c r="A869" s="20"/>
      <c r="D869" s="41"/>
      <c r="E869" s="20"/>
      <c r="F869" s="20"/>
    </row>
    <row r="870">
      <c r="A870" s="20"/>
      <c r="D870" s="41"/>
      <c r="E870" s="20"/>
      <c r="F870" s="20"/>
    </row>
    <row r="871">
      <c r="A871" s="20"/>
      <c r="D871" s="41"/>
      <c r="E871" s="20"/>
      <c r="F871" s="20"/>
    </row>
    <row r="872">
      <c r="A872" s="20"/>
      <c r="D872" s="41"/>
      <c r="E872" s="20"/>
      <c r="F872" s="20"/>
    </row>
    <row r="873">
      <c r="A873" s="20"/>
      <c r="D873" s="41"/>
      <c r="E873" s="20"/>
      <c r="F873" s="20"/>
    </row>
    <row r="874">
      <c r="A874" s="20"/>
      <c r="D874" s="41"/>
      <c r="E874" s="20"/>
      <c r="F874" s="20"/>
    </row>
    <row r="875">
      <c r="A875" s="20"/>
      <c r="D875" s="41"/>
      <c r="E875" s="20"/>
      <c r="F875" s="20"/>
    </row>
    <row r="876">
      <c r="A876" s="20"/>
      <c r="D876" s="41"/>
      <c r="E876" s="20"/>
      <c r="F876" s="20"/>
    </row>
    <row r="877">
      <c r="A877" s="20"/>
      <c r="D877" s="41"/>
      <c r="E877" s="20"/>
      <c r="F877" s="20"/>
    </row>
    <row r="878">
      <c r="A878" s="20"/>
      <c r="D878" s="41"/>
      <c r="E878" s="20"/>
      <c r="F878" s="20"/>
    </row>
    <row r="879">
      <c r="A879" s="20"/>
      <c r="D879" s="41"/>
      <c r="E879" s="20"/>
      <c r="F879" s="20"/>
    </row>
    <row r="880">
      <c r="A880" s="20"/>
      <c r="D880" s="41"/>
      <c r="E880" s="20"/>
      <c r="F880" s="20"/>
    </row>
    <row r="881">
      <c r="A881" s="20"/>
      <c r="D881" s="41"/>
      <c r="E881" s="20"/>
      <c r="F881" s="20"/>
    </row>
    <row r="882">
      <c r="A882" s="20"/>
      <c r="D882" s="41"/>
      <c r="E882" s="20"/>
      <c r="F882" s="20"/>
    </row>
    <row r="883">
      <c r="A883" s="20"/>
      <c r="D883" s="41"/>
      <c r="E883" s="20"/>
      <c r="F883" s="20"/>
    </row>
    <row r="884">
      <c r="A884" s="20"/>
      <c r="D884" s="41"/>
      <c r="E884" s="20"/>
      <c r="F884" s="20"/>
    </row>
    <row r="885">
      <c r="A885" s="20"/>
      <c r="D885" s="41"/>
      <c r="E885" s="20"/>
      <c r="F885" s="20"/>
    </row>
    <row r="886">
      <c r="A886" s="20"/>
      <c r="D886" s="41"/>
      <c r="E886" s="20"/>
      <c r="F886" s="20"/>
    </row>
    <row r="887">
      <c r="A887" s="20"/>
      <c r="D887" s="41"/>
      <c r="E887" s="20"/>
      <c r="F887" s="20"/>
    </row>
    <row r="888">
      <c r="A888" s="20"/>
      <c r="D888" s="41"/>
      <c r="E888" s="20"/>
      <c r="F888" s="20"/>
    </row>
    <row r="889">
      <c r="A889" s="20"/>
      <c r="D889" s="41"/>
      <c r="E889" s="20"/>
      <c r="F889" s="20"/>
    </row>
    <row r="890">
      <c r="A890" s="20"/>
      <c r="D890" s="41"/>
      <c r="E890" s="20"/>
      <c r="F890" s="20"/>
    </row>
    <row r="891">
      <c r="A891" s="20"/>
      <c r="D891" s="41"/>
      <c r="E891" s="20"/>
      <c r="F891" s="20"/>
    </row>
    <row r="892">
      <c r="A892" s="20"/>
      <c r="D892" s="41"/>
      <c r="E892" s="20"/>
      <c r="F892" s="20"/>
    </row>
    <row r="893">
      <c r="A893" s="20"/>
      <c r="D893" s="41"/>
      <c r="E893" s="20"/>
      <c r="F893" s="20"/>
    </row>
    <row r="894">
      <c r="A894" s="20"/>
      <c r="D894" s="41"/>
      <c r="E894" s="20"/>
      <c r="F894" s="20"/>
    </row>
    <row r="895">
      <c r="A895" s="20"/>
      <c r="D895" s="41"/>
      <c r="E895" s="20"/>
      <c r="F895" s="20"/>
    </row>
    <row r="896">
      <c r="A896" s="20"/>
      <c r="D896" s="41"/>
      <c r="E896" s="20"/>
      <c r="F896" s="20"/>
    </row>
    <row r="897">
      <c r="A897" s="20"/>
      <c r="D897" s="41"/>
      <c r="E897" s="20"/>
      <c r="F897" s="20"/>
    </row>
    <row r="898">
      <c r="A898" s="20"/>
      <c r="D898" s="41"/>
      <c r="E898" s="20"/>
      <c r="F898" s="20"/>
    </row>
    <row r="899">
      <c r="A899" s="20"/>
      <c r="D899" s="41"/>
      <c r="E899" s="20"/>
      <c r="F899" s="20"/>
    </row>
    <row r="900">
      <c r="A900" s="20"/>
      <c r="D900" s="41"/>
      <c r="E900" s="20"/>
      <c r="F900" s="20"/>
    </row>
    <row r="901">
      <c r="A901" s="20"/>
      <c r="D901" s="41"/>
      <c r="E901" s="20"/>
      <c r="F901" s="20"/>
    </row>
    <row r="902">
      <c r="A902" s="20"/>
      <c r="D902" s="41"/>
      <c r="E902" s="20"/>
      <c r="F902" s="20"/>
    </row>
    <row r="903">
      <c r="A903" s="20"/>
      <c r="D903" s="41"/>
      <c r="E903" s="20"/>
      <c r="F903" s="20"/>
    </row>
    <row r="904">
      <c r="A904" s="20"/>
      <c r="D904" s="41"/>
      <c r="E904" s="20"/>
      <c r="F904" s="20"/>
    </row>
    <row r="905">
      <c r="A905" s="20"/>
      <c r="D905" s="41"/>
      <c r="E905" s="20"/>
      <c r="F905" s="20"/>
    </row>
    <row r="906">
      <c r="A906" s="20"/>
      <c r="D906" s="41"/>
      <c r="E906" s="20"/>
      <c r="F906" s="20"/>
    </row>
    <row r="907">
      <c r="A907" s="20"/>
      <c r="D907" s="41"/>
      <c r="E907" s="20"/>
      <c r="F907" s="20"/>
    </row>
    <row r="908">
      <c r="A908" s="20"/>
      <c r="D908" s="41"/>
      <c r="E908" s="20"/>
      <c r="F908" s="20"/>
    </row>
    <row r="909">
      <c r="A909" s="20"/>
      <c r="D909" s="41"/>
      <c r="E909" s="20"/>
      <c r="F909" s="20"/>
    </row>
    <row r="910">
      <c r="A910" s="20"/>
      <c r="D910" s="41"/>
      <c r="E910" s="20"/>
      <c r="F910" s="20"/>
    </row>
    <row r="911">
      <c r="A911" s="20"/>
      <c r="D911" s="41"/>
      <c r="E911" s="20"/>
      <c r="F911" s="20"/>
    </row>
    <row r="912">
      <c r="A912" s="20"/>
      <c r="D912" s="41"/>
      <c r="E912" s="20"/>
      <c r="F912" s="20"/>
    </row>
    <row r="913">
      <c r="A913" s="20"/>
      <c r="D913" s="41"/>
      <c r="E913" s="20"/>
      <c r="F913" s="20"/>
    </row>
    <row r="914">
      <c r="A914" s="20"/>
      <c r="D914" s="41"/>
      <c r="E914" s="20"/>
      <c r="F914" s="20"/>
    </row>
    <row r="915">
      <c r="A915" s="20"/>
      <c r="D915" s="41"/>
      <c r="E915" s="20"/>
      <c r="F915" s="20"/>
    </row>
    <row r="916">
      <c r="A916" s="20"/>
      <c r="D916" s="41"/>
      <c r="E916" s="20"/>
      <c r="F916" s="20"/>
    </row>
    <row r="917">
      <c r="A917" s="20"/>
      <c r="D917" s="41"/>
      <c r="E917" s="20"/>
      <c r="F917" s="20"/>
    </row>
    <row r="918">
      <c r="A918" s="20"/>
      <c r="D918" s="41"/>
      <c r="E918" s="20"/>
      <c r="F918" s="20"/>
    </row>
    <row r="919">
      <c r="A919" s="20"/>
      <c r="D919" s="41"/>
      <c r="E919" s="20"/>
      <c r="F919" s="20"/>
    </row>
    <row r="920">
      <c r="A920" s="20"/>
      <c r="D920" s="41"/>
      <c r="E920" s="20"/>
      <c r="F920" s="20"/>
    </row>
    <row r="921">
      <c r="A921" s="20"/>
      <c r="D921" s="41"/>
      <c r="E921" s="20"/>
      <c r="F921" s="20"/>
    </row>
    <row r="922">
      <c r="A922" s="20"/>
      <c r="D922" s="41"/>
      <c r="E922" s="20"/>
      <c r="F922" s="20"/>
    </row>
    <row r="923">
      <c r="A923" s="20"/>
      <c r="D923" s="41"/>
      <c r="E923" s="20"/>
      <c r="F923" s="20"/>
    </row>
    <row r="924">
      <c r="A924" s="20"/>
      <c r="D924" s="41"/>
      <c r="E924" s="20"/>
      <c r="F924" s="20"/>
    </row>
    <row r="925">
      <c r="A925" s="20"/>
      <c r="D925" s="41"/>
      <c r="E925" s="20"/>
      <c r="F925" s="20"/>
    </row>
    <row r="926">
      <c r="A926" s="20"/>
      <c r="D926" s="41"/>
      <c r="E926" s="20"/>
      <c r="F926" s="20"/>
    </row>
    <row r="927">
      <c r="A927" s="20"/>
      <c r="D927" s="41"/>
      <c r="E927" s="20"/>
      <c r="F927" s="20"/>
    </row>
    <row r="928">
      <c r="A928" s="20"/>
      <c r="D928" s="41"/>
      <c r="E928" s="20"/>
      <c r="F928" s="20"/>
    </row>
    <row r="929">
      <c r="A929" s="20"/>
      <c r="D929" s="41"/>
      <c r="E929" s="20"/>
      <c r="F929" s="20"/>
    </row>
    <row r="930">
      <c r="A930" s="20"/>
      <c r="D930" s="41"/>
      <c r="E930" s="20"/>
      <c r="F930" s="20"/>
    </row>
    <row r="931">
      <c r="A931" s="20"/>
      <c r="D931" s="41"/>
      <c r="E931" s="20"/>
      <c r="F931" s="20"/>
    </row>
    <row r="932">
      <c r="A932" s="20"/>
      <c r="D932" s="41"/>
      <c r="E932" s="20"/>
      <c r="F932" s="20"/>
    </row>
    <row r="933">
      <c r="A933" s="20"/>
      <c r="D933" s="41"/>
      <c r="E933" s="20"/>
      <c r="F933" s="20"/>
    </row>
    <row r="934">
      <c r="A934" s="20"/>
      <c r="D934" s="41"/>
      <c r="E934" s="20"/>
      <c r="F934" s="20"/>
    </row>
    <row r="935">
      <c r="A935" s="20"/>
      <c r="D935" s="41"/>
      <c r="E935" s="20"/>
      <c r="F935" s="20"/>
    </row>
    <row r="936">
      <c r="A936" s="20"/>
      <c r="D936" s="41"/>
      <c r="E936" s="20"/>
      <c r="F936" s="20"/>
    </row>
    <row r="937">
      <c r="A937" s="20"/>
      <c r="D937" s="41"/>
      <c r="E937" s="20"/>
      <c r="F937" s="20"/>
    </row>
    <row r="938">
      <c r="A938" s="20"/>
      <c r="D938" s="41"/>
      <c r="E938" s="20"/>
      <c r="F938" s="20"/>
    </row>
    <row r="939">
      <c r="A939" s="20"/>
      <c r="D939" s="41"/>
      <c r="E939" s="20"/>
      <c r="F939" s="20"/>
    </row>
    <row r="940">
      <c r="A940" s="20"/>
      <c r="D940" s="41"/>
      <c r="E940" s="20"/>
      <c r="F940" s="20"/>
    </row>
    <row r="941">
      <c r="A941" s="20"/>
      <c r="D941" s="41"/>
      <c r="E941" s="20"/>
      <c r="F941" s="20"/>
    </row>
    <row r="942">
      <c r="A942" s="20"/>
      <c r="D942" s="41"/>
      <c r="E942" s="20"/>
      <c r="F942" s="20"/>
    </row>
    <row r="943">
      <c r="A943" s="20"/>
      <c r="D943" s="41"/>
      <c r="E943" s="20"/>
      <c r="F943" s="20"/>
    </row>
    <row r="944">
      <c r="A944" s="20"/>
      <c r="D944" s="41"/>
      <c r="E944" s="20"/>
      <c r="F944" s="20"/>
    </row>
    <row r="945">
      <c r="A945" s="20"/>
      <c r="D945" s="41"/>
      <c r="E945" s="20"/>
      <c r="F945" s="20"/>
    </row>
    <row r="946">
      <c r="A946" s="20"/>
      <c r="D946" s="41"/>
      <c r="E946" s="20"/>
      <c r="F946" s="20"/>
    </row>
    <row r="947">
      <c r="A947" s="20"/>
      <c r="D947" s="41"/>
      <c r="E947" s="20"/>
      <c r="F947" s="20"/>
    </row>
    <row r="948">
      <c r="A948" s="20"/>
      <c r="D948" s="41"/>
      <c r="E948" s="20"/>
      <c r="F948" s="20"/>
    </row>
    <row r="949">
      <c r="A949" s="20"/>
      <c r="D949" s="41"/>
      <c r="E949" s="20"/>
      <c r="F949" s="20"/>
    </row>
    <row r="950">
      <c r="A950" s="20"/>
      <c r="D950" s="41"/>
      <c r="E950" s="20"/>
      <c r="F950" s="20"/>
    </row>
    <row r="951">
      <c r="A951" s="20"/>
      <c r="D951" s="41"/>
      <c r="E951" s="20"/>
      <c r="F951" s="20"/>
    </row>
    <row r="952">
      <c r="A952" s="20"/>
      <c r="D952" s="41"/>
      <c r="E952" s="20"/>
      <c r="F952" s="20"/>
    </row>
    <row r="953">
      <c r="A953" s="20"/>
      <c r="D953" s="41"/>
      <c r="E953" s="20"/>
      <c r="F953" s="20"/>
    </row>
    <row r="954">
      <c r="A954" s="20"/>
      <c r="D954" s="41"/>
      <c r="E954" s="20"/>
      <c r="F954" s="20"/>
    </row>
    <row r="955">
      <c r="A955" s="20"/>
      <c r="D955" s="41"/>
      <c r="E955" s="20"/>
      <c r="F955" s="20"/>
    </row>
    <row r="956">
      <c r="A956" s="20"/>
      <c r="D956" s="41"/>
      <c r="E956" s="20"/>
      <c r="F956" s="20"/>
    </row>
    <row r="957">
      <c r="A957" s="20"/>
      <c r="D957" s="41"/>
      <c r="E957" s="20"/>
      <c r="F957" s="20"/>
    </row>
    <row r="958">
      <c r="A958" s="20"/>
      <c r="D958" s="41"/>
      <c r="E958" s="20"/>
      <c r="F958" s="20"/>
    </row>
    <row r="959">
      <c r="A959" s="20"/>
      <c r="D959" s="41"/>
      <c r="E959" s="20"/>
      <c r="F959" s="20"/>
    </row>
    <row r="960">
      <c r="A960" s="20"/>
      <c r="D960" s="41"/>
      <c r="E960" s="20"/>
      <c r="F960" s="20"/>
    </row>
    <row r="961">
      <c r="A961" s="20"/>
      <c r="D961" s="41"/>
      <c r="E961" s="20"/>
      <c r="F961" s="20"/>
    </row>
    <row r="962">
      <c r="A962" s="20"/>
      <c r="D962" s="41"/>
      <c r="E962" s="20"/>
      <c r="F962" s="20"/>
    </row>
    <row r="963">
      <c r="A963" s="20"/>
      <c r="D963" s="41"/>
      <c r="E963" s="20"/>
      <c r="F963" s="20"/>
    </row>
    <row r="964">
      <c r="A964" s="20"/>
      <c r="D964" s="41"/>
      <c r="E964" s="20"/>
      <c r="F964" s="20"/>
    </row>
    <row r="965">
      <c r="A965" s="20"/>
      <c r="D965" s="41"/>
      <c r="E965" s="20"/>
      <c r="F965" s="20"/>
    </row>
    <row r="966">
      <c r="A966" s="20"/>
      <c r="D966" s="41"/>
      <c r="E966" s="20"/>
      <c r="F966" s="20"/>
    </row>
    <row r="967">
      <c r="A967" s="20"/>
      <c r="D967" s="41"/>
      <c r="E967" s="20"/>
      <c r="F967" s="20"/>
    </row>
    <row r="968">
      <c r="A968" s="20"/>
      <c r="D968" s="41"/>
      <c r="E968" s="20"/>
      <c r="F968" s="20"/>
    </row>
    <row r="969">
      <c r="A969" s="20"/>
      <c r="D969" s="41"/>
      <c r="E969" s="20"/>
      <c r="F969" s="20"/>
    </row>
    <row r="970">
      <c r="A970" s="20"/>
      <c r="D970" s="41"/>
      <c r="E970" s="20"/>
      <c r="F970" s="20"/>
    </row>
    <row r="971">
      <c r="A971" s="20"/>
      <c r="D971" s="41"/>
      <c r="E971" s="20"/>
      <c r="F971" s="20"/>
    </row>
    <row r="972">
      <c r="A972" s="20"/>
      <c r="D972" s="41"/>
      <c r="E972" s="20"/>
      <c r="F972" s="20"/>
    </row>
    <row r="973">
      <c r="A973" s="20"/>
      <c r="D973" s="41"/>
      <c r="E973" s="20"/>
      <c r="F973" s="20"/>
    </row>
    <row r="974">
      <c r="A974" s="20"/>
      <c r="D974" s="41"/>
      <c r="E974" s="20"/>
      <c r="F974" s="20"/>
    </row>
    <row r="975">
      <c r="A975" s="20"/>
      <c r="D975" s="41"/>
      <c r="E975" s="20"/>
      <c r="F975" s="20"/>
    </row>
    <row r="976">
      <c r="A976" s="20"/>
      <c r="D976" s="41"/>
      <c r="E976" s="20"/>
      <c r="F976" s="20"/>
    </row>
    <row r="977">
      <c r="A977" s="20"/>
      <c r="D977" s="41"/>
      <c r="E977" s="20"/>
      <c r="F977" s="20"/>
    </row>
    <row r="978">
      <c r="A978" s="20"/>
      <c r="D978" s="41"/>
      <c r="E978" s="20"/>
      <c r="F978" s="20"/>
    </row>
    <row r="979">
      <c r="A979" s="20"/>
      <c r="D979" s="41"/>
      <c r="E979" s="20"/>
      <c r="F979" s="20"/>
    </row>
    <row r="980">
      <c r="A980" s="20"/>
      <c r="D980" s="41"/>
      <c r="E980" s="20"/>
      <c r="F980" s="20"/>
    </row>
    <row r="981">
      <c r="A981" s="20"/>
      <c r="D981" s="41"/>
      <c r="E981" s="20"/>
      <c r="F981" s="20"/>
    </row>
    <row r="982">
      <c r="A982" s="20"/>
      <c r="D982" s="41"/>
      <c r="E982" s="20"/>
      <c r="F982" s="20"/>
    </row>
    <row r="983">
      <c r="A983" s="20"/>
      <c r="D983" s="41"/>
      <c r="E983" s="20"/>
      <c r="F983" s="20"/>
    </row>
    <row r="984">
      <c r="A984" s="20"/>
      <c r="D984" s="41"/>
      <c r="E984" s="20"/>
      <c r="F984" s="20"/>
    </row>
    <row r="985">
      <c r="A985" s="20"/>
      <c r="D985" s="41"/>
      <c r="E985" s="20"/>
      <c r="F985" s="20"/>
    </row>
    <row r="986">
      <c r="A986" s="20"/>
      <c r="D986" s="41"/>
      <c r="E986" s="20"/>
      <c r="F986" s="20"/>
    </row>
    <row r="987">
      <c r="A987" s="20"/>
      <c r="D987" s="41"/>
      <c r="E987" s="20"/>
      <c r="F987" s="20"/>
    </row>
    <row r="988">
      <c r="A988" s="20"/>
      <c r="D988" s="41"/>
      <c r="E988" s="20"/>
      <c r="F988" s="20"/>
    </row>
    <row r="989">
      <c r="A989" s="20"/>
      <c r="D989" s="41"/>
      <c r="E989" s="20"/>
      <c r="F989" s="20"/>
    </row>
    <row r="990">
      <c r="A990" s="20"/>
      <c r="D990" s="41"/>
      <c r="E990" s="20"/>
      <c r="F990" s="20"/>
    </row>
    <row r="991">
      <c r="A991" s="20"/>
      <c r="D991" s="41"/>
      <c r="E991" s="20"/>
      <c r="F991" s="20"/>
    </row>
    <row r="992">
      <c r="A992" s="20"/>
      <c r="D992" s="41"/>
      <c r="E992" s="20"/>
      <c r="F992" s="20"/>
    </row>
    <row r="993">
      <c r="A993" s="20"/>
      <c r="D993" s="41"/>
      <c r="E993" s="20"/>
      <c r="F993" s="20"/>
    </row>
    <row r="994">
      <c r="A994" s="20"/>
      <c r="D994" s="41"/>
      <c r="E994" s="20"/>
      <c r="F994" s="20"/>
    </row>
    <row r="995">
      <c r="A995" s="20"/>
      <c r="D995" s="41"/>
      <c r="E995" s="20"/>
      <c r="F995" s="20"/>
    </row>
    <row r="996">
      <c r="A996" s="20"/>
      <c r="D996" s="41"/>
      <c r="E996" s="20"/>
      <c r="F996" s="20"/>
    </row>
    <row r="997">
      <c r="A997" s="20"/>
      <c r="D997" s="41"/>
      <c r="E997" s="20"/>
      <c r="F997" s="20"/>
    </row>
    <row r="998">
      <c r="A998" s="20"/>
      <c r="D998" s="41"/>
      <c r="E998" s="20"/>
      <c r="F998" s="20"/>
    </row>
    <row r="999">
      <c r="A999" s="20"/>
      <c r="D999" s="41"/>
      <c r="E999" s="20"/>
      <c r="F999" s="20"/>
    </row>
    <row r="1000">
      <c r="A1000" s="20"/>
      <c r="D1000" s="41"/>
      <c r="E1000" s="20"/>
      <c r="F1000" s="20"/>
    </row>
  </sheetData>
  <dataValidations>
    <dataValidation type="list" allowBlank="1" showDropDown="1" showErrorMessage="1" sqref="D2:D1000">
      <formula1>"001,002,003,004,005,006,007,008"</formula1>
    </dataValidation>
    <dataValidation type="list" allowBlank="1" showDropDown="1" showErrorMessage="1" sqref="F2:F1000">
      <formula1>"Licor + Height,SPAD,Hydrosense"</formula1>
    </dataValidation>
    <dataValidation type="list" allowBlank="1" showDropDown="1" showErrorMessage="1" sqref="A2:A1000">
      <formula1>"A,B,C,D,E,F"</formula1>
    </dataValidation>
    <dataValidation type="list" allowBlank="1" showDropDown="1" showErrorMessage="1" sqref="E2:E1000">
      <formula1>"AC,DT,OS,NR"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0</v>
      </c>
      <c r="B1" s="12" t="s">
        <v>0</v>
      </c>
      <c r="C1" s="12" t="s">
        <v>0</v>
      </c>
      <c r="D1" s="12" t="s">
        <v>0</v>
      </c>
      <c r="E1" s="12" t="s">
        <v>0</v>
      </c>
      <c r="F1" s="12" t="s">
        <v>5</v>
      </c>
      <c r="G1" s="12" t="s">
        <v>5</v>
      </c>
      <c r="H1" s="12" t="s">
        <v>5</v>
      </c>
      <c r="I1" s="12" t="s">
        <v>5</v>
      </c>
      <c r="J1" s="12" t="s">
        <v>705</v>
      </c>
      <c r="K1" s="12" t="s">
        <v>705</v>
      </c>
      <c r="L1" s="12" t="s">
        <v>705</v>
      </c>
      <c r="M1" s="12" t="s">
        <v>705</v>
      </c>
      <c r="N1" s="12" t="s">
        <v>705</v>
      </c>
      <c r="O1" s="12" t="s">
        <v>705</v>
      </c>
      <c r="P1" s="12" t="s">
        <v>705</v>
      </c>
      <c r="Q1" s="12" t="s">
        <v>705</v>
      </c>
      <c r="R1" s="12" t="s">
        <v>705</v>
      </c>
      <c r="S1" s="12" t="s">
        <v>705</v>
      </c>
      <c r="T1" s="12" t="s">
        <v>705</v>
      </c>
      <c r="U1" s="12" t="s">
        <v>705</v>
      </c>
      <c r="V1" s="12" t="s">
        <v>705</v>
      </c>
      <c r="W1" s="12" t="s">
        <v>706</v>
      </c>
      <c r="X1" s="12" t="s">
        <v>706</v>
      </c>
      <c r="Y1" s="12" t="s">
        <v>706</v>
      </c>
      <c r="Z1" s="12" t="s">
        <v>706</v>
      </c>
      <c r="AA1" s="12" t="s">
        <v>706</v>
      </c>
      <c r="AB1" s="12" t="s">
        <v>706</v>
      </c>
      <c r="AC1" s="12" t="s">
        <v>706</v>
      </c>
      <c r="AD1" s="12" t="s">
        <v>706</v>
      </c>
      <c r="AE1" s="12" t="s">
        <v>706</v>
      </c>
      <c r="AF1" s="12" t="s">
        <v>706</v>
      </c>
      <c r="AG1" s="12" t="s">
        <v>706</v>
      </c>
      <c r="AH1" s="12" t="s">
        <v>707</v>
      </c>
      <c r="AI1" s="12" t="s">
        <v>707</v>
      </c>
      <c r="AJ1" s="12" t="s">
        <v>707</v>
      </c>
      <c r="AK1" s="12" t="s">
        <v>707</v>
      </c>
      <c r="AL1" s="12" t="s">
        <v>707</v>
      </c>
      <c r="AM1" s="12" t="s">
        <v>707</v>
      </c>
      <c r="AN1" s="12" t="s">
        <v>707</v>
      </c>
      <c r="AO1" s="12" t="s">
        <v>707</v>
      </c>
      <c r="AP1" s="12" t="s">
        <v>707</v>
      </c>
      <c r="AQ1" s="12" t="s">
        <v>707</v>
      </c>
      <c r="AR1" s="12" t="s">
        <v>707</v>
      </c>
      <c r="AS1" s="12" t="s">
        <v>708</v>
      </c>
      <c r="AT1" s="12" t="s">
        <v>708</v>
      </c>
      <c r="AU1" s="12" t="s">
        <v>708</v>
      </c>
      <c r="AV1" s="12" t="s">
        <v>708</v>
      </c>
      <c r="AW1" s="12" t="s">
        <v>709</v>
      </c>
      <c r="AX1" s="12" t="s">
        <v>709</v>
      </c>
      <c r="AY1" s="12" t="s">
        <v>709</v>
      </c>
      <c r="AZ1" s="12" t="s">
        <v>709</v>
      </c>
      <c r="BA1" s="12" t="s">
        <v>709</v>
      </c>
      <c r="BB1" s="12" t="s">
        <v>709</v>
      </c>
      <c r="BC1" s="12" t="s">
        <v>710</v>
      </c>
      <c r="BD1" s="12" t="s">
        <v>710</v>
      </c>
      <c r="BE1" s="12" t="s">
        <v>710</v>
      </c>
      <c r="BF1" s="12" t="s">
        <v>710</v>
      </c>
      <c r="BG1" s="12" t="s">
        <v>710</v>
      </c>
      <c r="BH1" s="12" t="s">
        <v>710</v>
      </c>
      <c r="BI1" s="12" t="s">
        <v>710</v>
      </c>
      <c r="BJ1" s="12" t="s">
        <v>710</v>
      </c>
      <c r="BK1" s="12" t="s">
        <v>710</v>
      </c>
      <c r="BL1" s="12" t="s">
        <v>710</v>
      </c>
      <c r="BM1" s="12" t="s">
        <v>710</v>
      </c>
      <c r="BN1" s="12" t="s">
        <v>711</v>
      </c>
      <c r="BO1" s="12" t="s">
        <v>711</v>
      </c>
      <c r="BP1" s="12" t="s">
        <v>711</v>
      </c>
      <c r="BQ1" s="12" t="s">
        <v>711</v>
      </c>
      <c r="BR1" s="12" t="s">
        <v>711</v>
      </c>
      <c r="BS1" s="12" t="s">
        <v>711</v>
      </c>
      <c r="BT1" s="12" t="s">
        <v>711</v>
      </c>
      <c r="BU1" s="12" t="s">
        <v>711</v>
      </c>
      <c r="BV1" s="12" t="s">
        <v>711</v>
      </c>
      <c r="BW1" s="12" t="s">
        <v>711</v>
      </c>
      <c r="BX1" s="12" t="s">
        <v>711</v>
      </c>
      <c r="BY1" s="12" t="s">
        <v>711</v>
      </c>
      <c r="BZ1" s="12" t="s">
        <v>711</v>
      </c>
      <c r="CA1" s="12" t="s">
        <v>711</v>
      </c>
      <c r="CB1" s="12" t="s">
        <v>711</v>
      </c>
      <c r="CC1" s="12" t="s">
        <v>712</v>
      </c>
      <c r="CD1" s="12" t="s">
        <v>712</v>
      </c>
      <c r="CE1" s="12" t="s">
        <v>712</v>
      </c>
      <c r="CF1" s="12" t="s">
        <v>712</v>
      </c>
      <c r="CG1" s="12" t="s">
        <v>712</v>
      </c>
      <c r="CH1" s="12" t="s">
        <v>712</v>
      </c>
      <c r="CI1" s="12" t="s">
        <v>712</v>
      </c>
      <c r="CJ1" s="12" t="s">
        <v>712</v>
      </c>
      <c r="CK1" s="12" t="s">
        <v>712</v>
      </c>
      <c r="CL1" s="12" t="s">
        <v>712</v>
      </c>
      <c r="CM1" s="12" t="s">
        <v>713</v>
      </c>
      <c r="CN1" s="12" t="s">
        <v>713</v>
      </c>
      <c r="CO1" s="12" t="s">
        <v>713</v>
      </c>
      <c r="CP1" s="12" t="s">
        <v>713</v>
      </c>
      <c r="CQ1" s="12" t="s">
        <v>713</v>
      </c>
      <c r="CR1" s="12" t="s">
        <v>713</v>
      </c>
      <c r="CS1" s="12" t="s">
        <v>713</v>
      </c>
      <c r="CT1" s="12" t="s">
        <v>713</v>
      </c>
      <c r="CU1" s="12" t="s">
        <v>713</v>
      </c>
      <c r="CV1" s="12" t="s">
        <v>713</v>
      </c>
      <c r="CW1" s="12" t="s">
        <v>714</v>
      </c>
      <c r="CX1" s="12" t="s">
        <v>714</v>
      </c>
      <c r="CY1" s="12" t="s">
        <v>714</v>
      </c>
      <c r="CZ1" s="12" t="s">
        <v>714</v>
      </c>
      <c r="DA1" s="12" t="s">
        <v>714</v>
      </c>
      <c r="DB1" s="12" t="s">
        <v>714</v>
      </c>
      <c r="DC1" s="12" t="s">
        <v>714</v>
      </c>
    </row>
    <row r="2">
      <c r="A2" s="12" t="s">
        <v>715</v>
      </c>
      <c r="B2" s="12" t="s">
        <v>31</v>
      </c>
      <c r="C2" s="12" t="s">
        <v>1</v>
      </c>
      <c r="D2" s="12" t="s">
        <v>716</v>
      </c>
      <c r="E2" s="12" t="s">
        <v>717</v>
      </c>
      <c r="F2" s="12" t="s">
        <v>718</v>
      </c>
      <c r="G2" s="12" t="s">
        <v>28</v>
      </c>
      <c r="H2" s="12" t="s">
        <v>30</v>
      </c>
      <c r="I2" s="12"/>
      <c r="J2" s="12" t="s">
        <v>719</v>
      </c>
      <c r="K2" s="12" t="s">
        <v>720</v>
      </c>
      <c r="L2" s="12" t="s">
        <v>721</v>
      </c>
      <c r="M2" s="12" t="s">
        <v>722</v>
      </c>
      <c r="N2" s="12" t="s">
        <v>723</v>
      </c>
      <c r="O2" s="12" t="s">
        <v>724</v>
      </c>
      <c r="P2" s="12" t="s">
        <v>725</v>
      </c>
      <c r="Q2" s="12" t="s">
        <v>726</v>
      </c>
      <c r="R2" s="12" t="s">
        <v>727</v>
      </c>
      <c r="S2" s="12" t="s">
        <v>728</v>
      </c>
      <c r="T2" s="12" t="s">
        <v>729</v>
      </c>
      <c r="U2" s="12" t="s">
        <v>730</v>
      </c>
      <c r="V2" s="12" t="s">
        <v>731</v>
      </c>
      <c r="W2" s="12" t="s">
        <v>732</v>
      </c>
      <c r="X2" s="12" t="s">
        <v>733</v>
      </c>
      <c r="Y2" s="12" t="s">
        <v>734</v>
      </c>
      <c r="Z2" s="12" t="s">
        <v>735</v>
      </c>
      <c r="AA2" s="12" t="s">
        <v>736</v>
      </c>
      <c r="AB2" s="12" t="s">
        <v>737</v>
      </c>
      <c r="AC2" s="12" t="s">
        <v>738</v>
      </c>
      <c r="AD2" s="12" t="s">
        <v>739</v>
      </c>
      <c r="AE2" s="12" t="s">
        <v>740</v>
      </c>
      <c r="AF2" s="12" t="s">
        <v>741</v>
      </c>
      <c r="AG2" s="12" t="s">
        <v>742</v>
      </c>
      <c r="AH2" s="12" t="s">
        <v>743</v>
      </c>
      <c r="AI2" s="12" t="s">
        <v>744</v>
      </c>
      <c r="AJ2" s="12" t="s">
        <v>745</v>
      </c>
      <c r="AK2" s="12" t="s">
        <v>746</v>
      </c>
      <c r="AL2" s="12" t="s">
        <v>747</v>
      </c>
      <c r="AM2" s="12" t="s">
        <v>748</v>
      </c>
      <c r="AN2" s="12" t="s">
        <v>749</v>
      </c>
      <c r="AO2" s="12" t="s">
        <v>750</v>
      </c>
      <c r="AP2" s="12" t="s">
        <v>751</v>
      </c>
      <c r="AQ2" s="12" t="s">
        <v>752</v>
      </c>
      <c r="AR2" s="12" t="s">
        <v>753</v>
      </c>
      <c r="AS2" s="12" t="s">
        <v>754</v>
      </c>
      <c r="AT2" s="12" t="s">
        <v>755</v>
      </c>
      <c r="AU2" s="12" t="s">
        <v>756</v>
      </c>
      <c r="AV2" s="12" t="s">
        <v>757</v>
      </c>
      <c r="AW2" s="12" t="s">
        <v>758</v>
      </c>
      <c r="AX2" s="12" t="s">
        <v>759</v>
      </c>
      <c r="AY2" s="12" t="s">
        <v>760</v>
      </c>
      <c r="AZ2" s="12" t="s">
        <v>761</v>
      </c>
      <c r="BA2" s="12" t="s">
        <v>762</v>
      </c>
      <c r="BB2" s="12" t="s">
        <v>763</v>
      </c>
      <c r="BC2" s="12" t="s">
        <v>764</v>
      </c>
      <c r="BD2" s="12" t="s">
        <v>765</v>
      </c>
      <c r="BE2" s="12" t="s">
        <v>766</v>
      </c>
      <c r="BF2" s="12" t="s">
        <v>767</v>
      </c>
      <c r="BG2" s="12" t="s">
        <v>768</v>
      </c>
      <c r="BH2" s="12" t="s">
        <v>769</v>
      </c>
      <c r="BI2" s="12" t="s">
        <v>770</v>
      </c>
      <c r="BJ2" s="12" t="s">
        <v>771</v>
      </c>
      <c r="BK2" s="12" t="s">
        <v>772</v>
      </c>
      <c r="BL2" s="12" t="s">
        <v>773</v>
      </c>
      <c r="BM2" s="12" t="s">
        <v>774</v>
      </c>
      <c r="BN2" s="12" t="s">
        <v>775</v>
      </c>
      <c r="BO2" s="12" t="s">
        <v>776</v>
      </c>
      <c r="BP2" s="12" t="s">
        <v>777</v>
      </c>
      <c r="BQ2" s="12" t="s">
        <v>778</v>
      </c>
      <c r="BR2" s="12" t="s">
        <v>779</v>
      </c>
      <c r="BS2" s="12" t="s">
        <v>780</v>
      </c>
      <c r="BT2" s="12" t="s">
        <v>781</v>
      </c>
      <c r="BU2" s="12" t="s">
        <v>782</v>
      </c>
      <c r="BV2" s="12" t="s">
        <v>783</v>
      </c>
      <c r="BW2" s="12" t="s">
        <v>784</v>
      </c>
      <c r="BX2" s="12" t="s">
        <v>785</v>
      </c>
      <c r="BY2" s="12" t="s">
        <v>786</v>
      </c>
      <c r="BZ2" s="12" t="s">
        <v>787</v>
      </c>
      <c r="CA2" s="12" t="s">
        <v>788</v>
      </c>
      <c r="CB2" s="12" t="s">
        <v>789</v>
      </c>
      <c r="CC2" s="12" t="s">
        <v>790</v>
      </c>
      <c r="CD2" s="12" t="s">
        <v>791</v>
      </c>
      <c r="CE2" s="12" t="s">
        <v>792</v>
      </c>
      <c r="CF2" s="12" t="s">
        <v>793</v>
      </c>
      <c r="CG2" s="12" t="s">
        <v>794</v>
      </c>
      <c r="CH2" s="12" t="s">
        <v>795</v>
      </c>
      <c r="CI2" s="12" t="s">
        <v>796</v>
      </c>
      <c r="CJ2" s="12" t="s">
        <v>797</v>
      </c>
      <c r="CK2" s="12" t="s">
        <v>798</v>
      </c>
      <c r="CL2" s="12" t="s">
        <v>799</v>
      </c>
      <c r="CM2" s="12" t="s">
        <v>800</v>
      </c>
      <c r="CN2" s="12" t="s">
        <v>801</v>
      </c>
      <c r="CO2" s="12" t="s">
        <v>802</v>
      </c>
      <c r="CP2" s="12" t="s">
        <v>803</v>
      </c>
      <c r="CQ2" s="12" t="s">
        <v>804</v>
      </c>
      <c r="CR2" s="12" t="s">
        <v>805</v>
      </c>
      <c r="CS2" s="12" t="s">
        <v>806</v>
      </c>
      <c r="CT2" s="12" t="s">
        <v>807</v>
      </c>
      <c r="CU2" s="12" t="s">
        <v>808</v>
      </c>
      <c r="CV2" s="12" t="s">
        <v>809</v>
      </c>
      <c r="CW2" s="12" t="s">
        <v>810</v>
      </c>
      <c r="CX2" s="12" t="s">
        <v>811</v>
      </c>
      <c r="CY2" s="12" t="s">
        <v>812</v>
      </c>
      <c r="CZ2" s="12" t="s">
        <v>813</v>
      </c>
      <c r="DA2" s="12" t="s">
        <v>814</v>
      </c>
      <c r="DB2" s="12" t="s">
        <v>815</v>
      </c>
      <c r="DC2" s="12" t="s">
        <v>816</v>
      </c>
    </row>
    <row r="3">
      <c r="A3" s="12"/>
      <c r="B3" s="12" t="s">
        <v>91</v>
      </c>
      <c r="C3" s="12" t="s">
        <v>90</v>
      </c>
      <c r="D3" s="12"/>
      <c r="E3" s="12"/>
      <c r="F3" s="12"/>
      <c r="G3" s="12"/>
      <c r="H3" s="12"/>
      <c r="I3" s="12"/>
      <c r="J3" s="12" t="s">
        <v>817</v>
      </c>
      <c r="K3" s="12" t="s">
        <v>817</v>
      </c>
      <c r="L3" s="12" t="s">
        <v>817</v>
      </c>
      <c r="M3" s="12" t="s">
        <v>818</v>
      </c>
      <c r="N3" s="12" t="s">
        <v>819</v>
      </c>
      <c r="O3" s="12" t="s">
        <v>819</v>
      </c>
      <c r="P3" s="12" t="s">
        <v>819</v>
      </c>
      <c r="Q3" s="12" t="s">
        <v>819</v>
      </c>
      <c r="R3" s="12" t="s">
        <v>820</v>
      </c>
      <c r="S3" s="12" t="s">
        <v>820</v>
      </c>
      <c r="T3" s="12" t="s">
        <v>820</v>
      </c>
      <c r="U3" s="12" t="s">
        <v>821</v>
      </c>
      <c r="V3" s="12" t="s">
        <v>822</v>
      </c>
      <c r="W3" s="12"/>
      <c r="X3" s="12"/>
      <c r="Y3" s="12"/>
      <c r="Z3" s="12"/>
      <c r="AA3" s="12"/>
      <c r="AB3" s="12"/>
      <c r="AC3" s="12"/>
      <c r="AD3" s="12"/>
      <c r="AE3" s="12"/>
      <c r="AF3" s="12" t="s">
        <v>823</v>
      </c>
      <c r="AG3" s="12"/>
      <c r="AH3" s="12" t="s">
        <v>824</v>
      </c>
      <c r="AI3" s="12" t="s">
        <v>824</v>
      </c>
      <c r="AJ3" s="12" t="s">
        <v>209</v>
      </c>
      <c r="AK3" s="12" t="s">
        <v>209</v>
      </c>
      <c r="AL3" s="12" t="s">
        <v>209</v>
      </c>
      <c r="AM3" s="12" t="s">
        <v>819</v>
      </c>
      <c r="AN3" s="12" t="s">
        <v>825</v>
      </c>
      <c r="AO3" s="12" t="s">
        <v>825</v>
      </c>
      <c r="AP3" s="12" t="s">
        <v>824</v>
      </c>
      <c r="AQ3" s="12" t="s">
        <v>823</v>
      </c>
      <c r="AR3" s="12" t="s">
        <v>826</v>
      </c>
      <c r="AS3" s="12" t="s">
        <v>91</v>
      </c>
      <c r="AT3" s="12" t="s">
        <v>90</v>
      </c>
      <c r="AU3" s="12" t="s">
        <v>824</v>
      </c>
      <c r="AV3" s="12"/>
      <c r="AW3" s="12"/>
      <c r="AX3" s="12"/>
      <c r="AY3" s="12"/>
      <c r="AZ3" s="12"/>
      <c r="BA3" s="12"/>
      <c r="BB3" s="12"/>
      <c r="BC3" s="12"/>
      <c r="BD3" s="12" t="s">
        <v>825</v>
      </c>
      <c r="BE3" s="12" t="s">
        <v>827</v>
      </c>
      <c r="BF3" s="12" t="s">
        <v>828</v>
      </c>
      <c r="BG3" s="12"/>
      <c r="BH3" s="12"/>
      <c r="BI3" s="12"/>
      <c r="BJ3" s="12"/>
      <c r="BK3" s="12"/>
      <c r="BL3" s="12"/>
      <c r="BM3" s="12"/>
      <c r="BN3" s="12"/>
      <c r="BO3" s="12"/>
      <c r="BP3" s="12" t="s">
        <v>823</v>
      </c>
      <c r="BQ3" s="12" t="s">
        <v>829</v>
      </c>
      <c r="BR3" s="12" t="s">
        <v>830</v>
      </c>
      <c r="BS3" s="12" t="s">
        <v>828</v>
      </c>
      <c r="BT3" s="12" t="s">
        <v>831</v>
      </c>
      <c r="BU3" s="12" t="s">
        <v>831</v>
      </c>
      <c r="BV3" s="12" t="s">
        <v>831</v>
      </c>
      <c r="BW3" s="12"/>
      <c r="BX3" s="12" t="s">
        <v>824</v>
      </c>
      <c r="BY3" s="12"/>
      <c r="BZ3" s="12"/>
      <c r="CA3" s="12"/>
      <c r="CB3" s="12"/>
      <c r="CC3" s="12" t="s">
        <v>826</v>
      </c>
      <c r="CD3" s="12" t="s">
        <v>826</v>
      </c>
      <c r="CE3" s="12" t="s">
        <v>826</v>
      </c>
      <c r="CF3" s="12" t="s">
        <v>826</v>
      </c>
      <c r="CG3" s="12" t="s">
        <v>826</v>
      </c>
      <c r="CH3" s="12" t="s">
        <v>826</v>
      </c>
      <c r="CI3" s="12" t="s">
        <v>826</v>
      </c>
      <c r="CJ3" s="12" t="s">
        <v>826</v>
      </c>
      <c r="CK3" s="12" t="s">
        <v>826</v>
      </c>
      <c r="CL3" s="12" t="s">
        <v>99</v>
      </c>
      <c r="CM3" s="12"/>
      <c r="CN3" s="12"/>
      <c r="CO3" s="12"/>
      <c r="CP3" s="12"/>
      <c r="CQ3" s="12"/>
      <c r="CR3" s="12"/>
      <c r="CS3" s="12"/>
      <c r="CT3" s="12"/>
      <c r="CU3" s="12"/>
      <c r="CV3" s="12"/>
      <c r="CW3" s="12"/>
      <c r="CX3" s="12"/>
      <c r="CY3" s="12"/>
      <c r="CZ3" s="12"/>
      <c r="DA3" s="12"/>
      <c r="DB3" s="12"/>
      <c r="DC3" s="12"/>
    </row>
    <row r="4">
      <c r="A4" s="12" t="s">
        <v>832</v>
      </c>
      <c r="B4" s="12" t="s">
        <v>96</v>
      </c>
      <c r="C4" s="12" t="s">
        <v>95</v>
      </c>
      <c r="D4" s="12" t="s">
        <v>833</v>
      </c>
      <c r="E4" s="12" t="s">
        <v>834</v>
      </c>
      <c r="F4" s="12"/>
      <c r="G4" s="12" t="s">
        <v>78</v>
      </c>
      <c r="H4" s="12" t="s">
        <v>80</v>
      </c>
      <c r="I4" s="12"/>
      <c r="J4" s="43">
        <f t="shared" ref="J4:J236" si="1">1/((1/L4)-(1/K4))</f>
        <v>-0.1747701172</v>
      </c>
      <c r="K4" s="43">
        <f t="shared" ref="K4:K236" si="2">BH4+(BI4*AN4)+(BJ4*AN4*POWER(V4,2))+(BK4*AN4*V4)+(BL4*POWER(AN4,2))</f>
        <v>2.90822672</v>
      </c>
      <c r="L4" s="43">
        <f t="shared" ref="L4:L236" si="3">((M4/1000)*(1000-((T4+S4)/2)))/(T4-S4)</f>
        <v>-0.1859444646</v>
      </c>
      <c r="M4" s="43">
        <f t="shared" ref="M4:M236" si="4">(AN4*(S4-R4))/(100*U4*(1000-S4))*1000</f>
        <v>-3.928270541</v>
      </c>
      <c r="N4" s="12" t="s">
        <v>835</v>
      </c>
      <c r="O4" s="12" t="s">
        <v>836</v>
      </c>
      <c r="P4" s="43">
        <f t="shared" ref="P4:P236" si="5">0.61365*EXP((17.502*AL4)/(240.97+AL4))</f>
        <v>3.378253823</v>
      </c>
      <c r="Q4" s="43">
        <f t="shared" ref="Q4:Q236" si="6">P4-N4</f>
        <v>2.022513823</v>
      </c>
      <c r="R4" s="12" t="s">
        <v>837</v>
      </c>
      <c r="S4" s="12" t="s">
        <v>838</v>
      </c>
      <c r="T4" s="43">
        <f t="shared" ref="T4:T236" si="7">(P4/AM4)*1000</f>
        <v>34.43683815</v>
      </c>
      <c r="U4" s="43">
        <f t="shared" ref="U4:U236" si="8">V4*BG4</f>
        <v>0.4417875</v>
      </c>
      <c r="V4" s="12" t="s">
        <v>839</v>
      </c>
      <c r="W4" s="12" t="s">
        <v>840</v>
      </c>
      <c r="X4" s="12" t="s">
        <v>841</v>
      </c>
      <c r="Y4" s="12" t="s">
        <v>841</v>
      </c>
      <c r="Z4" s="12" t="s">
        <v>841</v>
      </c>
      <c r="AA4" s="12" t="s">
        <v>842</v>
      </c>
      <c r="AB4" s="12" t="s">
        <v>843</v>
      </c>
      <c r="AC4" s="12" t="s">
        <v>844</v>
      </c>
      <c r="AD4" s="12" t="s">
        <v>845</v>
      </c>
      <c r="AE4" s="12" t="s">
        <v>846</v>
      </c>
      <c r="AF4" s="43">
        <f t="shared" ref="AF4:AF236" si="9">AC4*AD4*AE4*AQ4</f>
        <v>12.2104864</v>
      </c>
      <c r="AG4" s="12" t="s">
        <v>847</v>
      </c>
      <c r="AH4" s="12" t="s">
        <v>848</v>
      </c>
      <c r="AI4" s="12" t="s">
        <v>849</v>
      </c>
      <c r="AJ4" s="12" t="s">
        <v>850</v>
      </c>
      <c r="AK4" s="12" t="s">
        <v>851</v>
      </c>
      <c r="AL4" s="43">
        <f t="shared" ref="AL4:AL236" si="10">(AK4-AJ4)*(AJ4*0+0)+AK4</f>
        <v>26.02</v>
      </c>
      <c r="AM4" s="12" t="s">
        <v>852</v>
      </c>
      <c r="AN4" s="12" t="s">
        <v>853</v>
      </c>
      <c r="AO4" s="12" t="s">
        <v>854</v>
      </c>
      <c r="AP4" s="12" t="s">
        <v>855</v>
      </c>
      <c r="AQ4" s="12" t="s">
        <v>856</v>
      </c>
      <c r="AR4" s="12" t="s">
        <v>857</v>
      </c>
      <c r="AS4" s="12" t="s">
        <v>858</v>
      </c>
      <c r="AT4" s="12" t="s">
        <v>95</v>
      </c>
      <c r="AU4" s="12" t="s">
        <v>859</v>
      </c>
      <c r="AV4" s="12" t="s">
        <v>832</v>
      </c>
      <c r="AW4" s="12" t="s">
        <v>860</v>
      </c>
      <c r="AX4" s="12" t="s">
        <v>861</v>
      </c>
      <c r="AY4" s="12" t="s">
        <v>862</v>
      </c>
      <c r="AZ4" s="12" t="s">
        <v>863</v>
      </c>
      <c r="BA4" s="12" t="s">
        <v>864</v>
      </c>
      <c r="BB4" s="12" t="s">
        <v>865</v>
      </c>
      <c r="BC4" s="12" t="s">
        <v>866</v>
      </c>
      <c r="BD4" s="12" t="s">
        <v>867</v>
      </c>
      <c r="BE4" s="12" t="s">
        <v>868</v>
      </c>
      <c r="BF4" s="12" t="s">
        <v>869</v>
      </c>
      <c r="BG4" s="12" t="s">
        <v>870</v>
      </c>
      <c r="BH4" s="12" t="s">
        <v>841</v>
      </c>
      <c r="BI4" s="12" t="s">
        <v>871</v>
      </c>
      <c r="BJ4" s="12" t="s">
        <v>841</v>
      </c>
      <c r="BK4" s="12" t="s">
        <v>841</v>
      </c>
      <c r="BL4" s="12" t="s">
        <v>872</v>
      </c>
      <c r="BM4" s="12" t="s">
        <v>873</v>
      </c>
      <c r="BN4" s="12" t="s">
        <v>866</v>
      </c>
      <c r="BO4" s="12" t="s">
        <v>874</v>
      </c>
      <c r="BP4" s="12" t="s">
        <v>875</v>
      </c>
      <c r="BQ4" s="12" t="s">
        <v>876</v>
      </c>
      <c r="BR4" s="12" t="s">
        <v>869</v>
      </c>
      <c r="BS4" s="12" t="s">
        <v>869</v>
      </c>
      <c r="BT4" s="12" t="s">
        <v>877</v>
      </c>
      <c r="BU4" s="12" t="s">
        <v>877</v>
      </c>
      <c r="BV4" s="12" t="s">
        <v>877</v>
      </c>
      <c r="BW4" s="12" t="s">
        <v>841</v>
      </c>
      <c r="BX4" s="12" t="s">
        <v>878</v>
      </c>
      <c r="BY4" s="12" t="s">
        <v>841</v>
      </c>
      <c r="BZ4" s="12" t="s">
        <v>841</v>
      </c>
      <c r="CA4" s="12" t="s">
        <v>841</v>
      </c>
      <c r="CB4" s="12" t="s">
        <v>841</v>
      </c>
      <c r="CC4" s="12" t="s">
        <v>879</v>
      </c>
      <c r="CD4" s="12" t="s">
        <v>880</v>
      </c>
      <c r="CE4" s="12" t="s">
        <v>881</v>
      </c>
      <c r="CF4" s="12" t="s">
        <v>882</v>
      </c>
      <c r="CG4" s="12" t="s">
        <v>883</v>
      </c>
      <c r="CH4" s="12" t="s">
        <v>884</v>
      </c>
      <c r="CI4" s="12" t="s">
        <v>885</v>
      </c>
      <c r="CJ4" s="12" t="s">
        <v>886</v>
      </c>
      <c r="CK4" s="12" t="s">
        <v>842</v>
      </c>
      <c r="CL4" s="12" t="s">
        <v>887</v>
      </c>
      <c r="CM4" s="12" t="s">
        <v>888</v>
      </c>
      <c r="CN4" s="12" t="s">
        <v>841</v>
      </c>
      <c r="CO4" s="12" t="s">
        <v>847</v>
      </c>
      <c r="CP4" s="12" t="s">
        <v>889</v>
      </c>
      <c r="CQ4" s="12" t="s">
        <v>890</v>
      </c>
      <c r="CR4" s="12" t="s">
        <v>847</v>
      </c>
      <c r="CS4" s="12" t="s">
        <v>891</v>
      </c>
      <c r="CT4" s="12" t="s">
        <v>892</v>
      </c>
      <c r="CU4" s="12" t="s">
        <v>893</v>
      </c>
      <c r="CV4" s="12" t="s">
        <v>841</v>
      </c>
      <c r="CW4" s="12" t="s">
        <v>840</v>
      </c>
      <c r="CX4" s="12" t="s">
        <v>894</v>
      </c>
      <c r="CY4" s="12" t="s">
        <v>895</v>
      </c>
      <c r="CZ4" s="12" t="s">
        <v>896</v>
      </c>
      <c r="DA4" s="12" t="s">
        <v>897</v>
      </c>
      <c r="DB4" s="12" t="s">
        <v>898</v>
      </c>
      <c r="DC4" s="12" t="s">
        <v>899</v>
      </c>
    </row>
    <row r="5">
      <c r="A5" s="12" t="s">
        <v>900</v>
      </c>
      <c r="B5" s="12" t="s">
        <v>101</v>
      </c>
      <c r="C5" s="12" t="s">
        <v>95</v>
      </c>
      <c r="D5" s="12" t="s">
        <v>833</v>
      </c>
      <c r="E5" s="12" t="s">
        <v>834</v>
      </c>
      <c r="F5" s="12"/>
      <c r="G5" s="12" t="s">
        <v>78</v>
      </c>
      <c r="H5" s="12" t="s">
        <v>80</v>
      </c>
      <c r="I5" s="12"/>
      <c r="J5" s="43">
        <f t="shared" si="1"/>
        <v>-0.2144214994</v>
      </c>
      <c r="K5" s="43">
        <f t="shared" si="2"/>
        <v>2.90981592</v>
      </c>
      <c r="L5" s="43">
        <f t="shared" si="3"/>
        <v>-0.2314789582</v>
      </c>
      <c r="M5" s="43">
        <f t="shared" si="4"/>
        <v>-5.819926943</v>
      </c>
      <c r="N5" s="12" t="s">
        <v>901</v>
      </c>
      <c r="O5" s="12" t="s">
        <v>902</v>
      </c>
      <c r="P5" s="43">
        <f t="shared" si="5"/>
        <v>3.79483968</v>
      </c>
      <c r="Q5" s="43">
        <f t="shared" si="6"/>
        <v>2.40145568</v>
      </c>
      <c r="R5" s="12" t="s">
        <v>903</v>
      </c>
      <c r="S5" s="12" t="s">
        <v>904</v>
      </c>
      <c r="T5" s="43">
        <f t="shared" si="7"/>
        <v>38.67943818</v>
      </c>
      <c r="U5" s="43">
        <f t="shared" si="8"/>
        <v>0.4417875</v>
      </c>
      <c r="V5" s="12" t="s">
        <v>839</v>
      </c>
      <c r="W5" s="12" t="s">
        <v>905</v>
      </c>
      <c r="X5" s="12" t="s">
        <v>841</v>
      </c>
      <c r="Y5" s="12" t="s">
        <v>841</v>
      </c>
      <c r="Z5" s="12" t="s">
        <v>841</v>
      </c>
      <c r="AA5" s="12" t="s">
        <v>906</v>
      </c>
      <c r="AB5" s="12" t="s">
        <v>907</v>
      </c>
      <c r="AC5" s="12" t="s">
        <v>908</v>
      </c>
      <c r="AD5" s="12" t="s">
        <v>845</v>
      </c>
      <c r="AE5" s="12" t="s">
        <v>846</v>
      </c>
      <c r="AF5" s="43">
        <f t="shared" si="9"/>
        <v>9.3947732</v>
      </c>
      <c r="AG5" s="12" t="s">
        <v>847</v>
      </c>
      <c r="AH5" s="12" t="s">
        <v>909</v>
      </c>
      <c r="AI5" s="12" t="s">
        <v>910</v>
      </c>
      <c r="AJ5" s="12" t="s">
        <v>911</v>
      </c>
      <c r="AK5" s="12" t="s">
        <v>912</v>
      </c>
      <c r="AL5" s="43">
        <f t="shared" si="10"/>
        <v>28</v>
      </c>
      <c r="AM5" s="12" t="s">
        <v>913</v>
      </c>
      <c r="AN5" s="12" t="s">
        <v>914</v>
      </c>
      <c r="AO5" s="12" t="s">
        <v>915</v>
      </c>
      <c r="AP5" s="12" t="s">
        <v>916</v>
      </c>
      <c r="AQ5" s="12" t="s">
        <v>917</v>
      </c>
      <c r="AR5" s="12" t="s">
        <v>918</v>
      </c>
      <c r="AS5" s="12" t="s">
        <v>858</v>
      </c>
      <c r="AT5" s="12" t="s">
        <v>95</v>
      </c>
      <c r="AU5" s="12" t="s">
        <v>859</v>
      </c>
      <c r="AV5" s="12" t="s">
        <v>832</v>
      </c>
      <c r="AW5" s="12" t="s">
        <v>919</v>
      </c>
      <c r="AX5" s="12" t="s">
        <v>920</v>
      </c>
      <c r="AY5" s="12" t="s">
        <v>921</v>
      </c>
      <c r="AZ5" s="12" t="s">
        <v>922</v>
      </c>
      <c r="BA5" s="12" t="s">
        <v>923</v>
      </c>
      <c r="BB5" s="12" t="s">
        <v>924</v>
      </c>
      <c r="BC5" s="12" t="s">
        <v>866</v>
      </c>
      <c r="BD5" s="12" t="s">
        <v>867</v>
      </c>
      <c r="BE5" s="12" t="s">
        <v>868</v>
      </c>
      <c r="BF5" s="12" t="s">
        <v>869</v>
      </c>
      <c r="BG5" s="12" t="s">
        <v>870</v>
      </c>
      <c r="BH5" s="12" t="s">
        <v>841</v>
      </c>
      <c r="BI5" s="12" t="s">
        <v>871</v>
      </c>
      <c r="BJ5" s="12" t="s">
        <v>841</v>
      </c>
      <c r="BK5" s="12" t="s">
        <v>841</v>
      </c>
      <c r="BL5" s="12" t="s">
        <v>872</v>
      </c>
      <c r="BM5" s="12" t="s">
        <v>873</v>
      </c>
      <c r="BN5" s="12" t="s">
        <v>866</v>
      </c>
      <c r="BO5" s="12" t="s">
        <v>874</v>
      </c>
      <c r="BP5" s="12" t="s">
        <v>875</v>
      </c>
      <c r="BQ5" s="12" t="s">
        <v>876</v>
      </c>
      <c r="BR5" s="12" t="s">
        <v>869</v>
      </c>
      <c r="BS5" s="12" t="s">
        <v>869</v>
      </c>
      <c r="BT5" s="12" t="s">
        <v>877</v>
      </c>
      <c r="BU5" s="12" t="s">
        <v>877</v>
      </c>
      <c r="BV5" s="12" t="s">
        <v>877</v>
      </c>
      <c r="BW5" s="12" t="s">
        <v>841</v>
      </c>
      <c r="BX5" s="12" t="s">
        <v>878</v>
      </c>
      <c r="BY5" s="12" t="s">
        <v>841</v>
      </c>
      <c r="BZ5" s="12" t="s">
        <v>841</v>
      </c>
      <c r="CA5" s="12" t="s">
        <v>841</v>
      </c>
      <c r="CB5" s="12" t="s">
        <v>841</v>
      </c>
      <c r="CC5" s="12" t="s">
        <v>925</v>
      </c>
      <c r="CD5" s="12" t="s">
        <v>926</v>
      </c>
      <c r="CE5" s="12" t="s">
        <v>927</v>
      </c>
      <c r="CF5" s="12" t="s">
        <v>928</v>
      </c>
      <c r="CG5" s="12" t="s">
        <v>929</v>
      </c>
      <c r="CH5" s="12" t="s">
        <v>930</v>
      </c>
      <c r="CI5" s="12" t="s">
        <v>931</v>
      </c>
      <c r="CJ5" s="12" t="s">
        <v>932</v>
      </c>
      <c r="CK5" s="12" t="s">
        <v>906</v>
      </c>
      <c r="CL5" s="12" t="s">
        <v>933</v>
      </c>
      <c r="CM5" s="12" t="s">
        <v>888</v>
      </c>
      <c r="CN5" s="12" t="s">
        <v>841</v>
      </c>
      <c r="CO5" s="12" t="s">
        <v>847</v>
      </c>
      <c r="CP5" s="12" t="s">
        <v>889</v>
      </c>
      <c r="CQ5" s="12" t="s">
        <v>890</v>
      </c>
      <c r="CR5" s="12" t="s">
        <v>847</v>
      </c>
      <c r="CS5" s="12" t="s">
        <v>891</v>
      </c>
      <c r="CT5" s="12" t="s">
        <v>892</v>
      </c>
      <c r="CU5" s="12" t="s">
        <v>893</v>
      </c>
      <c r="CV5" s="12" t="s">
        <v>841</v>
      </c>
      <c r="CW5" s="12" t="s">
        <v>905</v>
      </c>
      <c r="CX5" s="12" t="s">
        <v>894</v>
      </c>
      <c r="CY5" s="12" t="s">
        <v>895</v>
      </c>
      <c r="CZ5" s="12" t="s">
        <v>896</v>
      </c>
      <c r="DA5" s="12" t="s">
        <v>897</v>
      </c>
      <c r="DB5" s="12" t="s">
        <v>898</v>
      </c>
      <c r="DC5" s="12" t="s">
        <v>899</v>
      </c>
    </row>
    <row r="6">
      <c r="A6" s="12" t="s">
        <v>934</v>
      </c>
      <c r="B6" s="12" t="s">
        <v>105</v>
      </c>
      <c r="C6" s="12" t="s">
        <v>95</v>
      </c>
      <c r="D6" s="12" t="s">
        <v>833</v>
      </c>
      <c r="E6" s="12" t="s">
        <v>834</v>
      </c>
      <c r="F6" s="12"/>
      <c r="G6" s="12" t="s">
        <v>78</v>
      </c>
      <c r="H6" s="12" t="s">
        <v>80</v>
      </c>
      <c r="I6" s="12"/>
      <c r="J6" s="43">
        <f t="shared" si="1"/>
        <v>-0.1130096984</v>
      </c>
      <c r="K6" s="43">
        <f t="shared" si="2"/>
        <v>2.90981592</v>
      </c>
      <c r="L6" s="43">
        <f t="shared" si="3"/>
        <v>-0.1175760469</v>
      </c>
      <c r="M6" s="43">
        <f t="shared" si="4"/>
        <v>-3.372604033</v>
      </c>
      <c r="N6" s="12" t="s">
        <v>935</v>
      </c>
      <c r="O6" s="12" t="s">
        <v>936</v>
      </c>
      <c r="P6" s="43">
        <f t="shared" si="5"/>
        <v>4.219024518</v>
      </c>
      <c r="Q6" s="43">
        <f t="shared" si="6"/>
        <v>2.732150518</v>
      </c>
      <c r="R6" s="12" t="s">
        <v>937</v>
      </c>
      <c r="S6" s="12" t="s">
        <v>938</v>
      </c>
      <c r="T6" s="43">
        <f t="shared" si="7"/>
        <v>43.0073855</v>
      </c>
      <c r="U6" s="43">
        <f t="shared" si="8"/>
        <v>0.4417875</v>
      </c>
      <c r="V6" s="12" t="s">
        <v>839</v>
      </c>
      <c r="W6" s="12" t="s">
        <v>939</v>
      </c>
      <c r="X6" s="12" t="s">
        <v>841</v>
      </c>
      <c r="Y6" s="12" t="s">
        <v>841</v>
      </c>
      <c r="Z6" s="12" t="s">
        <v>841</v>
      </c>
      <c r="AA6" s="12" t="s">
        <v>940</v>
      </c>
      <c r="AB6" s="12" t="s">
        <v>941</v>
      </c>
      <c r="AC6" s="12" t="s">
        <v>942</v>
      </c>
      <c r="AD6" s="12" t="s">
        <v>845</v>
      </c>
      <c r="AE6" s="12" t="s">
        <v>846</v>
      </c>
      <c r="AF6" s="43">
        <f t="shared" si="9"/>
        <v>14.0014128</v>
      </c>
      <c r="AG6" s="12" t="s">
        <v>847</v>
      </c>
      <c r="AH6" s="12" t="s">
        <v>943</v>
      </c>
      <c r="AI6" s="12" t="s">
        <v>944</v>
      </c>
      <c r="AJ6" s="12" t="s">
        <v>945</v>
      </c>
      <c r="AK6" s="12" t="s">
        <v>946</v>
      </c>
      <c r="AL6" s="43">
        <f t="shared" si="10"/>
        <v>29.83</v>
      </c>
      <c r="AM6" s="12" t="s">
        <v>852</v>
      </c>
      <c r="AN6" s="12" t="s">
        <v>914</v>
      </c>
      <c r="AO6" s="12" t="s">
        <v>947</v>
      </c>
      <c r="AP6" s="12" t="s">
        <v>948</v>
      </c>
      <c r="AQ6" s="12" t="s">
        <v>949</v>
      </c>
      <c r="AR6" s="12" t="s">
        <v>950</v>
      </c>
      <c r="AS6" s="12" t="s">
        <v>951</v>
      </c>
      <c r="AT6" s="12" t="s">
        <v>95</v>
      </c>
      <c r="AU6" s="12" t="s">
        <v>952</v>
      </c>
      <c r="AV6" s="12" t="s">
        <v>832</v>
      </c>
      <c r="AW6" s="12" t="s">
        <v>953</v>
      </c>
      <c r="AX6" s="12" t="s">
        <v>954</v>
      </c>
      <c r="AY6" s="12" t="s">
        <v>955</v>
      </c>
      <c r="AZ6" s="12" t="s">
        <v>956</v>
      </c>
      <c r="BA6" s="12" t="s">
        <v>957</v>
      </c>
      <c r="BB6" s="12" t="s">
        <v>958</v>
      </c>
      <c r="BC6" s="12" t="s">
        <v>866</v>
      </c>
      <c r="BD6" s="12" t="s">
        <v>867</v>
      </c>
      <c r="BE6" s="12" t="s">
        <v>868</v>
      </c>
      <c r="BF6" s="12" t="s">
        <v>869</v>
      </c>
      <c r="BG6" s="12" t="s">
        <v>870</v>
      </c>
      <c r="BH6" s="12" t="s">
        <v>841</v>
      </c>
      <c r="BI6" s="12" t="s">
        <v>871</v>
      </c>
      <c r="BJ6" s="12" t="s">
        <v>841</v>
      </c>
      <c r="BK6" s="12" t="s">
        <v>841</v>
      </c>
      <c r="BL6" s="12" t="s">
        <v>872</v>
      </c>
      <c r="BM6" s="12" t="s">
        <v>873</v>
      </c>
      <c r="BN6" s="12" t="s">
        <v>866</v>
      </c>
      <c r="BO6" s="12" t="s">
        <v>874</v>
      </c>
      <c r="BP6" s="12" t="s">
        <v>875</v>
      </c>
      <c r="BQ6" s="12" t="s">
        <v>876</v>
      </c>
      <c r="BR6" s="12" t="s">
        <v>869</v>
      </c>
      <c r="BS6" s="12" t="s">
        <v>869</v>
      </c>
      <c r="BT6" s="12" t="s">
        <v>877</v>
      </c>
      <c r="BU6" s="12" t="s">
        <v>877</v>
      </c>
      <c r="BV6" s="12" t="s">
        <v>877</v>
      </c>
      <c r="BW6" s="12" t="s">
        <v>841</v>
      </c>
      <c r="BX6" s="12" t="s">
        <v>878</v>
      </c>
      <c r="BY6" s="12" t="s">
        <v>841</v>
      </c>
      <c r="BZ6" s="12" t="s">
        <v>841</v>
      </c>
      <c r="CA6" s="12" t="s">
        <v>841</v>
      </c>
      <c r="CB6" s="12" t="s">
        <v>841</v>
      </c>
      <c r="CC6" s="12" t="s">
        <v>959</v>
      </c>
      <c r="CD6" s="12" t="s">
        <v>960</v>
      </c>
      <c r="CE6" s="12" t="s">
        <v>961</v>
      </c>
      <c r="CF6" s="12" t="s">
        <v>962</v>
      </c>
      <c r="CG6" s="12" t="s">
        <v>963</v>
      </c>
      <c r="CH6" s="12" t="s">
        <v>964</v>
      </c>
      <c r="CI6" s="12" t="s">
        <v>965</v>
      </c>
      <c r="CJ6" s="12" t="s">
        <v>966</v>
      </c>
      <c r="CK6" s="12" t="s">
        <v>940</v>
      </c>
      <c r="CL6" s="12" t="s">
        <v>967</v>
      </c>
      <c r="CM6" s="12" t="s">
        <v>888</v>
      </c>
      <c r="CN6" s="12" t="s">
        <v>841</v>
      </c>
      <c r="CO6" s="12" t="s">
        <v>847</v>
      </c>
      <c r="CP6" s="12" t="s">
        <v>889</v>
      </c>
      <c r="CQ6" s="12" t="s">
        <v>890</v>
      </c>
      <c r="CR6" s="12" t="s">
        <v>847</v>
      </c>
      <c r="CS6" s="12" t="s">
        <v>891</v>
      </c>
      <c r="CT6" s="12" t="s">
        <v>892</v>
      </c>
      <c r="CU6" s="12" t="s">
        <v>893</v>
      </c>
      <c r="CV6" s="12" t="s">
        <v>841</v>
      </c>
      <c r="CW6" s="12" t="s">
        <v>939</v>
      </c>
      <c r="CX6" s="12" t="s">
        <v>894</v>
      </c>
      <c r="CY6" s="12" t="s">
        <v>895</v>
      </c>
      <c r="CZ6" s="12" t="s">
        <v>896</v>
      </c>
      <c r="DA6" s="12" t="s">
        <v>897</v>
      </c>
      <c r="DB6" s="12" t="s">
        <v>898</v>
      </c>
      <c r="DC6" s="12" t="s">
        <v>899</v>
      </c>
    </row>
    <row r="7">
      <c r="A7" s="12" t="s">
        <v>968</v>
      </c>
      <c r="B7" s="12" t="s">
        <v>115</v>
      </c>
      <c r="C7" s="12" t="s">
        <v>95</v>
      </c>
      <c r="D7" s="12" t="s">
        <v>833</v>
      </c>
      <c r="E7" s="12" t="s">
        <v>834</v>
      </c>
      <c r="F7" s="12"/>
      <c r="G7" s="12" t="s">
        <v>78</v>
      </c>
      <c r="H7" s="12" t="s">
        <v>114</v>
      </c>
      <c r="I7" s="12"/>
      <c r="J7" s="43">
        <f t="shared" si="1"/>
        <v>-0.08412647184</v>
      </c>
      <c r="K7" s="43">
        <f t="shared" si="2"/>
        <v>2.90822672</v>
      </c>
      <c r="L7" s="43">
        <f t="shared" si="3"/>
        <v>-0.08663249593</v>
      </c>
      <c r="M7" s="43">
        <f t="shared" si="4"/>
        <v>-3.437771733</v>
      </c>
      <c r="N7" s="12" t="s">
        <v>969</v>
      </c>
      <c r="O7" s="12" t="s">
        <v>970</v>
      </c>
      <c r="P7" s="43">
        <f t="shared" si="5"/>
        <v>5.21326612</v>
      </c>
      <c r="Q7" s="43">
        <f t="shared" si="6"/>
        <v>3.76130412</v>
      </c>
      <c r="R7" s="12" t="s">
        <v>971</v>
      </c>
      <c r="S7" s="12" t="s">
        <v>972</v>
      </c>
      <c r="T7" s="43">
        <f t="shared" si="7"/>
        <v>53.13153404</v>
      </c>
      <c r="U7" s="43">
        <f t="shared" si="8"/>
        <v>0.4417875</v>
      </c>
      <c r="V7" s="12" t="s">
        <v>839</v>
      </c>
      <c r="W7" s="12" t="s">
        <v>973</v>
      </c>
      <c r="X7" s="12" t="s">
        <v>841</v>
      </c>
      <c r="Y7" s="12" t="s">
        <v>841</v>
      </c>
      <c r="Z7" s="12" t="s">
        <v>841</v>
      </c>
      <c r="AA7" s="12" t="s">
        <v>974</v>
      </c>
      <c r="AB7" s="12" t="s">
        <v>975</v>
      </c>
      <c r="AC7" s="12" t="s">
        <v>976</v>
      </c>
      <c r="AD7" s="12" t="s">
        <v>845</v>
      </c>
      <c r="AE7" s="12" t="s">
        <v>846</v>
      </c>
      <c r="AF7" s="43">
        <f t="shared" si="9"/>
        <v>49.9501824</v>
      </c>
      <c r="AG7" s="12" t="s">
        <v>847</v>
      </c>
      <c r="AH7" s="12" t="s">
        <v>977</v>
      </c>
      <c r="AI7" s="12" t="s">
        <v>978</v>
      </c>
      <c r="AJ7" s="12" t="s">
        <v>979</v>
      </c>
      <c r="AK7" s="12" t="s">
        <v>980</v>
      </c>
      <c r="AL7" s="43">
        <f t="shared" si="10"/>
        <v>33.56</v>
      </c>
      <c r="AM7" s="12" t="s">
        <v>981</v>
      </c>
      <c r="AN7" s="12" t="s">
        <v>853</v>
      </c>
      <c r="AO7" s="12" t="s">
        <v>982</v>
      </c>
      <c r="AP7" s="12" t="s">
        <v>983</v>
      </c>
      <c r="AQ7" s="12" t="s">
        <v>984</v>
      </c>
      <c r="AR7" s="12" t="s">
        <v>985</v>
      </c>
      <c r="AS7" s="12" t="s">
        <v>951</v>
      </c>
      <c r="AT7" s="12" t="s">
        <v>95</v>
      </c>
      <c r="AU7" s="12" t="s">
        <v>952</v>
      </c>
      <c r="AV7" s="12" t="s">
        <v>832</v>
      </c>
      <c r="AW7" s="12" t="s">
        <v>923</v>
      </c>
      <c r="AX7" s="12" t="s">
        <v>868</v>
      </c>
      <c r="AY7" s="12" t="s">
        <v>868</v>
      </c>
      <c r="AZ7" s="12" t="s">
        <v>986</v>
      </c>
      <c r="BA7" s="12" t="s">
        <v>868</v>
      </c>
      <c r="BB7" s="12" t="s">
        <v>868</v>
      </c>
      <c r="BC7" s="12" t="s">
        <v>866</v>
      </c>
      <c r="BD7" s="12" t="s">
        <v>867</v>
      </c>
      <c r="BE7" s="12" t="s">
        <v>868</v>
      </c>
      <c r="BF7" s="12" t="s">
        <v>869</v>
      </c>
      <c r="BG7" s="12" t="s">
        <v>870</v>
      </c>
      <c r="BH7" s="12" t="s">
        <v>841</v>
      </c>
      <c r="BI7" s="12" t="s">
        <v>871</v>
      </c>
      <c r="BJ7" s="12" t="s">
        <v>841</v>
      </c>
      <c r="BK7" s="12" t="s">
        <v>841</v>
      </c>
      <c r="BL7" s="12" t="s">
        <v>872</v>
      </c>
      <c r="BM7" s="12" t="s">
        <v>873</v>
      </c>
      <c r="BN7" s="12" t="s">
        <v>866</v>
      </c>
      <c r="BO7" s="12" t="s">
        <v>874</v>
      </c>
      <c r="BP7" s="12" t="s">
        <v>875</v>
      </c>
      <c r="BQ7" s="12" t="s">
        <v>876</v>
      </c>
      <c r="BR7" s="12" t="s">
        <v>869</v>
      </c>
      <c r="BS7" s="12" t="s">
        <v>869</v>
      </c>
      <c r="BT7" s="12" t="s">
        <v>877</v>
      </c>
      <c r="BU7" s="12" t="s">
        <v>877</v>
      </c>
      <c r="BV7" s="12" t="s">
        <v>877</v>
      </c>
      <c r="BW7" s="12" t="s">
        <v>841</v>
      </c>
      <c r="BX7" s="12" t="s">
        <v>878</v>
      </c>
      <c r="BY7" s="12" t="s">
        <v>841</v>
      </c>
      <c r="BZ7" s="12" t="s">
        <v>841</v>
      </c>
      <c r="CA7" s="12" t="s">
        <v>841</v>
      </c>
      <c r="CB7" s="12" t="s">
        <v>841</v>
      </c>
      <c r="CC7" s="12" t="s">
        <v>987</v>
      </c>
      <c r="CD7" s="12" t="s">
        <v>988</v>
      </c>
      <c r="CE7" s="12" t="s">
        <v>989</v>
      </c>
      <c r="CF7" s="12" t="s">
        <v>990</v>
      </c>
      <c r="CG7" s="12" t="s">
        <v>991</v>
      </c>
      <c r="CH7" s="12" t="s">
        <v>992</v>
      </c>
      <c r="CI7" s="12" t="s">
        <v>993</v>
      </c>
      <c r="CJ7" s="12" t="s">
        <v>994</v>
      </c>
      <c r="CK7" s="12" t="s">
        <v>995</v>
      </c>
      <c r="CL7" s="12" t="s">
        <v>996</v>
      </c>
      <c r="CM7" s="12" t="s">
        <v>888</v>
      </c>
      <c r="CN7" s="12" t="s">
        <v>841</v>
      </c>
      <c r="CO7" s="12" t="s">
        <v>847</v>
      </c>
      <c r="CP7" s="12" t="s">
        <v>889</v>
      </c>
      <c r="CQ7" s="12" t="s">
        <v>890</v>
      </c>
      <c r="CR7" s="12" t="s">
        <v>847</v>
      </c>
      <c r="CS7" s="12" t="s">
        <v>891</v>
      </c>
      <c r="CT7" s="12" t="s">
        <v>892</v>
      </c>
      <c r="CU7" s="12" t="s">
        <v>893</v>
      </c>
      <c r="CV7" s="12" t="s">
        <v>841</v>
      </c>
      <c r="CW7" s="12" t="s">
        <v>973</v>
      </c>
      <c r="CX7" s="12" t="s">
        <v>894</v>
      </c>
      <c r="CY7" s="12" t="s">
        <v>895</v>
      </c>
      <c r="CZ7" s="12" t="s">
        <v>896</v>
      </c>
      <c r="DA7" s="12" t="s">
        <v>897</v>
      </c>
      <c r="DB7" s="12" t="s">
        <v>898</v>
      </c>
      <c r="DC7" s="12" t="s">
        <v>899</v>
      </c>
    </row>
    <row r="8">
      <c r="A8" s="12" t="s">
        <v>997</v>
      </c>
      <c r="B8" s="12" t="s">
        <v>130</v>
      </c>
      <c r="C8" s="12" t="s">
        <v>95</v>
      </c>
      <c r="D8" s="12" t="s">
        <v>833</v>
      </c>
      <c r="E8" s="12" t="s">
        <v>834</v>
      </c>
      <c r="F8" s="12"/>
      <c r="G8" s="12" t="s">
        <v>78</v>
      </c>
      <c r="H8" s="12" t="s">
        <v>114</v>
      </c>
      <c r="I8" s="12"/>
      <c r="J8" s="43">
        <f t="shared" si="1"/>
        <v>-0.03951435349</v>
      </c>
      <c r="K8" s="43">
        <f t="shared" si="2"/>
        <v>2.90743008</v>
      </c>
      <c r="L8" s="43">
        <f t="shared" si="3"/>
        <v>-0.04005878516</v>
      </c>
      <c r="M8" s="43">
        <f t="shared" si="4"/>
        <v>-1.422164322</v>
      </c>
      <c r="N8" s="12" t="s">
        <v>998</v>
      </c>
      <c r="O8" s="12" t="s">
        <v>999</v>
      </c>
      <c r="P8" s="43">
        <f t="shared" si="5"/>
        <v>4.998421819</v>
      </c>
      <c r="Q8" s="43">
        <f t="shared" si="6"/>
        <v>3.365699819</v>
      </c>
      <c r="R8" s="12" t="s">
        <v>1000</v>
      </c>
      <c r="S8" s="12" t="s">
        <v>1001</v>
      </c>
      <c r="T8" s="43">
        <f t="shared" si="7"/>
        <v>50.9419264</v>
      </c>
      <c r="U8" s="43">
        <f t="shared" si="8"/>
        <v>0.4417875</v>
      </c>
      <c r="V8" s="12" t="s">
        <v>839</v>
      </c>
      <c r="W8" s="12" t="s">
        <v>1002</v>
      </c>
      <c r="X8" s="12" t="s">
        <v>841</v>
      </c>
      <c r="Y8" s="12" t="s">
        <v>841</v>
      </c>
      <c r="Z8" s="12" t="s">
        <v>841</v>
      </c>
      <c r="AA8" s="12" t="s">
        <v>1003</v>
      </c>
      <c r="AB8" s="12" t="s">
        <v>1004</v>
      </c>
      <c r="AC8" s="12" t="s">
        <v>1005</v>
      </c>
      <c r="AD8" s="12" t="s">
        <v>845</v>
      </c>
      <c r="AE8" s="12" t="s">
        <v>846</v>
      </c>
      <c r="AF8" s="43">
        <f t="shared" si="9"/>
        <v>73.1302264</v>
      </c>
      <c r="AG8" s="12" t="s">
        <v>847</v>
      </c>
      <c r="AH8" s="12" t="s">
        <v>1006</v>
      </c>
      <c r="AI8" s="12" t="s">
        <v>1007</v>
      </c>
      <c r="AJ8" s="12" t="s">
        <v>1008</v>
      </c>
      <c r="AK8" s="12" t="s">
        <v>1008</v>
      </c>
      <c r="AL8" s="43">
        <f t="shared" si="10"/>
        <v>32.81</v>
      </c>
      <c r="AM8" s="12" t="s">
        <v>981</v>
      </c>
      <c r="AN8" s="12" t="s">
        <v>1009</v>
      </c>
      <c r="AO8" s="12" t="s">
        <v>1010</v>
      </c>
      <c r="AP8" s="12" t="s">
        <v>1011</v>
      </c>
      <c r="AQ8" s="12" t="s">
        <v>1012</v>
      </c>
      <c r="AR8" s="12" t="s">
        <v>1013</v>
      </c>
      <c r="AS8" s="12" t="s">
        <v>951</v>
      </c>
      <c r="AT8" s="12" t="s">
        <v>95</v>
      </c>
      <c r="AU8" s="12" t="s">
        <v>952</v>
      </c>
      <c r="AV8" s="12" t="s">
        <v>832</v>
      </c>
      <c r="AW8" s="12" t="s">
        <v>1014</v>
      </c>
      <c r="AX8" s="12" t="s">
        <v>1015</v>
      </c>
      <c r="AY8" s="12" t="s">
        <v>1016</v>
      </c>
      <c r="AZ8" s="12" t="s">
        <v>1017</v>
      </c>
      <c r="BA8" s="12" t="s">
        <v>1018</v>
      </c>
      <c r="BB8" s="12" t="s">
        <v>1019</v>
      </c>
      <c r="BC8" s="12" t="s">
        <v>866</v>
      </c>
      <c r="BD8" s="12" t="s">
        <v>867</v>
      </c>
      <c r="BE8" s="12" t="s">
        <v>868</v>
      </c>
      <c r="BF8" s="12" t="s">
        <v>869</v>
      </c>
      <c r="BG8" s="12" t="s">
        <v>870</v>
      </c>
      <c r="BH8" s="12" t="s">
        <v>841</v>
      </c>
      <c r="BI8" s="12" t="s">
        <v>871</v>
      </c>
      <c r="BJ8" s="12" t="s">
        <v>841</v>
      </c>
      <c r="BK8" s="12" t="s">
        <v>841</v>
      </c>
      <c r="BL8" s="12" t="s">
        <v>872</v>
      </c>
      <c r="BM8" s="12" t="s">
        <v>873</v>
      </c>
      <c r="BN8" s="12" t="s">
        <v>866</v>
      </c>
      <c r="BO8" s="12" t="s">
        <v>874</v>
      </c>
      <c r="BP8" s="12" t="s">
        <v>875</v>
      </c>
      <c r="BQ8" s="12" t="s">
        <v>876</v>
      </c>
      <c r="BR8" s="12" t="s">
        <v>869</v>
      </c>
      <c r="BS8" s="12" t="s">
        <v>869</v>
      </c>
      <c r="BT8" s="12" t="s">
        <v>877</v>
      </c>
      <c r="BU8" s="12" t="s">
        <v>877</v>
      </c>
      <c r="BV8" s="12" t="s">
        <v>877</v>
      </c>
      <c r="BW8" s="12" t="s">
        <v>841</v>
      </c>
      <c r="BX8" s="12" t="s">
        <v>878</v>
      </c>
      <c r="BY8" s="12" t="s">
        <v>841</v>
      </c>
      <c r="BZ8" s="12" t="s">
        <v>841</v>
      </c>
      <c r="CA8" s="12" t="s">
        <v>841</v>
      </c>
      <c r="CB8" s="12" t="s">
        <v>841</v>
      </c>
      <c r="CC8" s="12" t="s">
        <v>1020</v>
      </c>
      <c r="CD8" s="12" t="s">
        <v>1021</v>
      </c>
      <c r="CE8" s="12" t="s">
        <v>1022</v>
      </c>
      <c r="CF8" s="12" t="s">
        <v>1023</v>
      </c>
      <c r="CG8" s="12" t="s">
        <v>1024</v>
      </c>
      <c r="CH8" s="12" t="s">
        <v>1025</v>
      </c>
      <c r="CI8" s="12" t="s">
        <v>1026</v>
      </c>
      <c r="CJ8" s="12" t="s">
        <v>1027</v>
      </c>
      <c r="CK8" s="12" t="s">
        <v>1003</v>
      </c>
      <c r="CL8" s="12" t="s">
        <v>1028</v>
      </c>
      <c r="CM8" s="12" t="s">
        <v>888</v>
      </c>
      <c r="CN8" s="12" t="s">
        <v>841</v>
      </c>
      <c r="CO8" s="12" t="s">
        <v>847</v>
      </c>
      <c r="CP8" s="12" t="s">
        <v>889</v>
      </c>
      <c r="CQ8" s="12" t="s">
        <v>890</v>
      </c>
      <c r="CR8" s="12" t="s">
        <v>847</v>
      </c>
      <c r="CS8" s="12" t="s">
        <v>891</v>
      </c>
      <c r="CT8" s="12" t="s">
        <v>892</v>
      </c>
      <c r="CU8" s="12" t="s">
        <v>893</v>
      </c>
      <c r="CV8" s="12" t="s">
        <v>841</v>
      </c>
      <c r="CW8" s="12" t="s">
        <v>1002</v>
      </c>
      <c r="CX8" s="12" t="s">
        <v>894</v>
      </c>
      <c r="CY8" s="12" t="s">
        <v>895</v>
      </c>
      <c r="CZ8" s="12" t="s">
        <v>896</v>
      </c>
      <c r="DA8" s="12" t="s">
        <v>897</v>
      </c>
      <c r="DB8" s="12" t="s">
        <v>898</v>
      </c>
      <c r="DC8" s="12" t="s">
        <v>899</v>
      </c>
    </row>
    <row r="9">
      <c r="A9" s="12" t="s">
        <v>1029</v>
      </c>
      <c r="B9" s="12" t="s">
        <v>138</v>
      </c>
      <c r="C9" s="12" t="s">
        <v>95</v>
      </c>
      <c r="D9" s="12" t="s">
        <v>833</v>
      </c>
      <c r="E9" s="12" t="s">
        <v>834</v>
      </c>
      <c r="F9" s="12"/>
      <c r="G9" s="12" t="s">
        <v>78</v>
      </c>
      <c r="H9" s="12" t="s">
        <v>114</v>
      </c>
      <c r="I9" s="12"/>
      <c r="J9" s="43">
        <f t="shared" si="1"/>
        <v>-0.08998826654</v>
      </c>
      <c r="K9" s="43">
        <f t="shared" si="2"/>
        <v>2.90981592</v>
      </c>
      <c r="L9" s="43">
        <f t="shared" si="3"/>
        <v>-0.09286003358</v>
      </c>
      <c r="M9" s="43">
        <f t="shared" si="4"/>
        <v>-4.503955042</v>
      </c>
      <c r="N9" s="12" t="s">
        <v>1030</v>
      </c>
      <c r="O9" s="12" t="s">
        <v>1031</v>
      </c>
      <c r="P9" s="43">
        <f t="shared" si="5"/>
        <v>6.128117138</v>
      </c>
      <c r="Q9" s="43">
        <f t="shared" si="6"/>
        <v>4.573283138</v>
      </c>
      <c r="R9" s="12" t="s">
        <v>1032</v>
      </c>
      <c r="S9" s="12" t="s">
        <v>1033</v>
      </c>
      <c r="T9" s="43">
        <f t="shared" si="7"/>
        <v>62.44896706</v>
      </c>
      <c r="U9" s="43">
        <f t="shared" si="8"/>
        <v>0.4417875</v>
      </c>
      <c r="V9" s="12" t="s">
        <v>839</v>
      </c>
      <c r="W9" s="12" t="s">
        <v>1034</v>
      </c>
      <c r="X9" s="12" t="s">
        <v>841</v>
      </c>
      <c r="Y9" s="12" t="s">
        <v>841</v>
      </c>
      <c r="Z9" s="12" t="s">
        <v>841</v>
      </c>
      <c r="AA9" s="12" t="s">
        <v>1035</v>
      </c>
      <c r="AB9" s="12" t="s">
        <v>1036</v>
      </c>
      <c r="AC9" s="12" t="s">
        <v>1037</v>
      </c>
      <c r="AD9" s="12" t="s">
        <v>845</v>
      </c>
      <c r="AE9" s="12" t="s">
        <v>846</v>
      </c>
      <c r="AF9" s="43">
        <f t="shared" si="9"/>
        <v>18.130156</v>
      </c>
      <c r="AG9" s="12" t="s">
        <v>847</v>
      </c>
      <c r="AH9" s="12" t="s">
        <v>1038</v>
      </c>
      <c r="AI9" s="12" t="s">
        <v>1039</v>
      </c>
      <c r="AJ9" s="12" t="s">
        <v>1040</v>
      </c>
      <c r="AK9" s="12" t="s">
        <v>1041</v>
      </c>
      <c r="AL9" s="43">
        <f t="shared" si="10"/>
        <v>36.48</v>
      </c>
      <c r="AM9" s="12" t="s">
        <v>1042</v>
      </c>
      <c r="AN9" s="12" t="s">
        <v>914</v>
      </c>
      <c r="AO9" s="12" t="s">
        <v>1043</v>
      </c>
      <c r="AP9" s="12" t="s">
        <v>1044</v>
      </c>
      <c r="AQ9" s="12" t="s">
        <v>1045</v>
      </c>
      <c r="AR9" s="12" t="s">
        <v>1046</v>
      </c>
      <c r="AS9" s="12" t="s">
        <v>951</v>
      </c>
      <c r="AT9" s="12" t="s">
        <v>95</v>
      </c>
      <c r="AU9" s="12" t="s">
        <v>952</v>
      </c>
      <c r="AV9" s="12" t="s">
        <v>832</v>
      </c>
      <c r="AW9" s="12" t="s">
        <v>1047</v>
      </c>
      <c r="AX9" s="12" t="s">
        <v>868</v>
      </c>
      <c r="AY9" s="12" t="s">
        <v>868</v>
      </c>
      <c r="AZ9" s="12" t="s">
        <v>1048</v>
      </c>
      <c r="BA9" s="12" t="s">
        <v>868</v>
      </c>
      <c r="BB9" s="12" t="s">
        <v>868</v>
      </c>
      <c r="BC9" s="12" t="s">
        <v>866</v>
      </c>
      <c r="BD9" s="12" t="s">
        <v>867</v>
      </c>
      <c r="BE9" s="12" t="s">
        <v>868</v>
      </c>
      <c r="BF9" s="12" t="s">
        <v>869</v>
      </c>
      <c r="BG9" s="12" t="s">
        <v>870</v>
      </c>
      <c r="BH9" s="12" t="s">
        <v>841</v>
      </c>
      <c r="BI9" s="12" t="s">
        <v>871</v>
      </c>
      <c r="BJ9" s="12" t="s">
        <v>841</v>
      </c>
      <c r="BK9" s="12" t="s">
        <v>841</v>
      </c>
      <c r="BL9" s="12" t="s">
        <v>872</v>
      </c>
      <c r="BM9" s="12" t="s">
        <v>873</v>
      </c>
      <c r="BN9" s="12" t="s">
        <v>866</v>
      </c>
      <c r="BO9" s="12" t="s">
        <v>874</v>
      </c>
      <c r="BP9" s="12" t="s">
        <v>875</v>
      </c>
      <c r="BQ9" s="12" t="s">
        <v>876</v>
      </c>
      <c r="BR9" s="12" t="s">
        <v>869</v>
      </c>
      <c r="BS9" s="12" t="s">
        <v>869</v>
      </c>
      <c r="BT9" s="12" t="s">
        <v>877</v>
      </c>
      <c r="BU9" s="12" t="s">
        <v>877</v>
      </c>
      <c r="BV9" s="12" t="s">
        <v>877</v>
      </c>
      <c r="BW9" s="12" t="s">
        <v>841</v>
      </c>
      <c r="BX9" s="12" t="s">
        <v>878</v>
      </c>
      <c r="BY9" s="12" t="s">
        <v>841</v>
      </c>
      <c r="BZ9" s="12" t="s">
        <v>841</v>
      </c>
      <c r="CA9" s="12" t="s">
        <v>841</v>
      </c>
      <c r="CB9" s="12" t="s">
        <v>841</v>
      </c>
      <c r="CC9" s="12" t="s">
        <v>1049</v>
      </c>
      <c r="CD9" s="12" t="s">
        <v>1050</v>
      </c>
      <c r="CE9" s="12" t="s">
        <v>1051</v>
      </c>
      <c r="CF9" s="12" t="s">
        <v>1052</v>
      </c>
      <c r="CG9" s="12" t="s">
        <v>1053</v>
      </c>
      <c r="CH9" s="12" t="s">
        <v>1054</v>
      </c>
      <c r="CI9" s="12" t="s">
        <v>1055</v>
      </c>
      <c r="CJ9" s="12" t="s">
        <v>1056</v>
      </c>
      <c r="CK9" s="12" t="s">
        <v>1035</v>
      </c>
      <c r="CL9" s="12" t="s">
        <v>1057</v>
      </c>
      <c r="CM9" s="12" t="s">
        <v>888</v>
      </c>
      <c r="CN9" s="12" t="s">
        <v>841</v>
      </c>
      <c r="CO9" s="12" t="s">
        <v>847</v>
      </c>
      <c r="CP9" s="12" t="s">
        <v>889</v>
      </c>
      <c r="CQ9" s="12" t="s">
        <v>890</v>
      </c>
      <c r="CR9" s="12" t="s">
        <v>847</v>
      </c>
      <c r="CS9" s="12" t="s">
        <v>891</v>
      </c>
      <c r="CT9" s="12" t="s">
        <v>892</v>
      </c>
      <c r="CU9" s="12" t="s">
        <v>893</v>
      </c>
      <c r="CV9" s="12" t="s">
        <v>841</v>
      </c>
      <c r="CW9" s="12" t="s">
        <v>1034</v>
      </c>
      <c r="CX9" s="12" t="s">
        <v>894</v>
      </c>
      <c r="CY9" s="12" t="s">
        <v>895</v>
      </c>
      <c r="CZ9" s="12" t="s">
        <v>896</v>
      </c>
      <c r="DA9" s="12" t="s">
        <v>897</v>
      </c>
      <c r="DB9" s="12" t="s">
        <v>898</v>
      </c>
      <c r="DC9" s="12" t="s">
        <v>899</v>
      </c>
    </row>
    <row r="10">
      <c r="A10" s="12" t="s">
        <v>1058</v>
      </c>
      <c r="B10" s="12" t="s">
        <v>153</v>
      </c>
      <c r="C10" s="12" t="s">
        <v>95</v>
      </c>
      <c r="D10" s="12" t="s">
        <v>833</v>
      </c>
      <c r="E10" s="12" t="s">
        <v>834</v>
      </c>
      <c r="F10" s="12"/>
      <c r="G10" s="12" t="s">
        <v>78</v>
      </c>
      <c r="H10" s="12" t="s">
        <v>152</v>
      </c>
      <c r="I10" s="12"/>
      <c r="J10" s="43">
        <f t="shared" si="1"/>
        <v>-0.03704179251</v>
      </c>
      <c r="K10" s="43">
        <f t="shared" si="2"/>
        <v>2.909022</v>
      </c>
      <c r="L10" s="43">
        <f t="shared" si="3"/>
        <v>-0.03751954455</v>
      </c>
      <c r="M10" s="43">
        <f t="shared" si="4"/>
        <v>-1.725698596</v>
      </c>
      <c r="N10" s="12" t="s">
        <v>1059</v>
      </c>
      <c r="O10" s="12" t="s">
        <v>1060</v>
      </c>
      <c r="P10" s="43">
        <f t="shared" si="5"/>
        <v>5.81627853</v>
      </c>
      <c r="Q10" s="43">
        <f t="shared" si="6"/>
        <v>4.34631153</v>
      </c>
      <c r="R10" s="12" t="s">
        <v>1061</v>
      </c>
      <c r="S10" s="12" t="s">
        <v>1062</v>
      </c>
      <c r="T10" s="43">
        <f t="shared" si="7"/>
        <v>59.26511647</v>
      </c>
      <c r="U10" s="43">
        <f t="shared" si="8"/>
        <v>0.4417875</v>
      </c>
      <c r="V10" s="12" t="s">
        <v>839</v>
      </c>
      <c r="W10" s="12" t="s">
        <v>1063</v>
      </c>
      <c r="X10" s="12" t="s">
        <v>841</v>
      </c>
      <c r="Y10" s="12" t="s">
        <v>841</v>
      </c>
      <c r="Z10" s="12" t="s">
        <v>841</v>
      </c>
      <c r="AA10" s="12" t="s">
        <v>1064</v>
      </c>
      <c r="AB10" s="12" t="s">
        <v>1065</v>
      </c>
      <c r="AC10" s="12" t="s">
        <v>1066</v>
      </c>
      <c r="AD10" s="12" t="s">
        <v>845</v>
      </c>
      <c r="AE10" s="12" t="s">
        <v>846</v>
      </c>
      <c r="AF10" s="43">
        <f t="shared" si="9"/>
        <v>419.518736</v>
      </c>
      <c r="AG10" s="12" t="s">
        <v>847</v>
      </c>
      <c r="AH10" s="12" t="s">
        <v>1067</v>
      </c>
      <c r="AI10" s="12" t="s">
        <v>1068</v>
      </c>
      <c r="AJ10" s="12" t="s">
        <v>1069</v>
      </c>
      <c r="AK10" s="12" t="s">
        <v>1070</v>
      </c>
      <c r="AL10" s="43">
        <f t="shared" si="10"/>
        <v>35.53</v>
      </c>
      <c r="AM10" s="12" t="s">
        <v>1071</v>
      </c>
      <c r="AN10" s="12" t="s">
        <v>1072</v>
      </c>
      <c r="AO10" s="12" t="s">
        <v>1073</v>
      </c>
      <c r="AP10" s="12" t="s">
        <v>1074</v>
      </c>
      <c r="AQ10" s="12" t="s">
        <v>1075</v>
      </c>
      <c r="AR10" s="12" t="s">
        <v>1076</v>
      </c>
      <c r="AS10" s="12" t="s">
        <v>1077</v>
      </c>
      <c r="AT10" s="12" t="s">
        <v>95</v>
      </c>
      <c r="AU10" s="12" t="s">
        <v>1078</v>
      </c>
      <c r="AV10" s="12" t="s">
        <v>832</v>
      </c>
      <c r="AW10" s="12" t="s">
        <v>1079</v>
      </c>
      <c r="AX10" s="12" t="s">
        <v>1080</v>
      </c>
      <c r="AY10" s="12" t="s">
        <v>1081</v>
      </c>
      <c r="AZ10" s="12" t="s">
        <v>1082</v>
      </c>
      <c r="BA10" s="12" t="s">
        <v>1083</v>
      </c>
      <c r="BB10" s="12" t="s">
        <v>1084</v>
      </c>
      <c r="BC10" s="12" t="s">
        <v>866</v>
      </c>
      <c r="BD10" s="12" t="s">
        <v>867</v>
      </c>
      <c r="BE10" s="12" t="s">
        <v>868</v>
      </c>
      <c r="BF10" s="12" t="s">
        <v>869</v>
      </c>
      <c r="BG10" s="12" t="s">
        <v>870</v>
      </c>
      <c r="BH10" s="12" t="s">
        <v>841</v>
      </c>
      <c r="BI10" s="12" t="s">
        <v>871</v>
      </c>
      <c r="BJ10" s="12" t="s">
        <v>841</v>
      </c>
      <c r="BK10" s="12" t="s">
        <v>841</v>
      </c>
      <c r="BL10" s="12" t="s">
        <v>872</v>
      </c>
      <c r="BM10" s="12" t="s">
        <v>873</v>
      </c>
      <c r="BN10" s="12" t="s">
        <v>866</v>
      </c>
      <c r="BO10" s="12" t="s">
        <v>874</v>
      </c>
      <c r="BP10" s="12" t="s">
        <v>875</v>
      </c>
      <c r="BQ10" s="12" t="s">
        <v>876</v>
      </c>
      <c r="BR10" s="12" t="s">
        <v>869</v>
      </c>
      <c r="BS10" s="12" t="s">
        <v>869</v>
      </c>
      <c r="BT10" s="12" t="s">
        <v>877</v>
      </c>
      <c r="BU10" s="12" t="s">
        <v>877</v>
      </c>
      <c r="BV10" s="12" t="s">
        <v>877</v>
      </c>
      <c r="BW10" s="12" t="s">
        <v>841</v>
      </c>
      <c r="BX10" s="12" t="s">
        <v>878</v>
      </c>
      <c r="BY10" s="12" t="s">
        <v>841</v>
      </c>
      <c r="BZ10" s="12" t="s">
        <v>841</v>
      </c>
      <c r="CA10" s="12" t="s">
        <v>841</v>
      </c>
      <c r="CB10" s="12" t="s">
        <v>841</v>
      </c>
      <c r="CC10" s="12" t="s">
        <v>1085</v>
      </c>
      <c r="CD10" s="12" t="s">
        <v>1086</v>
      </c>
      <c r="CE10" s="12" t="s">
        <v>1087</v>
      </c>
      <c r="CF10" s="12" t="s">
        <v>1088</v>
      </c>
      <c r="CG10" s="12" t="s">
        <v>1089</v>
      </c>
      <c r="CH10" s="12" t="s">
        <v>1090</v>
      </c>
      <c r="CI10" s="12" t="s">
        <v>1091</v>
      </c>
      <c r="CJ10" s="12" t="s">
        <v>1092</v>
      </c>
      <c r="CK10" s="12" t="s">
        <v>1064</v>
      </c>
      <c r="CL10" s="12" t="s">
        <v>1093</v>
      </c>
      <c r="CM10" s="12" t="s">
        <v>888</v>
      </c>
      <c r="CN10" s="12" t="s">
        <v>841</v>
      </c>
      <c r="CO10" s="12" t="s">
        <v>847</v>
      </c>
      <c r="CP10" s="12" t="s">
        <v>889</v>
      </c>
      <c r="CQ10" s="12" t="s">
        <v>890</v>
      </c>
      <c r="CR10" s="12" t="s">
        <v>847</v>
      </c>
      <c r="CS10" s="12" t="s">
        <v>891</v>
      </c>
      <c r="CT10" s="12" t="s">
        <v>892</v>
      </c>
      <c r="CU10" s="12" t="s">
        <v>893</v>
      </c>
      <c r="CV10" s="12" t="s">
        <v>841</v>
      </c>
      <c r="CW10" s="12" t="s">
        <v>1063</v>
      </c>
      <c r="CX10" s="12" t="s">
        <v>894</v>
      </c>
      <c r="CY10" s="12" t="s">
        <v>895</v>
      </c>
      <c r="CZ10" s="12" t="s">
        <v>896</v>
      </c>
      <c r="DA10" s="12" t="s">
        <v>897</v>
      </c>
      <c r="DB10" s="12" t="s">
        <v>898</v>
      </c>
      <c r="DC10" s="12" t="s">
        <v>899</v>
      </c>
    </row>
    <row r="11">
      <c r="A11" s="12" t="s">
        <v>1094</v>
      </c>
      <c r="B11" s="12" t="s">
        <v>162</v>
      </c>
      <c r="C11" s="12" t="s">
        <v>95</v>
      </c>
      <c r="D11" s="12" t="s">
        <v>833</v>
      </c>
      <c r="E11" s="12" t="s">
        <v>834</v>
      </c>
      <c r="F11" s="12"/>
      <c r="G11" s="12" t="s">
        <v>78</v>
      </c>
      <c r="H11" s="12" t="s">
        <v>152</v>
      </c>
      <c r="I11" s="12"/>
      <c r="J11" s="43">
        <f t="shared" si="1"/>
        <v>-0.01513360797</v>
      </c>
      <c r="K11" s="43">
        <f t="shared" si="2"/>
        <v>2.90981592</v>
      </c>
      <c r="L11" s="43">
        <f t="shared" si="3"/>
        <v>-0.01521272756</v>
      </c>
      <c r="M11" s="43">
        <f t="shared" si="4"/>
        <v>-0.7014212261</v>
      </c>
      <c r="N11" s="12" t="s">
        <v>1095</v>
      </c>
      <c r="O11" s="12" t="s">
        <v>1096</v>
      </c>
      <c r="P11" s="43">
        <f t="shared" si="5"/>
        <v>5.945856495</v>
      </c>
      <c r="Q11" s="43">
        <f t="shared" si="6"/>
        <v>4.351227495</v>
      </c>
      <c r="R11" s="12" t="s">
        <v>1097</v>
      </c>
      <c r="S11" s="12" t="s">
        <v>1098</v>
      </c>
      <c r="T11" s="43">
        <f t="shared" si="7"/>
        <v>60.5854544</v>
      </c>
      <c r="U11" s="43">
        <f t="shared" si="8"/>
        <v>0.4417875</v>
      </c>
      <c r="V11" s="12" t="s">
        <v>839</v>
      </c>
      <c r="W11" s="12" t="s">
        <v>1099</v>
      </c>
      <c r="X11" s="12" t="s">
        <v>841</v>
      </c>
      <c r="Y11" s="12" t="s">
        <v>841</v>
      </c>
      <c r="Z11" s="12" t="s">
        <v>841</v>
      </c>
      <c r="AA11" s="12" t="s">
        <v>1100</v>
      </c>
      <c r="AB11" s="12" t="s">
        <v>1101</v>
      </c>
      <c r="AC11" s="12" t="s">
        <v>1102</v>
      </c>
      <c r="AD11" s="12" t="s">
        <v>845</v>
      </c>
      <c r="AE11" s="12" t="s">
        <v>846</v>
      </c>
      <c r="AF11" s="43">
        <f t="shared" si="9"/>
        <v>111.5360544</v>
      </c>
      <c r="AG11" s="12" t="s">
        <v>847</v>
      </c>
      <c r="AH11" s="12" t="s">
        <v>1103</v>
      </c>
      <c r="AI11" s="12" t="s">
        <v>1104</v>
      </c>
      <c r="AJ11" s="12" t="s">
        <v>1105</v>
      </c>
      <c r="AK11" s="12" t="s">
        <v>1106</v>
      </c>
      <c r="AL11" s="43">
        <f t="shared" si="10"/>
        <v>35.93</v>
      </c>
      <c r="AM11" s="12" t="s">
        <v>1071</v>
      </c>
      <c r="AN11" s="12" t="s">
        <v>914</v>
      </c>
      <c r="AO11" s="12" t="s">
        <v>1107</v>
      </c>
      <c r="AP11" s="12" t="s">
        <v>1108</v>
      </c>
      <c r="AQ11" s="12" t="s">
        <v>1109</v>
      </c>
      <c r="AR11" s="12" t="s">
        <v>1076</v>
      </c>
      <c r="AS11" s="12" t="s">
        <v>1077</v>
      </c>
      <c r="AT11" s="12" t="s">
        <v>95</v>
      </c>
      <c r="AU11" s="12" t="s">
        <v>1078</v>
      </c>
      <c r="AV11" s="12" t="s">
        <v>832</v>
      </c>
      <c r="AW11" s="12" t="s">
        <v>860</v>
      </c>
      <c r="AX11" s="12" t="s">
        <v>868</v>
      </c>
      <c r="AY11" s="12" t="s">
        <v>868</v>
      </c>
      <c r="AZ11" s="12" t="s">
        <v>1110</v>
      </c>
      <c r="BA11" s="12" t="s">
        <v>868</v>
      </c>
      <c r="BB11" s="12" t="s">
        <v>868</v>
      </c>
      <c r="BC11" s="12" t="s">
        <v>866</v>
      </c>
      <c r="BD11" s="12" t="s">
        <v>867</v>
      </c>
      <c r="BE11" s="12" t="s">
        <v>868</v>
      </c>
      <c r="BF11" s="12" t="s">
        <v>869</v>
      </c>
      <c r="BG11" s="12" t="s">
        <v>870</v>
      </c>
      <c r="BH11" s="12" t="s">
        <v>841</v>
      </c>
      <c r="BI11" s="12" t="s">
        <v>871</v>
      </c>
      <c r="BJ11" s="12" t="s">
        <v>841</v>
      </c>
      <c r="BK11" s="12" t="s">
        <v>841</v>
      </c>
      <c r="BL11" s="12" t="s">
        <v>872</v>
      </c>
      <c r="BM11" s="12" t="s">
        <v>873</v>
      </c>
      <c r="BN11" s="12" t="s">
        <v>866</v>
      </c>
      <c r="BO11" s="12" t="s">
        <v>874</v>
      </c>
      <c r="BP11" s="12" t="s">
        <v>875</v>
      </c>
      <c r="BQ11" s="12" t="s">
        <v>876</v>
      </c>
      <c r="BR11" s="12" t="s">
        <v>869</v>
      </c>
      <c r="BS11" s="12" t="s">
        <v>869</v>
      </c>
      <c r="BT11" s="12" t="s">
        <v>877</v>
      </c>
      <c r="BU11" s="12" t="s">
        <v>877</v>
      </c>
      <c r="BV11" s="12" t="s">
        <v>877</v>
      </c>
      <c r="BW11" s="12" t="s">
        <v>841</v>
      </c>
      <c r="BX11" s="12" t="s">
        <v>878</v>
      </c>
      <c r="BY11" s="12" t="s">
        <v>841</v>
      </c>
      <c r="BZ11" s="12" t="s">
        <v>841</v>
      </c>
      <c r="CA11" s="12" t="s">
        <v>841</v>
      </c>
      <c r="CB11" s="12" t="s">
        <v>841</v>
      </c>
      <c r="CC11" s="12" t="s">
        <v>1111</v>
      </c>
      <c r="CD11" s="12" t="s">
        <v>1112</v>
      </c>
      <c r="CE11" s="12" t="s">
        <v>1113</v>
      </c>
      <c r="CF11" s="12" t="s">
        <v>1114</v>
      </c>
      <c r="CG11" s="12" t="s">
        <v>1115</v>
      </c>
      <c r="CH11" s="12" t="s">
        <v>1116</v>
      </c>
      <c r="CI11" s="12" t="s">
        <v>1117</v>
      </c>
      <c r="CJ11" s="12" t="s">
        <v>1118</v>
      </c>
      <c r="CK11" s="12" t="s">
        <v>1100</v>
      </c>
      <c r="CL11" s="12" t="s">
        <v>1119</v>
      </c>
      <c r="CM11" s="12" t="s">
        <v>888</v>
      </c>
      <c r="CN11" s="12" t="s">
        <v>841</v>
      </c>
      <c r="CO11" s="12" t="s">
        <v>847</v>
      </c>
      <c r="CP11" s="12" t="s">
        <v>889</v>
      </c>
      <c r="CQ11" s="12" t="s">
        <v>890</v>
      </c>
      <c r="CR11" s="12" t="s">
        <v>847</v>
      </c>
      <c r="CS11" s="12" t="s">
        <v>891</v>
      </c>
      <c r="CT11" s="12" t="s">
        <v>892</v>
      </c>
      <c r="CU11" s="12" t="s">
        <v>893</v>
      </c>
      <c r="CV11" s="12" t="s">
        <v>841</v>
      </c>
      <c r="CW11" s="12" t="s">
        <v>1099</v>
      </c>
      <c r="CX11" s="12" t="s">
        <v>894</v>
      </c>
      <c r="CY11" s="12" t="s">
        <v>895</v>
      </c>
      <c r="CZ11" s="12" t="s">
        <v>896</v>
      </c>
      <c r="DA11" s="12" t="s">
        <v>897</v>
      </c>
      <c r="DB11" s="12" t="s">
        <v>898</v>
      </c>
      <c r="DC11" s="12" t="s">
        <v>899</v>
      </c>
    </row>
    <row r="12">
      <c r="A12" s="12" t="s">
        <v>1120</v>
      </c>
      <c r="B12" s="12" t="s">
        <v>173</v>
      </c>
      <c r="C12" s="12" t="s">
        <v>95</v>
      </c>
      <c r="D12" s="12" t="s">
        <v>833</v>
      </c>
      <c r="E12" s="12" t="s">
        <v>834</v>
      </c>
      <c r="F12" s="12"/>
      <c r="G12" s="12" t="s">
        <v>78</v>
      </c>
      <c r="H12" s="12" t="s">
        <v>152</v>
      </c>
      <c r="I12" s="12"/>
      <c r="J12" s="43">
        <f t="shared" si="1"/>
        <v>0.0002216674361</v>
      </c>
      <c r="K12" s="43">
        <f t="shared" si="2"/>
        <v>2.90981592</v>
      </c>
      <c r="L12" s="43">
        <f t="shared" si="3"/>
        <v>0.000221650551</v>
      </c>
      <c r="M12" s="43">
        <f t="shared" si="4"/>
        <v>0.009531727393</v>
      </c>
      <c r="N12" s="12" t="s">
        <v>1121</v>
      </c>
      <c r="O12" s="12" t="s">
        <v>1122</v>
      </c>
      <c r="P12" s="43">
        <f t="shared" si="5"/>
        <v>5.670303433</v>
      </c>
      <c r="Q12" s="43">
        <f t="shared" si="6"/>
        <v>4.063953433</v>
      </c>
      <c r="R12" s="12" t="s">
        <v>1123</v>
      </c>
      <c r="S12" s="12" t="s">
        <v>1124</v>
      </c>
      <c r="T12" s="43">
        <f t="shared" si="7"/>
        <v>57.77769954</v>
      </c>
      <c r="U12" s="43">
        <f t="shared" si="8"/>
        <v>0.4417875</v>
      </c>
      <c r="V12" s="12" t="s">
        <v>839</v>
      </c>
      <c r="W12" s="12" t="s">
        <v>1125</v>
      </c>
      <c r="X12" s="12" t="s">
        <v>841</v>
      </c>
      <c r="Y12" s="12" t="s">
        <v>841</v>
      </c>
      <c r="Z12" s="12" t="s">
        <v>841</v>
      </c>
      <c r="AA12" s="12" t="s">
        <v>1126</v>
      </c>
      <c r="AB12" s="12" t="s">
        <v>1127</v>
      </c>
      <c r="AC12" s="12" t="s">
        <v>1128</v>
      </c>
      <c r="AD12" s="12" t="s">
        <v>845</v>
      </c>
      <c r="AE12" s="12" t="s">
        <v>846</v>
      </c>
      <c r="AF12" s="43">
        <f t="shared" si="9"/>
        <v>27.3342828</v>
      </c>
      <c r="AG12" s="12" t="s">
        <v>847</v>
      </c>
      <c r="AH12" s="12" t="s">
        <v>1129</v>
      </c>
      <c r="AI12" s="12" t="s">
        <v>1129</v>
      </c>
      <c r="AJ12" s="12" t="s">
        <v>1130</v>
      </c>
      <c r="AK12" s="12" t="s">
        <v>1131</v>
      </c>
      <c r="AL12" s="43">
        <f t="shared" si="10"/>
        <v>35.07</v>
      </c>
      <c r="AM12" s="12" t="s">
        <v>1071</v>
      </c>
      <c r="AN12" s="12" t="s">
        <v>914</v>
      </c>
      <c r="AO12" s="12" t="s">
        <v>1132</v>
      </c>
      <c r="AP12" s="12" t="s">
        <v>1133</v>
      </c>
      <c r="AQ12" s="12" t="s">
        <v>1134</v>
      </c>
      <c r="AR12" s="12" t="s">
        <v>1135</v>
      </c>
      <c r="AS12" s="12" t="s">
        <v>1077</v>
      </c>
      <c r="AT12" s="12" t="s">
        <v>95</v>
      </c>
      <c r="AU12" s="12" t="s">
        <v>1078</v>
      </c>
      <c r="AV12" s="12" t="s">
        <v>832</v>
      </c>
      <c r="AW12" s="12" t="s">
        <v>861</v>
      </c>
      <c r="AX12" s="12" t="s">
        <v>953</v>
      </c>
      <c r="AY12" s="12" t="s">
        <v>868</v>
      </c>
      <c r="AZ12" s="12" t="s">
        <v>1136</v>
      </c>
      <c r="BA12" s="12" t="s">
        <v>1137</v>
      </c>
      <c r="BB12" s="12" t="s">
        <v>868</v>
      </c>
      <c r="BC12" s="12" t="s">
        <v>866</v>
      </c>
      <c r="BD12" s="12" t="s">
        <v>867</v>
      </c>
      <c r="BE12" s="12" t="s">
        <v>868</v>
      </c>
      <c r="BF12" s="12" t="s">
        <v>869</v>
      </c>
      <c r="BG12" s="12" t="s">
        <v>870</v>
      </c>
      <c r="BH12" s="12" t="s">
        <v>841</v>
      </c>
      <c r="BI12" s="12" t="s">
        <v>871</v>
      </c>
      <c r="BJ12" s="12" t="s">
        <v>841</v>
      </c>
      <c r="BK12" s="12" t="s">
        <v>841</v>
      </c>
      <c r="BL12" s="12" t="s">
        <v>872</v>
      </c>
      <c r="BM12" s="12" t="s">
        <v>873</v>
      </c>
      <c r="BN12" s="12" t="s">
        <v>866</v>
      </c>
      <c r="BO12" s="12" t="s">
        <v>874</v>
      </c>
      <c r="BP12" s="12" t="s">
        <v>875</v>
      </c>
      <c r="BQ12" s="12" t="s">
        <v>876</v>
      </c>
      <c r="BR12" s="12" t="s">
        <v>869</v>
      </c>
      <c r="BS12" s="12" t="s">
        <v>869</v>
      </c>
      <c r="BT12" s="12" t="s">
        <v>877</v>
      </c>
      <c r="BU12" s="12" t="s">
        <v>877</v>
      </c>
      <c r="BV12" s="12" t="s">
        <v>877</v>
      </c>
      <c r="BW12" s="12" t="s">
        <v>841</v>
      </c>
      <c r="BX12" s="12" t="s">
        <v>878</v>
      </c>
      <c r="BY12" s="12" t="s">
        <v>841</v>
      </c>
      <c r="BZ12" s="12" t="s">
        <v>841</v>
      </c>
      <c r="CA12" s="12" t="s">
        <v>841</v>
      </c>
      <c r="CB12" s="12" t="s">
        <v>841</v>
      </c>
      <c r="CC12" s="12" t="s">
        <v>1138</v>
      </c>
      <c r="CD12" s="12" t="s">
        <v>1139</v>
      </c>
      <c r="CE12" s="12" t="s">
        <v>1140</v>
      </c>
      <c r="CF12" s="12" t="s">
        <v>1141</v>
      </c>
      <c r="CG12" s="12" t="s">
        <v>1142</v>
      </c>
      <c r="CH12" s="12" t="s">
        <v>1143</v>
      </c>
      <c r="CI12" s="12" t="s">
        <v>1144</v>
      </c>
      <c r="CJ12" s="12" t="s">
        <v>1145</v>
      </c>
      <c r="CK12" s="12" t="s">
        <v>1126</v>
      </c>
      <c r="CL12" s="12" t="s">
        <v>1028</v>
      </c>
      <c r="CM12" s="12" t="s">
        <v>888</v>
      </c>
      <c r="CN12" s="12" t="s">
        <v>841</v>
      </c>
      <c r="CO12" s="12" t="s">
        <v>847</v>
      </c>
      <c r="CP12" s="12" t="s">
        <v>889</v>
      </c>
      <c r="CQ12" s="12" t="s">
        <v>890</v>
      </c>
      <c r="CR12" s="12" t="s">
        <v>847</v>
      </c>
      <c r="CS12" s="12" t="s">
        <v>891</v>
      </c>
      <c r="CT12" s="12" t="s">
        <v>892</v>
      </c>
      <c r="CU12" s="12" t="s">
        <v>893</v>
      </c>
      <c r="CV12" s="12" t="s">
        <v>841</v>
      </c>
      <c r="CW12" s="12" t="s">
        <v>1125</v>
      </c>
      <c r="CX12" s="12" t="s">
        <v>894</v>
      </c>
      <c r="CY12" s="12" t="s">
        <v>895</v>
      </c>
      <c r="CZ12" s="12" t="s">
        <v>896</v>
      </c>
      <c r="DA12" s="12" t="s">
        <v>897</v>
      </c>
      <c r="DB12" s="12" t="s">
        <v>898</v>
      </c>
      <c r="DC12" s="12" t="s">
        <v>899</v>
      </c>
    </row>
    <row r="13">
      <c r="A13" s="12" t="s">
        <v>1146</v>
      </c>
      <c r="B13" s="12" t="s">
        <v>190</v>
      </c>
      <c r="C13" s="12" t="s">
        <v>95</v>
      </c>
      <c r="D13" s="12" t="s">
        <v>833</v>
      </c>
      <c r="E13" s="12" t="s">
        <v>834</v>
      </c>
      <c r="F13" s="12"/>
      <c r="G13" s="12" t="s">
        <v>78</v>
      </c>
      <c r="H13" s="12" t="s">
        <v>188</v>
      </c>
      <c r="I13" s="12"/>
      <c r="J13" s="43">
        <f t="shared" si="1"/>
        <v>0.006685382639</v>
      </c>
      <c r="K13" s="43">
        <f t="shared" si="2"/>
        <v>2.91060848</v>
      </c>
      <c r="L13" s="43">
        <f t="shared" si="3"/>
        <v>0.00667006216</v>
      </c>
      <c r="M13" s="43">
        <f t="shared" si="4"/>
        <v>0.397658383</v>
      </c>
      <c r="N13" s="12" t="s">
        <v>1147</v>
      </c>
      <c r="O13" s="12" t="s">
        <v>1148</v>
      </c>
      <c r="P13" s="43">
        <f t="shared" si="5"/>
        <v>7.3191252</v>
      </c>
      <c r="Q13" s="43">
        <f t="shared" si="6"/>
        <v>5.5808962</v>
      </c>
      <c r="R13" s="12" t="s">
        <v>1149</v>
      </c>
      <c r="S13" s="12" t="s">
        <v>1150</v>
      </c>
      <c r="T13" s="43">
        <f t="shared" si="7"/>
        <v>74.57841044</v>
      </c>
      <c r="U13" s="43">
        <f t="shared" si="8"/>
        <v>0.4417875</v>
      </c>
      <c r="V13" s="12" t="s">
        <v>839</v>
      </c>
      <c r="W13" s="12" t="s">
        <v>1151</v>
      </c>
      <c r="X13" s="12" t="s">
        <v>841</v>
      </c>
      <c r="Y13" s="12" t="s">
        <v>841</v>
      </c>
      <c r="Z13" s="12" t="s">
        <v>841</v>
      </c>
      <c r="AA13" s="12" t="s">
        <v>1152</v>
      </c>
      <c r="AB13" s="12" t="s">
        <v>1153</v>
      </c>
      <c r="AC13" s="12" t="s">
        <v>1154</v>
      </c>
      <c r="AD13" s="12" t="s">
        <v>845</v>
      </c>
      <c r="AE13" s="12" t="s">
        <v>846</v>
      </c>
      <c r="AF13" s="43">
        <f t="shared" si="9"/>
        <v>82.134836</v>
      </c>
      <c r="AG13" s="12" t="s">
        <v>847</v>
      </c>
      <c r="AH13" s="12" t="s">
        <v>1155</v>
      </c>
      <c r="AI13" s="12" t="s">
        <v>1156</v>
      </c>
      <c r="AJ13" s="12" t="s">
        <v>1157</v>
      </c>
      <c r="AK13" s="12" t="s">
        <v>1158</v>
      </c>
      <c r="AL13" s="43">
        <f t="shared" si="10"/>
        <v>39.76</v>
      </c>
      <c r="AM13" s="12" t="s">
        <v>1071</v>
      </c>
      <c r="AN13" s="12" t="s">
        <v>1159</v>
      </c>
      <c r="AO13" s="12" t="s">
        <v>1160</v>
      </c>
      <c r="AP13" s="12" t="s">
        <v>1161</v>
      </c>
      <c r="AQ13" s="12" t="s">
        <v>1162</v>
      </c>
      <c r="AR13" s="12" t="s">
        <v>1163</v>
      </c>
      <c r="AS13" s="12" t="s">
        <v>1077</v>
      </c>
      <c r="AT13" s="12" t="s">
        <v>95</v>
      </c>
      <c r="AU13" s="12" t="s">
        <v>1078</v>
      </c>
      <c r="AV13" s="12" t="s">
        <v>832</v>
      </c>
      <c r="AW13" s="12" t="s">
        <v>1164</v>
      </c>
      <c r="AX13" s="12" t="s">
        <v>1164</v>
      </c>
      <c r="AY13" s="12" t="s">
        <v>1164</v>
      </c>
      <c r="AZ13" s="12" t="s">
        <v>1165</v>
      </c>
      <c r="BA13" s="12" t="s">
        <v>1166</v>
      </c>
      <c r="BB13" s="12" t="s">
        <v>1167</v>
      </c>
      <c r="BC13" s="12" t="s">
        <v>866</v>
      </c>
      <c r="BD13" s="12" t="s">
        <v>867</v>
      </c>
      <c r="BE13" s="12" t="s">
        <v>868</v>
      </c>
      <c r="BF13" s="12" t="s">
        <v>869</v>
      </c>
      <c r="BG13" s="12" t="s">
        <v>870</v>
      </c>
      <c r="BH13" s="12" t="s">
        <v>841</v>
      </c>
      <c r="BI13" s="12" t="s">
        <v>871</v>
      </c>
      <c r="BJ13" s="12" t="s">
        <v>841</v>
      </c>
      <c r="BK13" s="12" t="s">
        <v>841</v>
      </c>
      <c r="BL13" s="12" t="s">
        <v>872</v>
      </c>
      <c r="BM13" s="12" t="s">
        <v>873</v>
      </c>
      <c r="BN13" s="12" t="s">
        <v>866</v>
      </c>
      <c r="BO13" s="12" t="s">
        <v>874</v>
      </c>
      <c r="BP13" s="12" t="s">
        <v>875</v>
      </c>
      <c r="BQ13" s="12" t="s">
        <v>876</v>
      </c>
      <c r="BR13" s="12" t="s">
        <v>869</v>
      </c>
      <c r="BS13" s="12" t="s">
        <v>869</v>
      </c>
      <c r="BT13" s="12" t="s">
        <v>877</v>
      </c>
      <c r="BU13" s="12" t="s">
        <v>877</v>
      </c>
      <c r="BV13" s="12" t="s">
        <v>877</v>
      </c>
      <c r="BW13" s="12" t="s">
        <v>841</v>
      </c>
      <c r="BX13" s="12" t="s">
        <v>878</v>
      </c>
      <c r="BY13" s="12" t="s">
        <v>841</v>
      </c>
      <c r="BZ13" s="12" t="s">
        <v>841</v>
      </c>
      <c r="CA13" s="12" t="s">
        <v>841</v>
      </c>
      <c r="CB13" s="12" t="s">
        <v>841</v>
      </c>
      <c r="CC13" s="12" t="s">
        <v>1168</v>
      </c>
      <c r="CD13" s="12" t="s">
        <v>1169</v>
      </c>
      <c r="CE13" s="12" t="s">
        <v>1170</v>
      </c>
      <c r="CF13" s="12" t="s">
        <v>1171</v>
      </c>
      <c r="CG13" s="12" t="s">
        <v>1172</v>
      </c>
      <c r="CH13" s="12" t="s">
        <v>1173</v>
      </c>
      <c r="CI13" s="12" t="s">
        <v>1174</v>
      </c>
      <c r="CJ13" s="12" t="s">
        <v>1175</v>
      </c>
      <c r="CK13" s="12" t="s">
        <v>1152</v>
      </c>
      <c r="CL13" s="12" t="s">
        <v>1176</v>
      </c>
      <c r="CM13" s="12" t="s">
        <v>888</v>
      </c>
      <c r="CN13" s="12" t="s">
        <v>841</v>
      </c>
      <c r="CO13" s="12" t="s">
        <v>847</v>
      </c>
      <c r="CP13" s="12" t="s">
        <v>889</v>
      </c>
      <c r="CQ13" s="12" t="s">
        <v>890</v>
      </c>
      <c r="CR13" s="12" t="s">
        <v>847</v>
      </c>
      <c r="CS13" s="12" t="s">
        <v>891</v>
      </c>
      <c r="CT13" s="12" t="s">
        <v>892</v>
      </c>
      <c r="CU13" s="12" t="s">
        <v>893</v>
      </c>
      <c r="CV13" s="12" t="s">
        <v>841</v>
      </c>
      <c r="CW13" s="12" t="s">
        <v>1151</v>
      </c>
      <c r="CX13" s="12" t="s">
        <v>894</v>
      </c>
      <c r="CY13" s="12" t="s">
        <v>895</v>
      </c>
      <c r="CZ13" s="12" t="s">
        <v>896</v>
      </c>
      <c r="DA13" s="12" t="s">
        <v>897</v>
      </c>
      <c r="DB13" s="12" t="s">
        <v>898</v>
      </c>
      <c r="DC13" s="12" t="s">
        <v>899</v>
      </c>
    </row>
    <row r="14">
      <c r="A14" s="12" t="s">
        <v>1177</v>
      </c>
      <c r="B14" s="12" t="s">
        <v>197</v>
      </c>
      <c r="C14" s="12" t="s">
        <v>95</v>
      </c>
      <c r="D14" s="12" t="s">
        <v>833</v>
      </c>
      <c r="E14" s="12" t="s">
        <v>834</v>
      </c>
      <c r="F14" s="12"/>
      <c r="G14" s="12" t="s">
        <v>78</v>
      </c>
      <c r="H14" s="12" t="s">
        <v>188</v>
      </c>
      <c r="I14" s="12"/>
      <c r="J14" s="43">
        <f t="shared" si="1"/>
        <v>-0.03024258318</v>
      </c>
      <c r="K14" s="43">
        <f t="shared" si="2"/>
        <v>2.909022</v>
      </c>
      <c r="L14" s="43">
        <f t="shared" si="3"/>
        <v>-0.03056029208</v>
      </c>
      <c r="M14" s="43">
        <f t="shared" si="4"/>
        <v>-1.534409815</v>
      </c>
      <c r="N14" s="12" t="s">
        <v>1178</v>
      </c>
      <c r="O14" s="12" t="s">
        <v>1179</v>
      </c>
      <c r="P14" s="43">
        <f t="shared" si="5"/>
        <v>6.318657256</v>
      </c>
      <c r="Q14" s="43">
        <f t="shared" si="6"/>
        <v>4.728925256</v>
      </c>
      <c r="R14" s="12" t="s">
        <v>1180</v>
      </c>
      <c r="S14" s="12" t="s">
        <v>1181</v>
      </c>
      <c r="T14" s="43">
        <f t="shared" si="7"/>
        <v>64.38411714</v>
      </c>
      <c r="U14" s="43">
        <f t="shared" si="8"/>
        <v>0.4417875</v>
      </c>
      <c r="V14" s="12" t="s">
        <v>839</v>
      </c>
      <c r="W14" s="12" t="s">
        <v>1182</v>
      </c>
      <c r="X14" s="12" t="s">
        <v>841</v>
      </c>
      <c r="Y14" s="12" t="s">
        <v>841</v>
      </c>
      <c r="Z14" s="12" t="s">
        <v>841</v>
      </c>
      <c r="AA14" s="12" t="s">
        <v>1183</v>
      </c>
      <c r="AB14" s="12" t="s">
        <v>1184</v>
      </c>
      <c r="AC14" s="12" t="s">
        <v>1185</v>
      </c>
      <c r="AD14" s="12" t="s">
        <v>845</v>
      </c>
      <c r="AE14" s="12" t="s">
        <v>846</v>
      </c>
      <c r="AF14" s="43">
        <f t="shared" si="9"/>
        <v>17.2705008</v>
      </c>
      <c r="AG14" s="12" t="s">
        <v>847</v>
      </c>
      <c r="AH14" s="12" t="s">
        <v>1186</v>
      </c>
      <c r="AI14" s="12" t="s">
        <v>1187</v>
      </c>
      <c r="AJ14" s="12" t="s">
        <v>1188</v>
      </c>
      <c r="AK14" s="12" t="s">
        <v>1189</v>
      </c>
      <c r="AL14" s="43">
        <f t="shared" si="10"/>
        <v>37.04</v>
      </c>
      <c r="AM14" s="12" t="s">
        <v>1071</v>
      </c>
      <c r="AN14" s="12" t="s">
        <v>1072</v>
      </c>
      <c r="AO14" s="12" t="s">
        <v>1190</v>
      </c>
      <c r="AP14" s="12" t="s">
        <v>1191</v>
      </c>
      <c r="AQ14" s="12" t="s">
        <v>1192</v>
      </c>
      <c r="AR14" s="12" t="s">
        <v>1163</v>
      </c>
      <c r="AS14" s="12" t="s">
        <v>1193</v>
      </c>
      <c r="AT14" s="12" t="s">
        <v>95</v>
      </c>
      <c r="AU14" s="12" t="s">
        <v>1194</v>
      </c>
      <c r="AV14" s="12" t="s">
        <v>832</v>
      </c>
      <c r="AW14" s="12" t="s">
        <v>1164</v>
      </c>
      <c r="AX14" s="12" t="s">
        <v>1195</v>
      </c>
      <c r="AY14" s="12" t="s">
        <v>1196</v>
      </c>
      <c r="AZ14" s="12" t="s">
        <v>1197</v>
      </c>
      <c r="BA14" s="12" t="s">
        <v>1198</v>
      </c>
      <c r="BB14" s="12" t="s">
        <v>1199</v>
      </c>
      <c r="BC14" s="12" t="s">
        <v>866</v>
      </c>
      <c r="BD14" s="12" t="s">
        <v>867</v>
      </c>
      <c r="BE14" s="12" t="s">
        <v>868</v>
      </c>
      <c r="BF14" s="12" t="s">
        <v>869</v>
      </c>
      <c r="BG14" s="12" t="s">
        <v>870</v>
      </c>
      <c r="BH14" s="12" t="s">
        <v>841</v>
      </c>
      <c r="BI14" s="12" t="s">
        <v>871</v>
      </c>
      <c r="BJ14" s="12" t="s">
        <v>841</v>
      </c>
      <c r="BK14" s="12" t="s">
        <v>841</v>
      </c>
      <c r="BL14" s="12" t="s">
        <v>872</v>
      </c>
      <c r="BM14" s="12" t="s">
        <v>873</v>
      </c>
      <c r="BN14" s="12" t="s">
        <v>866</v>
      </c>
      <c r="BO14" s="12" t="s">
        <v>874</v>
      </c>
      <c r="BP14" s="12" t="s">
        <v>875</v>
      </c>
      <c r="BQ14" s="12" t="s">
        <v>876</v>
      </c>
      <c r="BR14" s="12" t="s">
        <v>869</v>
      </c>
      <c r="BS14" s="12" t="s">
        <v>869</v>
      </c>
      <c r="BT14" s="12" t="s">
        <v>877</v>
      </c>
      <c r="BU14" s="12" t="s">
        <v>877</v>
      </c>
      <c r="BV14" s="12" t="s">
        <v>877</v>
      </c>
      <c r="BW14" s="12" t="s">
        <v>841</v>
      </c>
      <c r="BX14" s="12" t="s">
        <v>878</v>
      </c>
      <c r="BY14" s="12" t="s">
        <v>841</v>
      </c>
      <c r="BZ14" s="12" t="s">
        <v>841</v>
      </c>
      <c r="CA14" s="12" t="s">
        <v>841</v>
      </c>
      <c r="CB14" s="12" t="s">
        <v>841</v>
      </c>
      <c r="CC14" s="12" t="s">
        <v>1200</v>
      </c>
      <c r="CD14" s="12" t="s">
        <v>1201</v>
      </c>
      <c r="CE14" s="12" t="s">
        <v>1202</v>
      </c>
      <c r="CF14" s="12" t="s">
        <v>1203</v>
      </c>
      <c r="CG14" s="12" t="s">
        <v>1204</v>
      </c>
      <c r="CH14" s="12" t="s">
        <v>1205</v>
      </c>
      <c r="CI14" s="12" t="s">
        <v>1206</v>
      </c>
      <c r="CJ14" s="12" t="s">
        <v>1207</v>
      </c>
      <c r="CK14" s="12" t="s">
        <v>1183</v>
      </c>
      <c r="CL14" s="12" t="s">
        <v>1208</v>
      </c>
      <c r="CM14" s="12" t="s">
        <v>888</v>
      </c>
      <c r="CN14" s="12" t="s">
        <v>841</v>
      </c>
      <c r="CO14" s="12" t="s">
        <v>847</v>
      </c>
      <c r="CP14" s="12" t="s">
        <v>889</v>
      </c>
      <c r="CQ14" s="12" t="s">
        <v>890</v>
      </c>
      <c r="CR14" s="12" t="s">
        <v>847</v>
      </c>
      <c r="CS14" s="12" t="s">
        <v>891</v>
      </c>
      <c r="CT14" s="12" t="s">
        <v>892</v>
      </c>
      <c r="CU14" s="12" t="s">
        <v>893</v>
      </c>
      <c r="CV14" s="12" t="s">
        <v>841</v>
      </c>
      <c r="CW14" s="12" t="s">
        <v>1182</v>
      </c>
      <c r="CX14" s="12" t="s">
        <v>894</v>
      </c>
      <c r="CY14" s="12" t="s">
        <v>895</v>
      </c>
      <c r="CZ14" s="12" t="s">
        <v>896</v>
      </c>
      <c r="DA14" s="12" t="s">
        <v>897</v>
      </c>
      <c r="DB14" s="12" t="s">
        <v>898</v>
      </c>
      <c r="DC14" s="12" t="s">
        <v>899</v>
      </c>
    </row>
    <row r="15">
      <c r="A15" s="12" t="s">
        <v>1209</v>
      </c>
      <c r="B15" s="12" t="s">
        <v>199</v>
      </c>
      <c r="C15" s="12" t="s">
        <v>95</v>
      </c>
      <c r="D15" s="12" t="s">
        <v>833</v>
      </c>
      <c r="E15" s="12" t="s">
        <v>834</v>
      </c>
      <c r="F15" s="12"/>
      <c r="G15" s="12" t="s">
        <v>78</v>
      </c>
      <c r="H15" s="12" t="s">
        <v>188</v>
      </c>
      <c r="I15" s="12"/>
      <c r="J15" s="43">
        <f t="shared" si="1"/>
        <v>-0.01324621827</v>
      </c>
      <c r="K15" s="43">
        <f t="shared" si="2"/>
        <v>2.91060848</v>
      </c>
      <c r="L15" s="43">
        <f t="shared" si="3"/>
        <v>-0.0133067776</v>
      </c>
      <c r="M15" s="43">
        <f t="shared" si="4"/>
        <v>-0.6481259136</v>
      </c>
      <c r="N15" s="12" t="s">
        <v>1210</v>
      </c>
      <c r="O15" s="12" t="s">
        <v>1211</v>
      </c>
      <c r="P15" s="43">
        <f t="shared" si="5"/>
        <v>6.185424968</v>
      </c>
      <c r="Q15" s="43">
        <f t="shared" si="6"/>
        <v>4.590514968</v>
      </c>
      <c r="R15" s="12" t="s">
        <v>1212</v>
      </c>
      <c r="S15" s="12" t="s">
        <v>1213</v>
      </c>
      <c r="T15" s="43">
        <f t="shared" si="7"/>
        <v>63.02654339</v>
      </c>
      <c r="U15" s="43">
        <f t="shared" si="8"/>
        <v>0.4417875</v>
      </c>
      <c r="V15" s="12" t="s">
        <v>839</v>
      </c>
      <c r="W15" s="12" t="s">
        <v>1214</v>
      </c>
      <c r="X15" s="12" t="s">
        <v>841</v>
      </c>
      <c r="Y15" s="12" t="s">
        <v>841</v>
      </c>
      <c r="Z15" s="12" t="s">
        <v>841</v>
      </c>
      <c r="AA15" s="12" t="s">
        <v>1215</v>
      </c>
      <c r="AB15" s="12" t="s">
        <v>1216</v>
      </c>
      <c r="AC15" s="12" t="s">
        <v>1217</v>
      </c>
      <c r="AD15" s="12" t="s">
        <v>845</v>
      </c>
      <c r="AE15" s="12" t="s">
        <v>846</v>
      </c>
      <c r="AF15" s="43">
        <f t="shared" si="9"/>
        <v>19.9324944</v>
      </c>
      <c r="AG15" s="12" t="s">
        <v>847</v>
      </c>
      <c r="AH15" s="12" t="s">
        <v>1218</v>
      </c>
      <c r="AI15" s="12" t="s">
        <v>1219</v>
      </c>
      <c r="AJ15" s="12" t="s">
        <v>1220</v>
      </c>
      <c r="AK15" s="12" t="s">
        <v>1221</v>
      </c>
      <c r="AL15" s="43">
        <f t="shared" si="10"/>
        <v>36.65</v>
      </c>
      <c r="AM15" s="12" t="s">
        <v>1071</v>
      </c>
      <c r="AN15" s="12" t="s">
        <v>1159</v>
      </c>
      <c r="AO15" s="12" t="s">
        <v>1222</v>
      </c>
      <c r="AP15" s="12" t="s">
        <v>1223</v>
      </c>
      <c r="AQ15" s="12" t="s">
        <v>1224</v>
      </c>
      <c r="AR15" s="12" t="s">
        <v>1225</v>
      </c>
      <c r="AS15" s="12" t="s">
        <v>1193</v>
      </c>
      <c r="AT15" s="12" t="s">
        <v>95</v>
      </c>
      <c r="AU15" s="12" t="s">
        <v>1194</v>
      </c>
      <c r="AV15" s="12" t="s">
        <v>832</v>
      </c>
      <c r="AW15" s="12" t="s">
        <v>1226</v>
      </c>
      <c r="AX15" s="12" t="s">
        <v>860</v>
      </c>
      <c r="AY15" s="12" t="s">
        <v>868</v>
      </c>
      <c r="AZ15" s="12" t="s">
        <v>1227</v>
      </c>
      <c r="BA15" s="12" t="s">
        <v>1228</v>
      </c>
      <c r="BB15" s="12" t="s">
        <v>868</v>
      </c>
      <c r="BC15" s="12" t="s">
        <v>866</v>
      </c>
      <c r="BD15" s="12" t="s">
        <v>867</v>
      </c>
      <c r="BE15" s="12" t="s">
        <v>868</v>
      </c>
      <c r="BF15" s="12" t="s">
        <v>869</v>
      </c>
      <c r="BG15" s="12" t="s">
        <v>870</v>
      </c>
      <c r="BH15" s="12" t="s">
        <v>841</v>
      </c>
      <c r="BI15" s="12" t="s">
        <v>871</v>
      </c>
      <c r="BJ15" s="12" t="s">
        <v>841</v>
      </c>
      <c r="BK15" s="12" t="s">
        <v>841</v>
      </c>
      <c r="BL15" s="12" t="s">
        <v>872</v>
      </c>
      <c r="BM15" s="12" t="s">
        <v>873</v>
      </c>
      <c r="BN15" s="12" t="s">
        <v>866</v>
      </c>
      <c r="BO15" s="12" t="s">
        <v>874</v>
      </c>
      <c r="BP15" s="12" t="s">
        <v>875</v>
      </c>
      <c r="BQ15" s="12" t="s">
        <v>876</v>
      </c>
      <c r="BR15" s="12" t="s">
        <v>869</v>
      </c>
      <c r="BS15" s="12" t="s">
        <v>869</v>
      </c>
      <c r="BT15" s="12" t="s">
        <v>877</v>
      </c>
      <c r="BU15" s="12" t="s">
        <v>877</v>
      </c>
      <c r="BV15" s="12" t="s">
        <v>877</v>
      </c>
      <c r="BW15" s="12" t="s">
        <v>841</v>
      </c>
      <c r="BX15" s="12" t="s">
        <v>878</v>
      </c>
      <c r="BY15" s="12" t="s">
        <v>841</v>
      </c>
      <c r="BZ15" s="12" t="s">
        <v>841</v>
      </c>
      <c r="CA15" s="12" t="s">
        <v>841</v>
      </c>
      <c r="CB15" s="12" t="s">
        <v>841</v>
      </c>
      <c r="CC15" s="12" t="s">
        <v>1229</v>
      </c>
      <c r="CD15" s="12" t="s">
        <v>1230</v>
      </c>
      <c r="CE15" s="12" t="s">
        <v>1231</v>
      </c>
      <c r="CF15" s="12" t="s">
        <v>1232</v>
      </c>
      <c r="CG15" s="12" t="s">
        <v>1233</v>
      </c>
      <c r="CH15" s="12" t="s">
        <v>1234</v>
      </c>
      <c r="CI15" s="12" t="s">
        <v>1235</v>
      </c>
      <c r="CJ15" s="12" t="s">
        <v>1236</v>
      </c>
      <c r="CK15" s="12" t="s">
        <v>1215</v>
      </c>
      <c r="CL15" s="12" t="s">
        <v>1119</v>
      </c>
      <c r="CM15" s="12" t="s">
        <v>888</v>
      </c>
      <c r="CN15" s="12" t="s">
        <v>841</v>
      </c>
      <c r="CO15" s="12" t="s">
        <v>847</v>
      </c>
      <c r="CP15" s="12" t="s">
        <v>889</v>
      </c>
      <c r="CQ15" s="12" t="s">
        <v>890</v>
      </c>
      <c r="CR15" s="12" t="s">
        <v>847</v>
      </c>
      <c r="CS15" s="12" t="s">
        <v>891</v>
      </c>
      <c r="CT15" s="12" t="s">
        <v>892</v>
      </c>
      <c r="CU15" s="12" t="s">
        <v>893</v>
      </c>
      <c r="CV15" s="12" t="s">
        <v>841</v>
      </c>
      <c r="CW15" s="12" t="s">
        <v>1214</v>
      </c>
      <c r="CX15" s="12" t="s">
        <v>894</v>
      </c>
      <c r="CY15" s="12" t="s">
        <v>895</v>
      </c>
      <c r="CZ15" s="12" t="s">
        <v>896</v>
      </c>
      <c r="DA15" s="12" t="s">
        <v>897</v>
      </c>
      <c r="DB15" s="12" t="s">
        <v>898</v>
      </c>
      <c r="DC15" s="12" t="s">
        <v>899</v>
      </c>
    </row>
    <row r="16">
      <c r="A16" s="12" t="s">
        <v>1237</v>
      </c>
      <c r="B16" s="12" t="s">
        <v>204</v>
      </c>
      <c r="C16" s="12" t="s">
        <v>95</v>
      </c>
      <c r="D16" s="12" t="s">
        <v>833</v>
      </c>
      <c r="E16" s="12" t="s">
        <v>834</v>
      </c>
      <c r="F16" s="12"/>
      <c r="G16" s="12" t="s">
        <v>202</v>
      </c>
      <c r="H16" s="12" t="s">
        <v>203</v>
      </c>
      <c r="I16" s="12"/>
      <c r="J16" s="43">
        <f t="shared" si="1"/>
        <v>-0.05871833021</v>
      </c>
      <c r="K16" s="43">
        <f t="shared" si="2"/>
        <v>2.90981592</v>
      </c>
      <c r="L16" s="43">
        <f t="shared" si="3"/>
        <v>-0.05992763371</v>
      </c>
      <c r="M16" s="43">
        <f t="shared" si="4"/>
        <v>-0.9162513994</v>
      </c>
      <c r="N16" s="12" t="s">
        <v>1238</v>
      </c>
      <c r="O16" s="12" t="s">
        <v>1239</v>
      </c>
      <c r="P16" s="43">
        <f t="shared" si="5"/>
        <v>2.869596592</v>
      </c>
      <c r="Q16" s="43">
        <f t="shared" si="6"/>
        <v>1.467555592</v>
      </c>
      <c r="R16" s="12" t="s">
        <v>1240</v>
      </c>
      <c r="S16" s="12" t="s">
        <v>1241</v>
      </c>
      <c r="T16" s="43">
        <f t="shared" si="7"/>
        <v>29.24578671</v>
      </c>
      <c r="U16" s="43">
        <f t="shared" si="8"/>
        <v>0.4417875</v>
      </c>
      <c r="V16" s="12" t="s">
        <v>839</v>
      </c>
      <c r="W16" s="12" t="s">
        <v>1242</v>
      </c>
      <c r="X16" s="12" t="s">
        <v>841</v>
      </c>
      <c r="Y16" s="12" t="s">
        <v>841</v>
      </c>
      <c r="Z16" s="12" t="s">
        <v>841</v>
      </c>
      <c r="AA16" s="12" t="s">
        <v>1243</v>
      </c>
      <c r="AB16" s="12" t="s">
        <v>1244</v>
      </c>
      <c r="AC16" s="12" t="s">
        <v>1245</v>
      </c>
      <c r="AD16" s="12" t="s">
        <v>845</v>
      </c>
      <c r="AE16" s="12" t="s">
        <v>846</v>
      </c>
      <c r="AF16" s="43">
        <f t="shared" si="9"/>
        <v>13.8588912</v>
      </c>
      <c r="AG16" s="12" t="s">
        <v>847</v>
      </c>
      <c r="AH16" s="12" t="s">
        <v>1246</v>
      </c>
      <c r="AI16" s="12" t="s">
        <v>1247</v>
      </c>
      <c r="AJ16" s="12" t="s">
        <v>1248</v>
      </c>
      <c r="AK16" s="12" t="s">
        <v>1249</v>
      </c>
      <c r="AL16" s="43">
        <f t="shared" si="10"/>
        <v>23.29</v>
      </c>
      <c r="AM16" s="12" t="s">
        <v>981</v>
      </c>
      <c r="AN16" s="12" t="s">
        <v>914</v>
      </c>
      <c r="AO16" s="12" t="s">
        <v>1250</v>
      </c>
      <c r="AP16" s="12" t="s">
        <v>1251</v>
      </c>
      <c r="AQ16" s="12" t="s">
        <v>1252</v>
      </c>
      <c r="AR16" s="12" t="s">
        <v>1253</v>
      </c>
      <c r="AS16" s="12" t="s">
        <v>1254</v>
      </c>
      <c r="AT16" s="12" t="s">
        <v>95</v>
      </c>
      <c r="AU16" s="12" t="s">
        <v>1255</v>
      </c>
      <c r="AV16" s="12" t="s">
        <v>832</v>
      </c>
      <c r="AW16" s="12" t="s">
        <v>1256</v>
      </c>
      <c r="AX16" s="12" t="s">
        <v>1257</v>
      </c>
      <c r="AY16" s="12" t="s">
        <v>1258</v>
      </c>
      <c r="AZ16" s="12" t="s">
        <v>1047</v>
      </c>
      <c r="BA16" s="12" t="s">
        <v>1226</v>
      </c>
      <c r="BB16" s="12" t="s">
        <v>1259</v>
      </c>
      <c r="BC16" s="12" t="s">
        <v>866</v>
      </c>
      <c r="BD16" s="12" t="s">
        <v>867</v>
      </c>
      <c r="BE16" s="12" t="s">
        <v>868</v>
      </c>
      <c r="BF16" s="12" t="s">
        <v>869</v>
      </c>
      <c r="BG16" s="12" t="s">
        <v>870</v>
      </c>
      <c r="BH16" s="12" t="s">
        <v>841</v>
      </c>
      <c r="BI16" s="12" t="s">
        <v>871</v>
      </c>
      <c r="BJ16" s="12" t="s">
        <v>841</v>
      </c>
      <c r="BK16" s="12" t="s">
        <v>841</v>
      </c>
      <c r="BL16" s="12" t="s">
        <v>872</v>
      </c>
      <c r="BM16" s="12" t="s">
        <v>873</v>
      </c>
      <c r="BN16" s="12" t="s">
        <v>866</v>
      </c>
      <c r="BO16" s="12" t="s">
        <v>874</v>
      </c>
      <c r="BP16" s="12" t="s">
        <v>875</v>
      </c>
      <c r="BQ16" s="12" t="s">
        <v>876</v>
      </c>
      <c r="BR16" s="12" t="s">
        <v>869</v>
      </c>
      <c r="BS16" s="12" t="s">
        <v>869</v>
      </c>
      <c r="BT16" s="12" t="s">
        <v>877</v>
      </c>
      <c r="BU16" s="12" t="s">
        <v>877</v>
      </c>
      <c r="BV16" s="12" t="s">
        <v>877</v>
      </c>
      <c r="BW16" s="12" t="s">
        <v>841</v>
      </c>
      <c r="BX16" s="12" t="s">
        <v>878</v>
      </c>
      <c r="BY16" s="12" t="s">
        <v>841</v>
      </c>
      <c r="BZ16" s="12" t="s">
        <v>841</v>
      </c>
      <c r="CA16" s="12" t="s">
        <v>841</v>
      </c>
      <c r="CB16" s="12" t="s">
        <v>841</v>
      </c>
      <c r="CC16" s="12" t="s">
        <v>1260</v>
      </c>
      <c r="CD16" s="12" t="s">
        <v>1261</v>
      </c>
      <c r="CE16" s="12" t="s">
        <v>1262</v>
      </c>
      <c r="CF16" s="12" t="s">
        <v>1263</v>
      </c>
      <c r="CG16" s="12" t="s">
        <v>1264</v>
      </c>
      <c r="CH16" s="12" t="s">
        <v>1265</v>
      </c>
      <c r="CI16" s="12" t="s">
        <v>1266</v>
      </c>
      <c r="CJ16" s="12" t="s">
        <v>1267</v>
      </c>
      <c r="CK16" s="12" t="s">
        <v>1243</v>
      </c>
      <c r="CL16" s="12" t="s">
        <v>1093</v>
      </c>
      <c r="CM16" s="12" t="s">
        <v>888</v>
      </c>
      <c r="CN16" s="12" t="s">
        <v>841</v>
      </c>
      <c r="CO16" s="12" t="s">
        <v>847</v>
      </c>
      <c r="CP16" s="12" t="s">
        <v>889</v>
      </c>
      <c r="CQ16" s="12" t="s">
        <v>890</v>
      </c>
      <c r="CR16" s="12" t="s">
        <v>847</v>
      </c>
      <c r="CS16" s="12" t="s">
        <v>891</v>
      </c>
      <c r="CT16" s="12" t="s">
        <v>892</v>
      </c>
      <c r="CU16" s="12" t="s">
        <v>893</v>
      </c>
      <c r="CV16" s="12" t="s">
        <v>841</v>
      </c>
      <c r="CW16" s="12" t="s">
        <v>1242</v>
      </c>
      <c r="CX16" s="12" t="s">
        <v>894</v>
      </c>
      <c r="CY16" s="12" t="s">
        <v>895</v>
      </c>
      <c r="CZ16" s="12" t="s">
        <v>896</v>
      </c>
      <c r="DA16" s="12" t="s">
        <v>897</v>
      </c>
      <c r="DB16" s="12" t="s">
        <v>898</v>
      </c>
      <c r="DC16" s="12" t="s">
        <v>899</v>
      </c>
    </row>
    <row r="17">
      <c r="A17" s="12" t="s">
        <v>832</v>
      </c>
      <c r="B17" s="12" t="s">
        <v>208</v>
      </c>
      <c r="C17" s="12" t="s">
        <v>95</v>
      </c>
      <c r="D17" s="12" t="s">
        <v>833</v>
      </c>
      <c r="E17" s="12" t="s">
        <v>834</v>
      </c>
      <c r="F17" s="12"/>
      <c r="G17" s="12" t="s">
        <v>202</v>
      </c>
      <c r="H17" s="12" t="s">
        <v>203</v>
      </c>
      <c r="I17" s="12"/>
      <c r="J17" s="43">
        <f t="shared" si="1"/>
        <v>0.07704976249</v>
      </c>
      <c r="K17" s="43">
        <f t="shared" si="2"/>
        <v>2.909022</v>
      </c>
      <c r="L17" s="43">
        <f t="shared" si="3"/>
        <v>0.07506164352</v>
      </c>
      <c r="M17" s="43">
        <f t="shared" si="4"/>
        <v>3.419280484</v>
      </c>
      <c r="N17" s="12" t="s">
        <v>1268</v>
      </c>
      <c r="O17" s="12" t="s">
        <v>1269</v>
      </c>
      <c r="P17" s="43">
        <f t="shared" si="5"/>
        <v>5.822698659</v>
      </c>
      <c r="Q17" s="43">
        <f t="shared" si="6"/>
        <v>4.301892659</v>
      </c>
      <c r="R17" s="12" t="s">
        <v>1270</v>
      </c>
      <c r="S17" s="12" t="s">
        <v>1271</v>
      </c>
      <c r="T17" s="43">
        <f t="shared" si="7"/>
        <v>59.34867658</v>
      </c>
      <c r="U17" s="43">
        <f t="shared" si="8"/>
        <v>0.4417875</v>
      </c>
      <c r="V17" s="12" t="s">
        <v>839</v>
      </c>
      <c r="W17" s="12" t="s">
        <v>1272</v>
      </c>
      <c r="X17" s="12" t="s">
        <v>841</v>
      </c>
      <c r="Y17" s="12" t="s">
        <v>841</v>
      </c>
      <c r="Z17" s="12" t="s">
        <v>841</v>
      </c>
      <c r="AA17" s="12" t="s">
        <v>1273</v>
      </c>
      <c r="AB17" s="12" t="s">
        <v>1274</v>
      </c>
      <c r="AC17" s="12" t="s">
        <v>1275</v>
      </c>
      <c r="AD17" s="12" t="s">
        <v>845</v>
      </c>
      <c r="AE17" s="12" t="s">
        <v>846</v>
      </c>
      <c r="AF17" s="43">
        <f t="shared" si="9"/>
        <v>42.8558472</v>
      </c>
      <c r="AG17" s="12" t="s">
        <v>847</v>
      </c>
      <c r="AH17" s="12" t="s">
        <v>1276</v>
      </c>
      <c r="AI17" s="12" t="s">
        <v>1277</v>
      </c>
      <c r="AJ17" s="12" t="s">
        <v>1278</v>
      </c>
      <c r="AK17" s="12" t="s">
        <v>1279</v>
      </c>
      <c r="AL17" s="43">
        <f t="shared" si="10"/>
        <v>35.55</v>
      </c>
      <c r="AM17" s="12" t="s">
        <v>913</v>
      </c>
      <c r="AN17" s="12" t="s">
        <v>1072</v>
      </c>
      <c r="AO17" s="12" t="s">
        <v>1280</v>
      </c>
      <c r="AP17" s="12" t="s">
        <v>1281</v>
      </c>
      <c r="AQ17" s="12" t="s">
        <v>1282</v>
      </c>
      <c r="AR17" s="12" t="s">
        <v>1283</v>
      </c>
      <c r="AS17" s="12" t="s">
        <v>1284</v>
      </c>
      <c r="AT17" s="12" t="s">
        <v>95</v>
      </c>
      <c r="AU17" s="12" t="s">
        <v>1285</v>
      </c>
      <c r="AV17" s="12" t="s">
        <v>832</v>
      </c>
      <c r="AW17" s="12" t="s">
        <v>1164</v>
      </c>
      <c r="AX17" s="12" t="s">
        <v>1286</v>
      </c>
      <c r="AY17" s="12" t="s">
        <v>1287</v>
      </c>
      <c r="AZ17" s="12" t="s">
        <v>1288</v>
      </c>
      <c r="BA17" s="12" t="s">
        <v>1289</v>
      </c>
      <c r="BB17" s="12" t="s">
        <v>1290</v>
      </c>
      <c r="BC17" s="12" t="s">
        <v>866</v>
      </c>
      <c r="BD17" s="12" t="s">
        <v>867</v>
      </c>
      <c r="BE17" s="12" t="s">
        <v>868</v>
      </c>
      <c r="BF17" s="12" t="s">
        <v>869</v>
      </c>
      <c r="BG17" s="12" t="s">
        <v>870</v>
      </c>
      <c r="BH17" s="12" t="s">
        <v>841</v>
      </c>
      <c r="BI17" s="12" t="s">
        <v>871</v>
      </c>
      <c r="BJ17" s="12" t="s">
        <v>841</v>
      </c>
      <c r="BK17" s="12" t="s">
        <v>841</v>
      </c>
      <c r="BL17" s="12" t="s">
        <v>872</v>
      </c>
      <c r="BM17" s="12" t="s">
        <v>873</v>
      </c>
      <c r="BN17" s="12" t="s">
        <v>866</v>
      </c>
      <c r="BO17" s="12" t="s">
        <v>874</v>
      </c>
      <c r="BP17" s="12" t="s">
        <v>875</v>
      </c>
      <c r="BQ17" s="12" t="s">
        <v>876</v>
      </c>
      <c r="BR17" s="12" t="s">
        <v>869</v>
      </c>
      <c r="BS17" s="12" t="s">
        <v>869</v>
      </c>
      <c r="BT17" s="12" t="s">
        <v>877</v>
      </c>
      <c r="BU17" s="12" t="s">
        <v>877</v>
      </c>
      <c r="BV17" s="12" t="s">
        <v>877</v>
      </c>
      <c r="BW17" s="12" t="s">
        <v>841</v>
      </c>
      <c r="BX17" s="12" t="s">
        <v>878</v>
      </c>
      <c r="BY17" s="12" t="s">
        <v>841</v>
      </c>
      <c r="BZ17" s="12" t="s">
        <v>841</v>
      </c>
      <c r="CA17" s="12" t="s">
        <v>841</v>
      </c>
      <c r="CB17" s="12" t="s">
        <v>841</v>
      </c>
      <c r="CC17" s="12" t="s">
        <v>1291</v>
      </c>
      <c r="CD17" s="12" t="s">
        <v>1292</v>
      </c>
      <c r="CE17" s="12" t="s">
        <v>1293</v>
      </c>
      <c r="CF17" s="12" t="s">
        <v>1294</v>
      </c>
      <c r="CG17" s="12" t="s">
        <v>1295</v>
      </c>
      <c r="CH17" s="12" t="s">
        <v>1296</v>
      </c>
      <c r="CI17" s="12" t="s">
        <v>1297</v>
      </c>
      <c r="CJ17" s="12" t="s">
        <v>1298</v>
      </c>
      <c r="CK17" s="12" t="s">
        <v>1273</v>
      </c>
      <c r="CL17" s="12" t="s">
        <v>1299</v>
      </c>
      <c r="CM17" s="12" t="s">
        <v>888</v>
      </c>
      <c r="CN17" s="12" t="s">
        <v>841</v>
      </c>
      <c r="CO17" s="12" t="s">
        <v>847</v>
      </c>
      <c r="CP17" s="12" t="s">
        <v>889</v>
      </c>
      <c r="CQ17" s="12" t="s">
        <v>890</v>
      </c>
      <c r="CR17" s="12" t="s">
        <v>847</v>
      </c>
      <c r="CS17" s="12" t="s">
        <v>891</v>
      </c>
      <c r="CT17" s="12" t="s">
        <v>892</v>
      </c>
      <c r="CU17" s="12" t="s">
        <v>893</v>
      </c>
      <c r="CV17" s="12" t="s">
        <v>841</v>
      </c>
      <c r="CW17" s="12" t="s">
        <v>1272</v>
      </c>
      <c r="CX17" s="12" t="s">
        <v>894</v>
      </c>
      <c r="CY17" s="12" t="s">
        <v>895</v>
      </c>
      <c r="CZ17" s="12" t="s">
        <v>896</v>
      </c>
      <c r="DA17" s="12" t="s">
        <v>897</v>
      </c>
      <c r="DB17" s="12" t="s">
        <v>898</v>
      </c>
      <c r="DC17" s="12" t="s">
        <v>899</v>
      </c>
    </row>
    <row r="18">
      <c r="A18" s="12" t="s">
        <v>900</v>
      </c>
      <c r="B18" s="12" t="s">
        <v>212</v>
      </c>
      <c r="C18" s="12" t="s">
        <v>95</v>
      </c>
      <c r="D18" s="12" t="s">
        <v>833</v>
      </c>
      <c r="E18" s="12" t="s">
        <v>834</v>
      </c>
      <c r="F18" s="12"/>
      <c r="G18" s="12" t="s">
        <v>202</v>
      </c>
      <c r="H18" s="12" t="s">
        <v>203</v>
      </c>
      <c r="I18" s="12"/>
      <c r="J18" s="43">
        <f t="shared" si="1"/>
        <v>0.09874854211</v>
      </c>
      <c r="K18" s="43">
        <f t="shared" si="2"/>
        <v>2.90981592</v>
      </c>
      <c r="L18" s="43">
        <f t="shared" si="3"/>
        <v>0.09550737022</v>
      </c>
      <c r="M18" s="43">
        <f t="shared" si="4"/>
        <v>4.286760288</v>
      </c>
      <c r="N18" s="12" t="s">
        <v>1300</v>
      </c>
      <c r="O18" s="12" t="s">
        <v>1301</v>
      </c>
      <c r="P18" s="43">
        <f t="shared" si="5"/>
        <v>5.945856495</v>
      </c>
      <c r="Q18" s="43">
        <f t="shared" si="6"/>
        <v>4.231678495</v>
      </c>
      <c r="R18" s="12" t="s">
        <v>1302</v>
      </c>
      <c r="S18" s="12" t="s">
        <v>1303</v>
      </c>
      <c r="T18" s="43">
        <f t="shared" si="7"/>
        <v>60.60398017</v>
      </c>
      <c r="U18" s="43">
        <f t="shared" si="8"/>
        <v>0.4417875</v>
      </c>
      <c r="V18" s="12" t="s">
        <v>839</v>
      </c>
      <c r="W18" s="12" t="s">
        <v>1304</v>
      </c>
      <c r="X18" s="12" t="s">
        <v>841</v>
      </c>
      <c r="Y18" s="12" t="s">
        <v>841</v>
      </c>
      <c r="Z18" s="12" t="s">
        <v>841</v>
      </c>
      <c r="AA18" s="12" t="s">
        <v>1305</v>
      </c>
      <c r="AB18" s="12" t="s">
        <v>1306</v>
      </c>
      <c r="AC18" s="12" t="s">
        <v>1307</v>
      </c>
      <c r="AD18" s="12" t="s">
        <v>845</v>
      </c>
      <c r="AE18" s="12" t="s">
        <v>846</v>
      </c>
      <c r="AF18" s="43">
        <f t="shared" si="9"/>
        <v>29.275804</v>
      </c>
      <c r="AG18" s="12" t="s">
        <v>847</v>
      </c>
      <c r="AH18" s="12" t="s">
        <v>1308</v>
      </c>
      <c r="AI18" s="12" t="s">
        <v>1309</v>
      </c>
      <c r="AJ18" s="12" t="s">
        <v>1310</v>
      </c>
      <c r="AK18" s="12" t="s">
        <v>1106</v>
      </c>
      <c r="AL18" s="43">
        <f t="shared" si="10"/>
        <v>35.93</v>
      </c>
      <c r="AM18" s="12" t="s">
        <v>913</v>
      </c>
      <c r="AN18" s="12" t="s">
        <v>914</v>
      </c>
      <c r="AO18" s="12" t="s">
        <v>1311</v>
      </c>
      <c r="AP18" s="12" t="s">
        <v>1312</v>
      </c>
      <c r="AQ18" s="12" t="s">
        <v>1313</v>
      </c>
      <c r="AR18" s="12" t="s">
        <v>1283</v>
      </c>
      <c r="AS18" s="12" t="s">
        <v>1284</v>
      </c>
      <c r="AT18" s="12" t="s">
        <v>95</v>
      </c>
      <c r="AU18" s="12" t="s">
        <v>1285</v>
      </c>
      <c r="AV18" s="12" t="s">
        <v>832</v>
      </c>
      <c r="AW18" s="12" t="s">
        <v>919</v>
      </c>
      <c r="AX18" s="12" t="s">
        <v>919</v>
      </c>
      <c r="AY18" s="12" t="s">
        <v>868</v>
      </c>
      <c r="AZ18" s="12" t="s">
        <v>1314</v>
      </c>
      <c r="BA18" s="12" t="s">
        <v>1315</v>
      </c>
      <c r="BB18" s="12" t="s">
        <v>868</v>
      </c>
      <c r="BC18" s="12" t="s">
        <v>866</v>
      </c>
      <c r="BD18" s="12" t="s">
        <v>867</v>
      </c>
      <c r="BE18" s="12" t="s">
        <v>868</v>
      </c>
      <c r="BF18" s="12" t="s">
        <v>869</v>
      </c>
      <c r="BG18" s="12" t="s">
        <v>870</v>
      </c>
      <c r="BH18" s="12" t="s">
        <v>841</v>
      </c>
      <c r="BI18" s="12" t="s">
        <v>871</v>
      </c>
      <c r="BJ18" s="12" t="s">
        <v>841</v>
      </c>
      <c r="BK18" s="12" t="s">
        <v>841</v>
      </c>
      <c r="BL18" s="12" t="s">
        <v>872</v>
      </c>
      <c r="BM18" s="12" t="s">
        <v>873</v>
      </c>
      <c r="BN18" s="12" t="s">
        <v>866</v>
      </c>
      <c r="BO18" s="12" t="s">
        <v>874</v>
      </c>
      <c r="BP18" s="12" t="s">
        <v>875</v>
      </c>
      <c r="BQ18" s="12" t="s">
        <v>876</v>
      </c>
      <c r="BR18" s="12" t="s">
        <v>869</v>
      </c>
      <c r="BS18" s="12" t="s">
        <v>869</v>
      </c>
      <c r="BT18" s="12" t="s">
        <v>877</v>
      </c>
      <c r="BU18" s="12" t="s">
        <v>877</v>
      </c>
      <c r="BV18" s="12" t="s">
        <v>877</v>
      </c>
      <c r="BW18" s="12" t="s">
        <v>841</v>
      </c>
      <c r="BX18" s="12" t="s">
        <v>878</v>
      </c>
      <c r="BY18" s="12" t="s">
        <v>841</v>
      </c>
      <c r="BZ18" s="12" t="s">
        <v>841</v>
      </c>
      <c r="CA18" s="12" t="s">
        <v>841</v>
      </c>
      <c r="CB18" s="12" t="s">
        <v>841</v>
      </c>
      <c r="CC18" s="12" t="s">
        <v>1316</v>
      </c>
      <c r="CD18" s="12" t="s">
        <v>1317</v>
      </c>
      <c r="CE18" s="12" t="s">
        <v>1318</v>
      </c>
      <c r="CF18" s="12" t="s">
        <v>1319</v>
      </c>
      <c r="CG18" s="12" t="s">
        <v>1320</v>
      </c>
      <c r="CH18" s="12" t="s">
        <v>1321</v>
      </c>
      <c r="CI18" s="12" t="s">
        <v>1322</v>
      </c>
      <c r="CJ18" s="12" t="s">
        <v>1323</v>
      </c>
      <c r="CK18" s="12" t="s">
        <v>1305</v>
      </c>
      <c r="CL18" s="12" t="s">
        <v>1324</v>
      </c>
      <c r="CM18" s="12" t="s">
        <v>888</v>
      </c>
      <c r="CN18" s="12" t="s">
        <v>841</v>
      </c>
      <c r="CO18" s="12" t="s">
        <v>847</v>
      </c>
      <c r="CP18" s="12" t="s">
        <v>889</v>
      </c>
      <c r="CQ18" s="12" t="s">
        <v>890</v>
      </c>
      <c r="CR18" s="12" t="s">
        <v>847</v>
      </c>
      <c r="CS18" s="12" t="s">
        <v>891</v>
      </c>
      <c r="CT18" s="12" t="s">
        <v>892</v>
      </c>
      <c r="CU18" s="12" t="s">
        <v>893</v>
      </c>
      <c r="CV18" s="12" t="s">
        <v>841</v>
      </c>
      <c r="CW18" s="12" t="s">
        <v>1304</v>
      </c>
      <c r="CX18" s="12" t="s">
        <v>894</v>
      </c>
      <c r="CY18" s="12" t="s">
        <v>895</v>
      </c>
      <c r="CZ18" s="12" t="s">
        <v>896</v>
      </c>
      <c r="DA18" s="12" t="s">
        <v>897</v>
      </c>
      <c r="DB18" s="12" t="s">
        <v>898</v>
      </c>
      <c r="DC18" s="12" t="s">
        <v>899</v>
      </c>
    </row>
    <row r="19">
      <c r="A19" s="12" t="s">
        <v>934</v>
      </c>
      <c r="B19" s="12" t="s">
        <v>216</v>
      </c>
      <c r="C19" s="12" t="s">
        <v>95</v>
      </c>
      <c r="D19" s="12" t="s">
        <v>833</v>
      </c>
      <c r="E19" s="12" t="s">
        <v>834</v>
      </c>
      <c r="F19" s="12"/>
      <c r="G19" s="12" t="s">
        <v>202</v>
      </c>
      <c r="H19" s="12" t="s">
        <v>203</v>
      </c>
      <c r="I19" s="12"/>
      <c r="J19" s="43">
        <f t="shared" si="1"/>
        <v>0.1662757488</v>
      </c>
      <c r="K19" s="43">
        <f t="shared" si="2"/>
        <v>2.91139968</v>
      </c>
      <c r="L19" s="43">
        <f t="shared" si="3"/>
        <v>0.1572924674</v>
      </c>
      <c r="M19" s="43">
        <f t="shared" si="4"/>
        <v>9.617947321</v>
      </c>
      <c r="N19" s="12" t="s">
        <v>1325</v>
      </c>
      <c r="O19" s="12" t="s">
        <v>1326</v>
      </c>
      <c r="P19" s="43">
        <f t="shared" si="5"/>
        <v>7.481249605</v>
      </c>
      <c r="Q19" s="43">
        <f t="shared" si="6"/>
        <v>5.717154605</v>
      </c>
      <c r="R19" s="12" t="s">
        <v>1327</v>
      </c>
      <c r="S19" s="12" t="s">
        <v>1328</v>
      </c>
      <c r="T19" s="43">
        <f t="shared" si="7"/>
        <v>76.24591933</v>
      </c>
      <c r="U19" s="43">
        <f t="shared" si="8"/>
        <v>0.4417875</v>
      </c>
      <c r="V19" s="12" t="s">
        <v>839</v>
      </c>
      <c r="W19" s="12" t="s">
        <v>1329</v>
      </c>
      <c r="X19" s="12" t="s">
        <v>841</v>
      </c>
      <c r="Y19" s="12" t="s">
        <v>841</v>
      </c>
      <c r="Z19" s="12" t="s">
        <v>841</v>
      </c>
      <c r="AA19" s="12" t="s">
        <v>1330</v>
      </c>
      <c r="AB19" s="12" t="s">
        <v>1331</v>
      </c>
      <c r="AC19" s="12" t="s">
        <v>1332</v>
      </c>
      <c r="AD19" s="12" t="s">
        <v>845</v>
      </c>
      <c r="AE19" s="12" t="s">
        <v>846</v>
      </c>
      <c r="AF19" s="43">
        <f t="shared" si="9"/>
        <v>62.4125024</v>
      </c>
      <c r="AG19" s="12" t="s">
        <v>847</v>
      </c>
      <c r="AH19" s="12" t="s">
        <v>1333</v>
      </c>
      <c r="AI19" s="12" t="s">
        <v>1334</v>
      </c>
      <c r="AJ19" s="12" t="s">
        <v>1335</v>
      </c>
      <c r="AK19" s="12" t="s">
        <v>1336</v>
      </c>
      <c r="AL19" s="43">
        <f t="shared" si="10"/>
        <v>40.17</v>
      </c>
      <c r="AM19" s="12" t="s">
        <v>981</v>
      </c>
      <c r="AN19" s="12" t="s">
        <v>1337</v>
      </c>
      <c r="AO19" s="12" t="s">
        <v>1338</v>
      </c>
      <c r="AP19" s="12" t="s">
        <v>1339</v>
      </c>
      <c r="AQ19" s="12" t="s">
        <v>1340</v>
      </c>
      <c r="AR19" s="12" t="s">
        <v>1341</v>
      </c>
      <c r="AS19" s="12" t="s">
        <v>1284</v>
      </c>
      <c r="AT19" s="12" t="s">
        <v>95</v>
      </c>
      <c r="AU19" s="12" t="s">
        <v>1285</v>
      </c>
      <c r="AV19" s="12" t="s">
        <v>832</v>
      </c>
      <c r="AW19" s="12" t="s">
        <v>1342</v>
      </c>
      <c r="AX19" s="12" t="s">
        <v>1342</v>
      </c>
      <c r="AY19" s="12" t="s">
        <v>919</v>
      </c>
      <c r="AZ19" s="12" t="s">
        <v>1343</v>
      </c>
      <c r="BA19" s="12" t="s">
        <v>1344</v>
      </c>
      <c r="BB19" s="12" t="s">
        <v>1345</v>
      </c>
      <c r="BC19" s="12" t="s">
        <v>866</v>
      </c>
      <c r="BD19" s="12" t="s">
        <v>867</v>
      </c>
      <c r="BE19" s="12" t="s">
        <v>868</v>
      </c>
      <c r="BF19" s="12" t="s">
        <v>869</v>
      </c>
      <c r="BG19" s="12" t="s">
        <v>870</v>
      </c>
      <c r="BH19" s="12" t="s">
        <v>841</v>
      </c>
      <c r="BI19" s="12" t="s">
        <v>871</v>
      </c>
      <c r="BJ19" s="12" t="s">
        <v>841</v>
      </c>
      <c r="BK19" s="12" t="s">
        <v>841</v>
      </c>
      <c r="BL19" s="12" t="s">
        <v>872</v>
      </c>
      <c r="BM19" s="12" t="s">
        <v>873</v>
      </c>
      <c r="BN19" s="12" t="s">
        <v>866</v>
      </c>
      <c r="BO19" s="12" t="s">
        <v>874</v>
      </c>
      <c r="BP19" s="12" t="s">
        <v>875</v>
      </c>
      <c r="BQ19" s="12" t="s">
        <v>876</v>
      </c>
      <c r="BR19" s="12" t="s">
        <v>869</v>
      </c>
      <c r="BS19" s="12" t="s">
        <v>869</v>
      </c>
      <c r="BT19" s="12" t="s">
        <v>877</v>
      </c>
      <c r="BU19" s="12" t="s">
        <v>877</v>
      </c>
      <c r="BV19" s="12" t="s">
        <v>877</v>
      </c>
      <c r="BW19" s="12" t="s">
        <v>841</v>
      </c>
      <c r="BX19" s="12" t="s">
        <v>878</v>
      </c>
      <c r="BY19" s="12" t="s">
        <v>841</v>
      </c>
      <c r="BZ19" s="12" t="s">
        <v>841</v>
      </c>
      <c r="CA19" s="12" t="s">
        <v>841</v>
      </c>
      <c r="CB19" s="12" t="s">
        <v>841</v>
      </c>
      <c r="CC19" s="12" t="s">
        <v>1346</v>
      </c>
      <c r="CD19" s="12" t="s">
        <v>1347</v>
      </c>
      <c r="CE19" s="12" t="s">
        <v>1348</v>
      </c>
      <c r="CF19" s="12" t="s">
        <v>1349</v>
      </c>
      <c r="CG19" s="12" t="s">
        <v>1350</v>
      </c>
      <c r="CH19" s="12" t="s">
        <v>1351</v>
      </c>
      <c r="CI19" s="12" t="s">
        <v>1352</v>
      </c>
      <c r="CJ19" s="12" t="s">
        <v>1353</v>
      </c>
      <c r="CK19" s="12" t="s">
        <v>1330</v>
      </c>
      <c r="CL19" s="12" t="s">
        <v>1354</v>
      </c>
      <c r="CM19" s="12" t="s">
        <v>888</v>
      </c>
      <c r="CN19" s="12" t="s">
        <v>841</v>
      </c>
      <c r="CO19" s="12" t="s">
        <v>847</v>
      </c>
      <c r="CP19" s="12" t="s">
        <v>889</v>
      </c>
      <c r="CQ19" s="12" t="s">
        <v>890</v>
      </c>
      <c r="CR19" s="12" t="s">
        <v>847</v>
      </c>
      <c r="CS19" s="12" t="s">
        <v>891</v>
      </c>
      <c r="CT19" s="12" t="s">
        <v>892</v>
      </c>
      <c r="CU19" s="12" t="s">
        <v>893</v>
      </c>
      <c r="CV19" s="12" t="s">
        <v>841</v>
      </c>
      <c r="CW19" s="12" t="s">
        <v>1329</v>
      </c>
      <c r="CX19" s="12" t="s">
        <v>894</v>
      </c>
      <c r="CY19" s="12" t="s">
        <v>895</v>
      </c>
      <c r="CZ19" s="12" t="s">
        <v>896</v>
      </c>
      <c r="DA19" s="12" t="s">
        <v>897</v>
      </c>
      <c r="DB19" s="12" t="s">
        <v>898</v>
      </c>
      <c r="DC19" s="12" t="s">
        <v>899</v>
      </c>
    </row>
    <row r="20">
      <c r="A20" s="12" t="s">
        <v>968</v>
      </c>
      <c r="B20" s="12" t="s">
        <v>226</v>
      </c>
      <c r="C20" s="12" t="s">
        <v>95</v>
      </c>
      <c r="D20" s="12" t="s">
        <v>833</v>
      </c>
      <c r="E20" s="12" t="s">
        <v>834</v>
      </c>
      <c r="F20" s="12"/>
      <c r="G20" s="12" t="s">
        <v>202</v>
      </c>
      <c r="H20" s="12" t="s">
        <v>225</v>
      </c>
      <c r="I20" s="12"/>
      <c r="J20" s="43">
        <f t="shared" si="1"/>
        <v>0.01443987936</v>
      </c>
      <c r="K20" s="43">
        <f t="shared" si="2"/>
        <v>2.90981592</v>
      </c>
      <c r="L20" s="43">
        <f t="shared" si="3"/>
        <v>0.01436857571</v>
      </c>
      <c r="M20" s="43">
        <f t="shared" si="4"/>
        <v>0.7208994559</v>
      </c>
      <c r="N20" s="12" t="s">
        <v>1355</v>
      </c>
      <c r="O20" s="12" t="s">
        <v>1356</v>
      </c>
      <c r="P20" s="43">
        <f t="shared" si="5"/>
        <v>6.11470015</v>
      </c>
      <c r="Q20" s="43">
        <f t="shared" si="6"/>
        <v>4.73285115</v>
      </c>
      <c r="R20" s="12" t="s">
        <v>1357</v>
      </c>
      <c r="S20" s="12" t="s">
        <v>1358</v>
      </c>
      <c r="T20" s="43">
        <f t="shared" si="7"/>
        <v>62.34400643</v>
      </c>
      <c r="U20" s="43">
        <f t="shared" si="8"/>
        <v>0.4417875</v>
      </c>
      <c r="V20" s="12" t="s">
        <v>839</v>
      </c>
      <c r="W20" s="12" t="s">
        <v>1359</v>
      </c>
      <c r="X20" s="12" t="s">
        <v>841</v>
      </c>
      <c r="Y20" s="12" t="s">
        <v>841</v>
      </c>
      <c r="Z20" s="12" t="s">
        <v>841</v>
      </c>
      <c r="AA20" s="12" t="s">
        <v>1360</v>
      </c>
      <c r="AB20" s="12" t="s">
        <v>1361</v>
      </c>
      <c r="AC20" s="12" t="s">
        <v>1362</v>
      </c>
      <c r="AD20" s="12" t="s">
        <v>845</v>
      </c>
      <c r="AE20" s="12" t="s">
        <v>846</v>
      </c>
      <c r="AF20" s="43">
        <f t="shared" si="9"/>
        <v>7.908342</v>
      </c>
      <c r="AG20" s="12" t="s">
        <v>847</v>
      </c>
      <c r="AH20" s="12" t="s">
        <v>1363</v>
      </c>
      <c r="AI20" s="12" t="s">
        <v>1364</v>
      </c>
      <c r="AJ20" s="12" t="s">
        <v>1365</v>
      </c>
      <c r="AK20" s="12" t="s">
        <v>1366</v>
      </c>
      <c r="AL20" s="43">
        <f t="shared" si="10"/>
        <v>36.44</v>
      </c>
      <c r="AM20" s="12" t="s">
        <v>1367</v>
      </c>
      <c r="AN20" s="12" t="s">
        <v>914</v>
      </c>
      <c r="AO20" s="12" t="s">
        <v>1368</v>
      </c>
      <c r="AP20" s="12" t="s">
        <v>1369</v>
      </c>
      <c r="AQ20" s="12" t="s">
        <v>1370</v>
      </c>
      <c r="AR20" s="12" t="s">
        <v>1371</v>
      </c>
      <c r="AS20" s="12" t="s">
        <v>1284</v>
      </c>
      <c r="AT20" s="12" t="s">
        <v>95</v>
      </c>
      <c r="AU20" s="12" t="s">
        <v>1285</v>
      </c>
      <c r="AV20" s="12" t="s">
        <v>832</v>
      </c>
      <c r="AW20" s="12" t="s">
        <v>860</v>
      </c>
      <c r="AX20" s="12" t="s">
        <v>1372</v>
      </c>
      <c r="AY20" s="12" t="s">
        <v>868</v>
      </c>
      <c r="AZ20" s="12" t="s">
        <v>1373</v>
      </c>
      <c r="BA20" s="12" t="s">
        <v>1374</v>
      </c>
      <c r="BB20" s="12" t="s">
        <v>868</v>
      </c>
      <c r="BC20" s="12" t="s">
        <v>866</v>
      </c>
      <c r="BD20" s="12" t="s">
        <v>867</v>
      </c>
      <c r="BE20" s="12" t="s">
        <v>868</v>
      </c>
      <c r="BF20" s="12" t="s">
        <v>869</v>
      </c>
      <c r="BG20" s="12" t="s">
        <v>870</v>
      </c>
      <c r="BH20" s="12" t="s">
        <v>841</v>
      </c>
      <c r="BI20" s="12" t="s">
        <v>871</v>
      </c>
      <c r="BJ20" s="12" t="s">
        <v>841</v>
      </c>
      <c r="BK20" s="12" t="s">
        <v>841</v>
      </c>
      <c r="BL20" s="12" t="s">
        <v>872</v>
      </c>
      <c r="BM20" s="12" t="s">
        <v>873</v>
      </c>
      <c r="BN20" s="12" t="s">
        <v>866</v>
      </c>
      <c r="BO20" s="12" t="s">
        <v>874</v>
      </c>
      <c r="BP20" s="12" t="s">
        <v>875</v>
      </c>
      <c r="BQ20" s="12" t="s">
        <v>876</v>
      </c>
      <c r="BR20" s="12" t="s">
        <v>869</v>
      </c>
      <c r="BS20" s="12" t="s">
        <v>869</v>
      </c>
      <c r="BT20" s="12" t="s">
        <v>877</v>
      </c>
      <c r="BU20" s="12" t="s">
        <v>877</v>
      </c>
      <c r="BV20" s="12" t="s">
        <v>877</v>
      </c>
      <c r="BW20" s="12" t="s">
        <v>841</v>
      </c>
      <c r="BX20" s="12" t="s">
        <v>878</v>
      </c>
      <c r="BY20" s="12" t="s">
        <v>841</v>
      </c>
      <c r="BZ20" s="12" t="s">
        <v>841</v>
      </c>
      <c r="CA20" s="12" t="s">
        <v>841</v>
      </c>
      <c r="CB20" s="12" t="s">
        <v>841</v>
      </c>
      <c r="CC20" s="12" t="s">
        <v>1375</v>
      </c>
      <c r="CD20" s="12" t="s">
        <v>1376</v>
      </c>
      <c r="CE20" s="12" t="s">
        <v>1377</v>
      </c>
      <c r="CF20" s="12" t="s">
        <v>1378</v>
      </c>
      <c r="CG20" s="12" t="s">
        <v>1379</v>
      </c>
      <c r="CH20" s="12" t="s">
        <v>1380</v>
      </c>
      <c r="CI20" s="12" t="s">
        <v>1381</v>
      </c>
      <c r="CJ20" s="12" t="s">
        <v>1382</v>
      </c>
      <c r="CK20" s="12" t="s">
        <v>1383</v>
      </c>
      <c r="CL20" s="12" t="s">
        <v>1384</v>
      </c>
      <c r="CM20" s="12" t="s">
        <v>888</v>
      </c>
      <c r="CN20" s="12" t="s">
        <v>841</v>
      </c>
      <c r="CO20" s="12" t="s">
        <v>847</v>
      </c>
      <c r="CP20" s="12" t="s">
        <v>889</v>
      </c>
      <c r="CQ20" s="12" t="s">
        <v>890</v>
      </c>
      <c r="CR20" s="12" t="s">
        <v>847</v>
      </c>
      <c r="CS20" s="12" t="s">
        <v>891</v>
      </c>
      <c r="CT20" s="12" t="s">
        <v>892</v>
      </c>
      <c r="CU20" s="12" t="s">
        <v>893</v>
      </c>
      <c r="CV20" s="12" t="s">
        <v>841</v>
      </c>
      <c r="CW20" s="12" t="s">
        <v>1359</v>
      </c>
      <c r="CX20" s="12" t="s">
        <v>894</v>
      </c>
      <c r="CY20" s="12" t="s">
        <v>895</v>
      </c>
      <c r="CZ20" s="12" t="s">
        <v>896</v>
      </c>
      <c r="DA20" s="12" t="s">
        <v>897</v>
      </c>
      <c r="DB20" s="12" t="s">
        <v>898</v>
      </c>
      <c r="DC20" s="12" t="s">
        <v>899</v>
      </c>
    </row>
    <row r="21">
      <c r="A21" s="12" t="s">
        <v>997</v>
      </c>
      <c r="B21" s="12" t="s">
        <v>229</v>
      </c>
      <c r="C21" s="12" t="s">
        <v>95</v>
      </c>
      <c r="D21" s="12" t="s">
        <v>833</v>
      </c>
      <c r="E21" s="12" t="s">
        <v>834</v>
      </c>
      <c r="F21" s="12"/>
      <c r="G21" s="12" t="s">
        <v>202</v>
      </c>
      <c r="H21" s="12" t="s">
        <v>225</v>
      </c>
      <c r="I21" s="12"/>
      <c r="J21" s="43">
        <f t="shared" si="1"/>
        <v>0.003490296449</v>
      </c>
      <c r="K21" s="43">
        <f t="shared" si="2"/>
        <v>2.90981592</v>
      </c>
      <c r="L21" s="43">
        <f t="shared" si="3"/>
        <v>0.003486114888</v>
      </c>
      <c r="M21" s="43">
        <f t="shared" si="4"/>
        <v>0.1703291724</v>
      </c>
      <c r="N21" s="12" t="s">
        <v>1385</v>
      </c>
      <c r="O21" s="12" t="s">
        <v>1386</v>
      </c>
      <c r="P21" s="43">
        <f t="shared" si="5"/>
        <v>5.988505767</v>
      </c>
      <c r="Q21" s="43">
        <f t="shared" si="6"/>
        <v>4.611164767</v>
      </c>
      <c r="R21" s="12" t="s">
        <v>1387</v>
      </c>
      <c r="S21" s="12" t="s">
        <v>1388</v>
      </c>
      <c r="T21" s="43">
        <f t="shared" si="7"/>
        <v>61.06981202</v>
      </c>
      <c r="U21" s="43">
        <f t="shared" si="8"/>
        <v>0.4417875</v>
      </c>
      <c r="V21" s="12" t="s">
        <v>839</v>
      </c>
      <c r="W21" s="12" t="s">
        <v>1389</v>
      </c>
      <c r="X21" s="12" t="s">
        <v>841</v>
      </c>
      <c r="Y21" s="12" t="s">
        <v>841</v>
      </c>
      <c r="Z21" s="12" t="s">
        <v>841</v>
      </c>
      <c r="AA21" s="12" t="s">
        <v>1390</v>
      </c>
      <c r="AB21" s="12" t="s">
        <v>1391</v>
      </c>
      <c r="AC21" s="12" t="s">
        <v>1392</v>
      </c>
      <c r="AD21" s="12" t="s">
        <v>845</v>
      </c>
      <c r="AE21" s="12" t="s">
        <v>846</v>
      </c>
      <c r="AF21" s="43">
        <f t="shared" si="9"/>
        <v>4.4897248</v>
      </c>
      <c r="AG21" s="12" t="s">
        <v>847</v>
      </c>
      <c r="AH21" s="12" t="s">
        <v>1393</v>
      </c>
      <c r="AI21" s="12" t="s">
        <v>1394</v>
      </c>
      <c r="AJ21" s="12" t="s">
        <v>1310</v>
      </c>
      <c r="AK21" s="12" t="s">
        <v>1395</v>
      </c>
      <c r="AL21" s="43">
        <f t="shared" si="10"/>
        <v>36.06</v>
      </c>
      <c r="AM21" s="12" t="s">
        <v>1396</v>
      </c>
      <c r="AN21" s="12" t="s">
        <v>914</v>
      </c>
      <c r="AO21" s="12" t="s">
        <v>1397</v>
      </c>
      <c r="AP21" s="12" t="s">
        <v>1398</v>
      </c>
      <c r="AQ21" s="12" t="s">
        <v>1399</v>
      </c>
      <c r="AR21" s="12" t="s">
        <v>1400</v>
      </c>
      <c r="AS21" s="12" t="s">
        <v>1401</v>
      </c>
      <c r="AT21" s="12" t="s">
        <v>95</v>
      </c>
      <c r="AU21" s="12" t="s">
        <v>1402</v>
      </c>
      <c r="AV21" s="12" t="s">
        <v>832</v>
      </c>
      <c r="AW21" s="12" t="s">
        <v>1403</v>
      </c>
      <c r="AX21" s="12" t="s">
        <v>1403</v>
      </c>
      <c r="AY21" s="12" t="s">
        <v>1286</v>
      </c>
      <c r="AZ21" s="12" t="s">
        <v>1404</v>
      </c>
      <c r="BA21" s="12" t="s">
        <v>1405</v>
      </c>
      <c r="BB21" s="12" t="s">
        <v>1406</v>
      </c>
      <c r="BC21" s="12" t="s">
        <v>866</v>
      </c>
      <c r="BD21" s="12" t="s">
        <v>867</v>
      </c>
      <c r="BE21" s="12" t="s">
        <v>868</v>
      </c>
      <c r="BF21" s="12" t="s">
        <v>869</v>
      </c>
      <c r="BG21" s="12" t="s">
        <v>870</v>
      </c>
      <c r="BH21" s="12" t="s">
        <v>841</v>
      </c>
      <c r="BI21" s="12" t="s">
        <v>871</v>
      </c>
      <c r="BJ21" s="12" t="s">
        <v>841</v>
      </c>
      <c r="BK21" s="12" t="s">
        <v>841</v>
      </c>
      <c r="BL21" s="12" t="s">
        <v>872</v>
      </c>
      <c r="BM21" s="12" t="s">
        <v>873</v>
      </c>
      <c r="BN21" s="12" t="s">
        <v>866</v>
      </c>
      <c r="BO21" s="12" t="s">
        <v>874</v>
      </c>
      <c r="BP21" s="12" t="s">
        <v>875</v>
      </c>
      <c r="BQ21" s="12" t="s">
        <v>876</v>
      </c>
      <c r="BR21" s="12" t="s">
        <v>869</v>
      </c>
      <c r="BS21" s="12" t="s">
        <v>869</v>
      </c>
      <c r="BT21" s="12" t="s">
        <v>877</v>
      </c>
      <c r="BU21" s="12" t="s">
        <v>877</v>
      </c>
      <c r="BV21" s="12" t="s">
        <v>877</v>
      </c>
      <c r="BW21" s="12" t="s">
        <v>841</v>
      </c>
      <c r="BX21" s="12" t="s">
        <v>878</v>
      </c>
      <c r="BY21" s="12" t="s">
        <v>841</v>
      </c>
      <c r="BZ21" s="12" t="s">
        <v>841</v>
      </c>
      <c r="CA21" s="12" t="s">
        <v>841</v>
      </c>
      <c r="CB21" s="12" t="s">
        <v>841</v>
      </c>
      <c r="CC21" s="12" t="s">
        <v>1407</v>
      </c>
      <c r="CD21" s="12" t="s">
        <v>1408</v>
      </c>
      <c r="CE21" s="12" t="s">
        <v>1409</v>
      </c>
      <c r="CF21" s="12" t="s">
        <v>1410</v>
      </c>
      <c r="CG21" s="12" t="s">
        <v>1411</v>
      </c>
      <c r="CH21" s="12" t="s">
        <v>1412</v>
      </c>
      <c r="CI21" s="12" t="s">
        <v>1413</v>
      </c>
      <c r="CJ21" s="12" t="s">
        <v>1414</v>
      </c>
      <c r="CK21" s="12" t="s">
        <v>1390</v>
      </c>
      <c r="CL21" s="12" t="s">
        <v>1415</v>
      </c>
      <c r="CM21" s="12" t="s">
        <v>888</v>
      </c>
      <c r="CN21" s="12" t="s">
        <v>841</v>
      </c>
      <c r="CO21" s="12" t="s">
        <v>847</v>
      </c>
      <c r="CP21" s="12" t="s">
        <v>889</v>
      </c>
      <c r="CQ21" s="12" t="s">
        <v>890</v>
      </c>
      <c r="CR21" s="12" t="s">
        <v>847</v>
      </c>
      <c r="CS21" s="12" t="s">
        <v>891</v>
      </c>
      <c r="CT21" s="12" t="s">
        <v>892</v>
      </c>
      <c r="CU21" s="12" t="s">
        <v>893</v>
      </c>
      <c r="CV21" s="12" t="s">
        <v>841</v>
      </c>
      <c r="CW21" s="12" t="s">
        <v>1389</v>
      </c>
      <c r="CX21" s="12" t="s">
        <v>894</v>
      </c>
      <c r="CY21" s="12" t="s">
        <v>895</v>
      </c>
      <c r="CZ21" s="12" t="s">
        <v>896</v>
      </c>
      <c r="DA21" s="12" t="s">
        <v>897</v>
      </c>
      <c r="DB21" s="12" t="s">
        <v>898</v>
      </c>
      <c r="DC21" s="12" t="s">
        <v>899</v>
      </c>
    </row>
    <row r="22">
      <c r="A22" s="12" t="s">
        <v>1029</v>
      </c>
      <c r="B22" s="12" t="s">
        <v>230</v>
      </c>
      <c r="C22" s="12" t="s">
        <v>95</v>
      </c>
      <c r="D22" s="12" t="s">
        <v>833</v>
      </c>
      <c r="E22" s="12" t="s">
        <v>834</v>
      </c>
      <c r="F22" s="12"/>
      <c r="G22" s="12" t="s">
        <v>202</v>
      </c>
      <c r="H22" s="12" t="s">
        <v>225</v>
      </c>
      <c r="I22" s="12"/>
      <c r="J22" s="43">
        <f t="shared" si="1"/>
        <v>-0.001535234895</v>
      </c>
      <c r="K22" s="43">
        <f t="shared" si="2"/>
        <v>2.909022</v>
      </c>
      <c r="L22" s="43">
        <f t="shared" si="3"/>
        <v>-0.001536045543</v>
      </c>
      <c r="M22" s="43">
        <f t="shared" si="4"/>
        <v>-0.0745483979</v>
      </c>
      <c r="N22" s="12" t="s">
        <v>1416</v>
      </c>
      <c r="O22" s="12" t="s">
        <v>1417</v>
      </c>
      <c r="P22" s="43">
        <f t="shared" si="5"/>
        <v>5.962228731</v>
      </c>
      <c r="Q22" s="43">
        <f t="shared" si="6"/>
        <v>4.580852731</v>
      </c>
      <c r="R22" s="12" t="s">
        <v>1418</v>
      </c>
      <c r="S22" s="12" t="s">
        <v>1419</v>
      </c>
      <c r="T22" s="43">
        <f t="shared" si="7"/>
        <v>60.80184306</v>
      </c>
      <c r="U22" s="43">
        <f t="shared" si="8"/>
        <v>0.4417875</v>
      </c>
      <c r="V22" s="12" t="s">
        <v>839</v>
      </c>
      <c r="W22" s="12" t="s">
        <v>1420</v>
      </c>
      <c r="X22" s="12" t="s">
        <v>841</v>
      </c>
      <c r="Y22" s="12" t="s">
        <v>841</v>
      </c>
      <c r="Z22" s="12" t="s">
        <v>841</v>
      </c>
      <c r="AA22" s="12" t="s">
        <v>1421</v>
      </c>
      <c r="AB22" s="12" t="s">
        <v>1422</v>
      </c>
      <c r="AC22" s="12" t="s">
        <v>1423</v>
      </c>
      <c r="AD22" s="12" t="s">
        <v>845</v>
      </c>
      <c r="AE22" s="12" t="s">
        <v>846</v>
      </c>
      <c r="AF22" s="43">
        <f t="shared" si="9"/>
        <v>105.2432504</v>
      </c>
      <c r="AG22" s="12" t="s">
        <v>847</v>
      </c>
      <c r="AH22" s="12" t="s">
        <v>1424</v>
      </c>
      <c r="AI22" s="12" t="s">
        <v>1425</v>
      </c>
      <c r="AJ22" s="12" t="s">
        <v>1426</v>
      </c>
      <c r="AK22" s="12" t="s">
        <v>1427</v>
      </c>
      <c r="AL22" s="43">
        <f t="shared" si="10"/>
        <v>35.98</v>
      </c>
      <c r="AM22" s="12" t="s">
        <v>1396</v>
      </c>
      <c r="AN22" s="12" t="s">
        <v>1072</v>
      </c>
      <c r="AO22" s="12" t="s">
        <v>1428</v>
      </c>
      <c r="AP22" s="12" t="s">
        <v>1429</v>
      </c>
      <c r="AQ22" s="12" t="s">
        <v>1430</v>
      </c>
      <c r="AR22" s="12" t="s">
        <v>1431</v>
      </c>
      <c r="AS22" s="12" t="s">
        <v>1401</v>
      </c>
      <c r="AT22" s="12" t="s">
        <v>95</v>
      </c>
      <c r="AU22" s="12" t="s">
        <v>1402</v>
      </c>
      <c r="AV22" s="12" t="s">
        <v>832</v>
      </c>
      <c r="AW22" s="12" t="s">
        <v>860</v>
      </c>
      <c r="AX22" s="12" t="s">
        <v>868</v>
      </c>
      <c r="AY22" s="12" t="s">
        <v>868</v>
      </c>
      <c r="AZ22" s="12" t="s">
        <v>1432</v>
      </c>
      <c r="BA22" s="12" t="s">
        <v>868</v>
      </c>
      <c r="BB22" s="12" t="s">
        <v>868</v>
      </c>
      <c r="BC22" s="12" t="s">
        <v>866</v>
      </c>
      <c r="BD22" s="12" t="s">
        <v>867</v>
      </c>
      <c r="BE22" s="12" t="s">
        <v>868</v>
      </c>
      <c r="BF22" s="12" t="s">
        <v>869</v>
      </c>
      <c r="BG22" s="12" t="s">
        <v>870</v>
      </c>
      <c r="BH22" s="12" t="s">
        <v>841</v>
      </c>
      <c r="BI22" s="12" t="s">
        <v>871</v>
      </c>
      <c r="BJ22" s="12" t="s">
        <v>841</v>
      </c>
      <c r="BK22" s="12" t="s">
        <v>841</v>
      </c>
      <c r="BL22" s="12" t="s">
        <v>872</v>
      </c>
      <c r="BM22" s="12" t="s">
        <v>873</v>
      </c>
      <c r="BN22" s="12" t="s">
        <v>866</v>
      </c>
      <c r="BO22" s="12" t="s">
        <v>874</v>
      </c>
      <c r="BP22" s="12" t="s">
        <v>875</v>
      </c>
      <c r="BQ22" s="12" t="s">
        <v>876</v>
      </c>
      <c r="BR22" s="12" t="s">
        <v>869</v>
      </c>
      <c r="BS22" s="12" t="s">
        <v>869</v>
      </c>
      <c r="BT22" s="12" t="s">
        <v>877</v>
      </c>
      <c r="BU22" s="12" t="s">
        <v>877</v>
      </c>
      <c r="BV22" s="12" t="s">
        <v>877</v>
      </c>
      <c r="BW22" s="12" t="s">
        <v>841</v>
      </c>
      <c r="BX22" s="12" t="s">
        <v>878</v>
      </c>
      <c r="BY22" s="12" t="s">
        <v>841</v>
      </c>
      <c r="BZ22" s="12" t="s">
        <v>841</v>
      </c>
      <c r="CA22" s="12" t="s">
        <v>841</v>
      </c>
      <c r="CB22" s="12" t="s">
        <v>841</v>
      </c>
      <c r="CC22" s="12" t="s">
        <v>1433</v>
      </c>
      <c r="CD22" s="12" t="s">
        <v>1434</v>
      </c>
      <c r="CE22" s="12" t="s">
        <v>1435</v>
      </c>
      <c r="CF22" s="12" t="s">
        <v>1436</v>
      </c>
      <c r="CG22" s="12" t="s">
        <v>1437</v>
      </c>
      <c r="CH22" s="12" t="s">
        <v>1438</v>
      </c>
      <c r="CI22" s="12" t="s">
        <v>1439</v>
      </c>
      <c r="CJ22" s="12" t="s">
        <v>1440</v>
      </c>
      <c r="CK22" s="12" t="s">
        <v>1421</v>
      </c>
      <c r="CL22" s="12" t="s">
        <v>1028</v>
      </c>
      <c r="CM22" s="12" t="s">
        <v>888</v>
      </c>
      <c r="CN22" s="12" t="s">
        <v>841</v>
      </c>
      <c r="CO22" s="12" t="s">
        <v>847</v>
      </c>
      <c r="CP22" s="12" t="s">
        <v>889</v>
      </c>
      <c r="CQ22" s="12" t="s">
        <v>890</v>
      </c>
      <c r="CR22" s="12" t="s">
        <v>847</v>
      </c>
      <c r="CS22" s="12" t="s">
        <v>891</v>
      </c>
      <c r="CT22" s="12" t="s">
        <v>892</v>
      </c>
      <c r="CU22" s="12" t="s">
        <v>893</v>
      </c>
      <c r="CV22" s="12" t="s">
        <v>841</v>
      </c>
      <c r="CW22" s="12" t="s">
        <v>1420</v>
      </c>
      <c r="CX22" s="12" t="s">
        <v>894</v>
      </c>
      <c r="CY22" s="12" t="s">
        <v>895</v>
      </c>
      <c r="CZ22" s="12" t="s">
        <v>896</v>
      </c>
      <c r="DA22" s="12" t="s">
        <v>897</v>
      </c>
      <c r="DB22" s="12" t="s">
        <v>898</v>
      </c>
      <c r="DC22" s="12" t="s">
        <v>899</v>
      </c>
    </row>
    <row r="23">
      <c r="A23" s="12" t="s">
        <v>1058</v>
      </c>
      <c r="B23" s="12" t="s">
        <v>232</v>
      </c>
      <c r="C23" s="12" t="s">
        <v>95</v>
      </c>
      <c r="D23" s="12" t="s">
        <v>833</v>
      </c>
      <c r="E23" s="12" t="s">
        <v>834</v>
      </c>
      <c r="F23" s="12" t="s">
        <v>1441</v>
      </c>
      <c r="G23" s="12" t="s">
        <v>202</v>
      </c>
      <c r="H23" s="12" t="s">
        <v>231</v>
      </c>
      <c r="I23" s="12"/>
      <c r="J23" s="43">
        <f t="shared" si="1"/>
        <v>0.01042880586</v>
      </c>
      <c r="K23" s="43">
        <f t="shared" si="2"/>
        <v>2.90981592</v>
      </c>
      <c r="L23" s="43">
        <f t="shared" si="3"/>
        <v>0.01039156241</v>
      </c>
      <c r="M23" s="43">
        <f t="shared" si="4"/>
        <v>0.4804896027</v>
      </c>
      <c r="N23" s="12" t="s">
        <v>1442</v>
      </c>
      <c r="O23" s="12" t="s">
        <v>1443</v>
      </c>
      <c r="P23" s="43">
        <f t="shared" si="5"/>
        <v>5.758773599</v>
      </c>
      <c r="Q23" s="43">
        <f t="shared" si="6"/>
        <v>4.370723599</v>
      </c>
      <c r="R23" s="12" t="s">
        <v>1444</v>
      </c>
      <c r="S23" s="12" t="s">
        <v>1445</v>
      </c>
      <c r="T23" s="43">
        <f t="shared" si="7"/>
        <v>58.70309479</v>
      </c>
      <c r="U23" s="43">
        <f t="shared" si="8"/>
        <v>0.4417875</v>
      </c>
      <c r="V23" s="12" t="s">
        <v>839</v>
      </c>
      <c r="W23" s="12" t="s">
        <v>1446</v>
      </c>
      <c r="X23" s="12" t="s">
        <v>841</v>
      </c>
      <c r="Y23" s="12" t="s">
        <v>841</v>
      </c>
      <c r="Z23" s="12" t="s">
        <v>841</v>
      </c>
      <c r="AA23" s="12" t="s">
        <v>1447</v>
      </c>
      <c r="AB23" s="12" t="s">
        <v>1448</v>
      </c>
      <c r="AC23" s="12" t="s">
        <v>1449</v>
      </c>
      <c r="AD23" s="12" t="s">
        <v>845</v>
      </c>
      <c r="AE23" s="12" t="s">
        <v>846</v>
      </c>
      <c r="AF23" s="43">
        <f t="shared" si="9"/>
        <v>62.4937184</v>
      </c>
      <c r="AG23" s="12" t="s">
        <v>847</v>
      </c>
      <c r="AH23" s="12" t="s">
        <v>1450</v>
      </c>
      <c r="AI23" s="12" t="s">
        <v>1451</v>
      </c>
      <c r="AJ23" s="12" t="s">
        <v>1452</v>
      </c>
      <c r="AK23" s="12" t="s">
        <v>1453</v>
      </c>
      <c r="AL23" s="43">
        <f t="shared" si="10"/>
        <v>35.35</v>
      </c>
      <c r="AM23" s="12" t="s">
        <v>852</v>
      </c>
      <c r="AN23" s="12" t="s">
        <v>914</v>
      </c>
      <c r="AO23" s="12" t="s">
        <v>1454</v>
      </c>
      <c r="AP23" s="12" t="s">
        <v>1455</v>
      </c>
      <c r="AQ23" s="12" t="s">
        <v>404</v>
      </c>
      <c r="AR23" s="12" t="s">
        <v>1456</v>
      </c>
      <c r="AS23" s="12" t="s">
        <v>1401</v>
      </c>
      <c r="AT23" s="12" t="s">
        <v>95</v>
      </c>
      <c r="AU23" s="12" t="s">
        <v>1402</v>
      </c>
      <c r="AV23" s="12" t="s">
        <v>832</v>
      </c>
      <c r="AW23" s="12" t="s">
        <v>1226</v>
      </c>
      <c r="AX23" s="12" t="s">
        <v>1342</v>
      </c>
      <c r="AY23" s="12" t="s">
        <v>1457</v>
      </c>
      <c r="AZ23" s="12" t="s">
        <v>1458</v>
      </c>
      <c r="BA23" s="12" t="s">
        <v>1459</v>
      </c>
      <c r="BB23" s="12" t="s">
        <v>1460</v>
      </c>
      <c r="BC23" s="12" t="s">
        <v>866</v>
      </c>
      <c r="BD23" s="12" t="s">
        <v>867</v>
      </c>
      <c r="BE23" s="12" t="s">
        <v>868</v>
      </c>
      <c r="BF23" s="12" t="s">
        <v>869</v>
      </c>
      <c r="BG23" s="12" t="s">
        <v>870</v>
      </c>
      <c r="BH23" s="12" t="s">
        <v>841</v>
      </c>
      <c r="BI23" s="12" t="s">
        <v>871</v>
      </c>
      <c r="BJ23" s="12" t="s">
        <v>841</v>
      </c>
      <c r="BK23" s="12" t="s">
        <v>841</v>
      </c>
      <c r="BL23" s="12" t="s">
        <v>872</v>
      </c>
      <c r="BM23" s="12" t="s">
        <v>873</v>
      </c>
      <c r="BN23" s="12" t="s">
        <v>866</v>
      </c>
      <c r="BO23" s="12" t="s">
        <v>874</v>
      </c>
      <c r="BP23" s="12" t="s">
        <v>875</v>
      </c>
      <c r="BQ23" s="12" t="s">
        <v>876</v>
      </c>
      <c r="BR23" s="12" t="s">
        <v>869</v>
      </c>
      <c r="BS23" s="12" t="s">
        <v>869</v>
      </c>
      <c r="BT23" s="12" t="s">
        <v>877</v>
      </c>
      <c r="BU23" s="12" t="s">
        <v>877</v>
      </c>
      <c r="BV23" s="12" t="s">
        <v>877</v>
      </c>
      <c r="BW23" s="12" t="s">
        <v>841</v>
      </c>
      <c r="BX23" s="12" t="s">
        <v>878</v>
      </c>
      <c r="BY23" s="12" t="s">
        <v>841</v>
      </c>
      <c r="BZ23" s="12" t="s">
        <v>841</v>
      </c>
      <c r="CA23" s="12" t="s">
        <v>841</v>
      </c>
      <c r="CB23" s="12" t="s">
        <v>841</v>
      </c>
      <c r="CC23" s="12" t="s">
        <v>1461</v>
      </c>
      <c r="CD23" s="12" t="s">
        <v>1462</v>
      </c>
      <c r="CE23" s="12" t="s">
        <v>1463</v>
      </c>
      <c r="CF23" s="12" t="s">
        <v>1464</v>
      </c>
      <c r="CG23" s="12" t="s">
        <v>1465</v>
      </c>
      <c r="CH23" s="12" t="s">
        <v>1466</v>
      </c>
      <c r="CI23" s="12" t="s">
        <v>1467</v>
      </c>
      <c r="CJ23" s="12" t="s">
        <v>1468</v>
      </c>
      <c r="CK23" s="12" t="s">
        <v>1447</v>
      </c>
      <c r="CL23" s="12" t="s">
        <v>1415</v>
      </c>
      <c r="CM23" s="12" t="s">
        <v>888</v>
      </c>
      <c r="CN23" s="12" t="s">
        <v>841</v>
      </c>
      <c r="CO23" s="12" t="s">
        <v>847</v>
      </c>
      <c r="CP23" s="12" t="s">
        <v>889</v>
      </c>
      <c r="CQ23" s="12" t="s">
        <v>890</v>
      </c>
      <c r="CR23" s="12" t="s">
        <v>847</v>
      </c>
      <c r="CS23" s="12" t="s">
        <v>891</v>
      </c>
      <c r="CT23" s="12" t="s">
        <v>892</v>
      </c>
      <c r="CU23" s="12" t="s">
        <v>893</v>
      </c>
      <c r="CV23" s="12" t="s">
        <v>841</v>
      </c>
      <c r="CW23" s="12" t="s">
        <v>1446</v>
      </c>
      <c r="CX23" s="12" t="s">
        <v>894</v>
      </c>
      <c r="CY23" s="12" t="s">
        <v>895</v>
      </c>
      <c r="CZ23" s="12" t="s">
        <v>896</v>
      </c>
      <c r="DA23" s="12" t="s">
        <v>897</v>
      </c>
      <c r="DB23" s="12" t="s">
        <v>898</v>
      </c>
      <c r="DC23" s="12" t="s">
        <v>899</v>
      </c>
    </row>
    <row r="24">
      <c r="A24" s="12" t="s">
        <v>1094</v>
      </c>
      <c r="B24" s="12" t="s">
        <v>236</v>
      </c>
      <c r="C24" s="12" t="s">
        <v>95</v>
      </c>
      <c r="D24" s="12" t="s">
        <v>833</v>
      </c>
      <c r="E24" s="12" t="s">
        <v>834</v>
      </c>
      <c r="F24" s="12"/>
      <c r="G24" s="12" t="s">
        <v>202</v>
      </c>
      <c r="H24" s="12" t="s">
        <v>231</v>
      </c>
      <c r="I24" s="12"/>
      <c r="J24" s="43">
        <f t="shared" si="1"/>
        <v>0.07029673618</v>
      </c>
      <c r="K24" s="43">
        <f t="shared" si="2"/>
        <v>2.90981592</v>
      </c>
      <c r="L24" s="43">
        <f t="shared" si="3"/>
        <v>0.06863853339</v>
      </c>
      <c r="M24" s="43">
        <f t="shared" si="4"/>
        <v>3.313360552</v>
      </c>
      <c r="N24" s="12" t="s">
        <v>1469</v>
      </c>
      <c r="O24" s="12" t="s">
        <v>1470</v>
      </c>
      <c r="P24" s="43">
        <f t="shared" si="5"/>
        <v>6.071270967</v>
      </c>
      <c r="Q24" s="43">
        <f t="shared" si="6"/>
        <v>4.552299967</v>
      </c>
      <c r="R24" s="12" t="s">
        <v>1471</v>
      </c>
      <c r="S24" s="12" t="s">
        <v>1472</v>
      </c>
      <c r="T24" s="43">
        <f t="shared" si="7"/>
        <v>61.88859294</v>
      </c>
      <c r="U24" s="43">
        <f t="shared" si="8"/>
        <v>0.4417875</v>
      </c>
      <c r="V24" s="12" t="s">
        <v>839</v>
      </c>
      <c r="W24" s="12" t="s">
        <v>1473</v>
      </c>
      <c r="X24" s="12" t="s">
        <v>841</v>
      </c>
      <c r="Y24" s="12" t="s">
        <v>841</v>
      </c>
      <c r="Z24" s="12" t="s">
        <v>841</v>
      </c>
      <c r="AA24" s="12" t="s">
        <v>1474</v>
      </c>
      <c r="AB24" s="12" t="s">
        <v>1475</v>
      </c>
      <c r="AC24" s="12" t="s">
        <v>1476</v>
      </c>
      <c r="AD24" s="12" t="s">
        <v>845</v>
      </c>
      <c r="AE24" s="12" t="s">
        <v>846</v>
      </c>
      <c r="AF24" s="43">
        <f t="shared" si="9"/>
        <v>93.2686032</v>
      </c>
      <c r="AG24" s="12" t="s">
        <v>847</v>
      </c>
      <c r="AH24" s="12" t="s">
        <v>1477</v>
      </c>
      <c r="AI24" s="12" t="s">
        <v>1478</v>
      </c>
      <c r="AJ24" s="12" t="s">
        <v>1479</v>
      </c>
      <c r="AK24" s="12" t="s">
        <v>1480</v>
      </c>
      <c r="AL24" s="43">
        <f t="shared" si="10"/>
        <v>36.31</v>
      </c>
      <c r="AM24" s="12" t="s">
        <v>852</v>
      </c>
      <c r="AN24" s="12" t="s">
        <v>914</v>
      </c>
      <c r="AO24" s="12" t="s">
        <v>1481</v>
      </c>
      <c r="AP24" s="12" t="s">
        <v>1482</v>
      </c>
      <c r="AQ24" s="12" t="s">
        <v>1483</v>
      </c>
      <c r="AR24" s="12" t="s">
        <v>1484</v>
      </c>
      <c r="AS24" s="12" t="s">
        <v>1401</v>
      </c>
      <c r="AT24" s="12" t="s">
        <v>95</v>
      </c>
      <c r="AU24" s="12" t="s">
        <v>1402</v>
      </c>
      <c r="AV24" s="12" t="s">
        <v>832</v>
      </c>
      <c r="AW24" s="12" t="s">
        <v>860</v>
      </c>
      <c r="AX24" s="12" t="s">
        <v>861</v>
      </c>
      <c r="AY24" s="12" t="s">
        <v>1286</v>
      </c>
      <c r="AZ24" s="12" t="s">
        <v>1485</v>
      </c>
      <c r="BA24" s="12" t="s">
        <v>1486</v>
      </c>
      <c r="BB24" s="12" t="s">
        <v>1487</v>
      </c>
      <c r="BC24" s="12" t="s">
        <v>866</v>
      </c>
      <c r="BD24" s="12" t="s">
        <v>867</v>
      </c>
      <c r="BE24" s="12" t="s">
        <v>868</v>
      </c>
      <c r="BF24" s="12" t="s">
        <v>869</v>
      </c>
      <c r="BG24" s="12" t="s">
        <v>870</v>
      </c>
      <c r="BH24" s="12" t="s">
        <v>841</v>
      </c>
      <c r="BI24" s="12" t="s">
        <v>871</v>
      </c>
      <c r="BJ24" s="12" t="s">
        <v>841</v>
      </c>
      <c r="BK24" s="12" t="s">
        <v>841</v>
      </c>
      <c r="BL24" s="12" t="s">
        <v>872</v>
      </c>
      <c r="BM24" s="12" t="s">
        <v>873</v>
      </c>
      <c r="BN24" s="12" t="s">
        <v>866</v>
      </c>
      <c r="BO24" s="12" t="s">
        <v>874</v>
      </c>
      <c r="BP24" s="12" t="s">
        <v>875</v>
      </c>
      <c r="BQ24" s="12" t="s">
        <v>876</v>
      </c>
      <c r="BR24" s="12" t="s">
        <v>869</v>
      </c>
      <c r="BS24" s="12" t="s">
        <v>869</v>
      </c>
      <c r="BT24" s="12" t="s">
        <v>877</v>
      </c>
      <c r="BU24" s="12" t="s">
        <v>877</v>
      </c>
      <c r="BV24" s="12" t="s">
        <v>877</v>
      </c>
      <c r="BW24" s="12" t="s">
        <v>841</v>
      </c>
      <c r="BX24" s="12" t="s">
        <v>878</v>
      </c>
      <c r="BY24" s="12" t="s">
        <v>841</v>
      </c>
      <c r="BZ24" s="12" t="s">
        <v>841</v>
      </c>
      <c r="CA24" s="12" t="s">
        <v>841</v>
      </c>
      <c r="CB24" s="12" t="s">
        <v>841</v>
      </c>
      <c r="CC24" s="12" t="s">
        <v>1488</v>
      </c>
      <c r="CD24" s="12" t="s">
        <v>1489</v>
      </c>
      <c r="CE24" s="12" t="s">
        <v>1490</v>
      </c>
      <c r="CF24" s="12" t="s">
        <v>1491</v>
      </c>
      <c r="CG24" s="12" t="s">
        <v>1492</v>
      </c>
      <c r="CH24" s="12" t="s">
        <v>1493</v>
      </c>
      <c r="CI24" s="12" t="s">
        <v>1494</v>
      </c>
      <c r="CJ24" s="12" t="s">
        <v>1495</v>
      </c>
      <c r="CK24" s="12" t="s">
        <v>1474</v>
      </c>
      <c r="CL24" s="12" t="s">
        <v>1496</v>
      </c>
      <c r="CM24" s="12" t="s">
        <v>888</v>
      </c>
      <c r="CN24" s="12" t="s">
        <v>841</v>
      </c>
      <c r="CO24" s="12" t="s">
        <v>847</v>
      </c>
      <c r="CP24" s="12" t="s">
        <v>889</v>
      </c>
      <c r="CQ24" s="12" t="s">
        <v>890</v>
      </c>
      <c r="CR24" s="12" t="s">
        <v>847</v>
      </c>
      <c r="CS24" s="12" t="s">
        <v>891</v>
      </c>
      <c r="CT24" s="12" t="s">
        <v>892</v>
      </c>
      <c r="CU24" s="12" t="s">
        <v>893</v>
      </c>
      <c r="CV24" s="12" t="s">
        <v>841</v>
      </c>
      <c r="CW24" s="12" t="s">
        <v>1473</v>
      </c>
      <c r="CX24" s="12" t="s">
        <v>894</v>
      </c>
      <c r="CY24" s="12" t="s">
        <v>895</v>
      </c>
      <c r="CZ24" s="12" t="s">
        <v>896</v>
      </c>
      <c r="DA24" s="12" t="s">
        <v>897</v>
      </c>
      <c r="DB24" s="12" t="s">
        <v>898</v>
      </c>
      <c r="DC24" s="12" t="s">
        <v>899</v>
      </c>
    </row>
    <row r="25">
      <c r="A25" s="12" t="s">
        <v>1120</v>
      </c>
      <c r="B25" s="12" t="s">
        <v>238</v>
      </c>
      <c r="C25" s="12" t="s">
        <v>95</v>
      </c>
      <c r="D25" s="12" t="s">
        <v>833</v>
      </c>
      <c r="E25" s="12" t="s">
        <v>834</v>
      </c>
      <c r="F25" s="12"/>
      <c r="G25" s="12" t="s">
        <v>202</v>
      </c>
      <c r="H25" s="12" t="s">
        <v>231</v>
      </c>
      <c r="I25" s="12"/>
      <c r="J25" s="43">
        <f t="shared" si="1"/>
        <v>-0.03551716657</v>
      </c>
      <c r="K25" s="43">
        <f t="shared" si="2"/>
        <v>2.91060848</v>
      </c>
      <c r="L25" s="43">
        <f t="shared" si="3"/>
        <v>-0.0359559245</v>
      </c>
      <c r="M25" s="43">
        <f t="shared" si="4"/>
        <v>-1.79549909</v>
      </c>
      <c r="N25" s="12" t="s">
        <v>1497</v>
      </c>
      <c r="O25" s="12" t="s">
        <v>1498</v>
      </c>
      <c r="P25" s="43">
        <f t="shared" si="5"/>
        <v>6.104654159</v>
      </c>
      <c r="Q25" s="43">
        <f t="shared" si="6"/>
        <v>4.711549159</v>
      </c>
      <c r="R25" s="12" t="s">
        <v>1499</v>
      </c>
      <c r="S25" s="12" t="s">
        <v>1500</v>
      </c>
      <c r="T25" s="43">
        <f t="shared" si="7"/>
        <v>62.22889051</v>
      </c>
      <c r="U25" s="43">
        <f t="shared" si="8"/>
        <v>0.4417875</v>
      </c>
      <c r="V25" s="12" t="s">
        <v>839</v>
      </c>
      <c r="W25" s="12" t="s">
        <v>1501</v>
      </c>
      <c r="X25" s="12" t="s">
        <v>841</v>
      </c>
      <c r="Y25" s="12" t="s">
        <v>841</v>
      </c>
      <c r="Z25" s="12" t="s">
        <v>841</v>
      </c>
      <c r="AA25" s="12" t="s">
        <v>1502</v>
      </c>
      <c r="AB25" s="12" t="s">
        <v>1503</v>
      </c>
      <c r="AC25" s="12" t="s">
        <v>1504</v>
      </c>
      <c r="AD25" s="12" t="s">
        <v>845</v>
      </c>
      <c r="AE25" s="12" t="s">
        <v>846</v>
      </c>
      <c r="AF25" s="43">
        <f t="shared" si="9"/>
        <v>119.67736</v>
      </c>
      <c r="AG25" s="12" t="s">
        <v>847</v>
      </c>
      <c r="AH25" s="12" t="s">
        <v>1505</v>
      </c>
      <c r="AI25" s="12" t="s">
        <v>1506</v>
      </c>
      <c r="AJ25" s="12" t="s">
        <v>1507</v>
      </c>
      <c r="AK25" s="12" t="s">
        <v>1508</v>
      </c>
      <c r="AL25" s="43">
        <f t="shared" si="10"/>
        <v>36.41</v>
      </c>
      <c r="AM25" s="12" t="s">
        <v>852</v>
      </c>
      <c r="AN25" s="12" t="s">
        <v>1159</v>
      </c>
      <c r="AO25" s="12" t="s">
        <v>1509</v>
      </c>
      <c r="AP25" s="12" t="s">
        <v>1510</v>
      </c>
      <c r="AQ25" s="12" t="s">
        <v>1511</v>
      </c>
      <c r="AR25" s="12" t="s">
        <v>1512</v>
      </c>
      <c r="AS25" s="12" t="s">
        <v>1401</v>
      </c>
      <c r="AT25" s="12" t="s">
        <v>95</v>
      </c>
      <c r="AU25" s="12" t="s">
        <v>1402</v>
      </c>
      <c r="AV25" s="12" t="s">
        <v>832</v>
      </c>
      <c r="AW25" s="12" t="s">
        <v>1513</v>
      </c>
      <c r="AX25" s="12" t="s">
        <v>1514</v>
      </c>
      <c r="AY25" s="12" t="s">
        <v>1514</v>
      </c>
      <c r="AZ25" s="12" t="s">
        <v>1515</v>
      </c>
      <c r="BA25" s="12" t="s">
        <v>1516</v>
      </c>
      <c r="BB25" s="12" t="s">
        <v>1517</v>
      </c>
      <c r="BC25" s="12" t="s">
        <v>866</v>
      </c>
      <c r="BD25" s="12" t="s">
        <v>867</v>
      </c>
      <c r="BE25" s="12" t="s">
        <v>868</v>
      </c>
      <c r="BF25" s="12" t="s">
        <v>869</v>
      </c>
      <c r="BG25" s="12" t="s">
        <v>870</v>
      </c>
      <c r="BH25" s="12" t="s">
        <v>841</v>
      </c>
      <c r="BI25" s="12" t="s">
        <v>871</v>
      </c>
      <c r="BJ25" s="12" t="s">
        <v>841</v>
      </c>
      <c r="BK25" s="12" t="s">
        <v>841</v>
      </c>
      <c r="BL25" s="12" t="s">
        <v>872</v>
      </c>
      <c r="BM25" s="12" t="s">
        <v>873</v>
      </c>
      <c r="BN25" s="12" t="s">
        <v>866</v>
      </c>
      <c r="BO25" s="12" t="s">
        <v>874</v>
      </c>
      <c r="BP25" s="12" t="s">
        <v>875</v>
      </c>
      <c r="BQ25" s="12" t="s">
        <v>876</v>
      </c>
      <c r="BR25" s="12" t="s">
        <v>869</v>
      </c>
      <c r="BS25" s="12" t="s">
        <v>869</v>
      </c>
      <c r="BT25" s="12" t="s">
        <v>877</v>
      </c>
      <c r="BU25" s="12" t="s">
        <v>877</v>
      </c>
      <c r="BV25" s="12" t="s">
        <v>877</v>
      </c>
      <c r="BW25" s="12" t="s">
        <v>841</v>
      </c>
      <c r="BX25" s="12" t="s">
        <v>878</v>
      </c>
      <c r="BY25" s="12" t="s">
        <v>841</v>
      </c>
      <c r="BZ25" s="12" t="s">
        <v>841</v>
      </c>
      <c r="CA25" s="12" t="s">
        <v>841</v>
      </c>
      <c r="CB25" s="12" t="s">
        <v>841</v>
      </c>
      <c r="CC25" s="12" t="s">
        <v>1518</v>
      </c>
      <c r="CD25" s="12" t="s">
        <v>1519</v>
      </c>
      <c r="CE25" s="12" t="s">
        <v>1520</v>
      </c>
      <c r="CF25" s="12" t="s">
        <v>1521</v>
      </c>
      <c r="CG25" s="12" t="s">
        <v>1522</v>
      </c>
      <c r="CH25" s="12" t="s">
        <v>1523</v>
      </c>
      <c r="CI25" s="12" t="s">
        <v>1524</v>
      </c>
      <c r="CJ25" s="12" t="s">
        <v>1525</v>
      </c>
      <c r="CK25" s="12" t="s">
        <v>1502</v>
      </c>
      <c r="CL25" s="12" t="s">
        <v>1526</v>
      </c>
      <c r="CM25" s="12" t="s">
        <v>888</v>
      </c>
      <c r="CN25" s="12" t="s">
        <v>841</v>
      </c>
      <c r="CO25" s="12" t="s">
        <v>847</v>
      </c>
      <c r="CP25" s="12" t="s">
        <v>889</v>
      </c>
      <c r="CQ25" s="12" t="s">
        <v>890</v>
      </c>
      <c r="CR25" s="12" t="s">
        <v>847</v>
      </c>
      <c r="CS25" s="12" t="s">
        <v>891</v>
      </c>
      <c r="CT25" s="12" t="s">
        <v>892</v>
      </c>
      <c r="CU25" s="12" t="s">
        <v>893</v>
      </c>
      <c r="CV25" s="12" t="s">
        <v>841</v>
      </c>
      <c r="CW25" s="12" t="s">
        <v>1501</v>
      </c>
      <c r="CX25" s="12" t="s">
        <v>894</v>
      </c>
      <c r="CY25" s="12" t="s">
        <v>895</v>
      </c>
      <c r="CZ25" s="12" t="s">
        <v>896</v>
      </c>
      <c r="DA25" s="12" t="s">
        <v>897</v>
      </c>
      <c r="DB25" s="12" t="s">
        <v>898</v>
      </c>
      <c r="DC25" s="12" t="s">
        <v>899</v>
      </c>
    </row>
    <row r="26">
      <c r="A26" s="12" t="s">
        <v>1146</v>
      </c>
      <c r="B26" s="12" t="s">
        <v>240</v>
      </c>
      <c r="C26" s="12" t="s">
        <v>95</v>
      </c>
      <c r="D26" s="12" t="s">
        <v>833</v>
      </c>
      <c r="E26" s="12" t="s">
        <v>834</v>
      </c>
      <c r="F26" s="12"/>
      <c r="G26" s="12" t="s">
        <v>202</v>
      </c>
      <c r="H26" s="12" t="s">
        <v>231</v>
      </c>
      <c r="I26" s="12"/>
      <c r="J26" s="43">
        <f t="shared" si="1"/>
        <v>0.007828933911</v>
      </c>
      <c r="K26" s="43">
        <f t="shared" si="2"/>
        <v>2.90981592</v>
      </c>
      <c r="L26" s="43">
        <f t="shared" si="3"/>
        <v>0.007807926485</v>
      </c>
      <c r="M26" s="43">
        <f t="shared" si="4"/>
        <v>0.4067547932</v>
      </c>
      <c r="N26" s="12" t="s">
        <v>1527</v>
      </c>
      <c r="O26" s="12" t="s">
        <v>1528</v>
      </c>
      <c r="P26" s="43">
        <f t="shared" si="5"/>
        <v>6.342832608</v>
      </c>
      <c r="Q26" s="43">
        <f t="shared" si="6"/>
        <v>4.907965608</v>
      </c>
      <c r="R26" s="12" t="s">
        <v>1529</v>
      </c>
      <c r="S26" s="12" t="s">
        <v>1530</v>
      </c>
      <c r="T26" s="43">
        <f t="shared" si="7"/>
        <v>64.65680539</v>
      </c>
      <c r="U26" s="43">
        <f t="shared" si="8"/>
        <v>0.4417875</v>
      </c>
      <c r="V26" s="12" t="s">
        <v>839</v>
      </c>
      <c r="W26" s="12" t="s">
        <v>1531</v>
      </c>
      <c r="X26" s="12" t="s">
        <v>841</v>
      </c>
      <c r="Y26" s="12" t="s">
        <v>841</v>
      </c>
      <c r="Z26" s="12" t="s">
        <v>841</v>
      </c>
      <c r="AA26" s="12" t="s">
        <v>1532</v>
      </c>
      <c r="AB26" s="12" t="s">
        <v>1533</v>
      </c>
      <c r="AC26" s="12" t="s">
        <v>1534</v>
      </c>
      <c r="AD26" s="12" t="s">
        <v>845</v>
      </c>
      <c r="AE26" s="12" t="s">
        <v>846</v>
      </c>
      <c r="AF26" s="43">
        <f t="shared" si="9"/>
        <v>101.8656516</v>
      </c>
      <c r="AG26" s="12" t="s">
        <v>847</v>
      </c>
      <c r="AH26" s="12" t="s">
        <v>1478</v>
      </c>
      <c r="AI26" s="12" t="s">
        <v>1535</v>
      </c>
      <c r="AJ26" s="12" t="s">
        <v>1536</v>
      </c>
      <c r="AK26" s="12" t="s">
        <v>1537</v>
      </c>
      <c r="AL26" s="43">
        <f t="shared" si="10"/>
        <v>37.11</v>
      </c>
      <c r="AM26" s="12" t="s">
        <v>852</v>
      </c>
      <c r="AN26" s="12" t="s">
        <v>914</v>
      </c>
      <c r="AO26" s="12" t="s">
        <v>1538</v>
      </c>
      <c r="AP26" s="12" t="s">
        <v>1539</v>
      </c>
      <c r="AQ26" s="12" t="s">
        <v>1540</v>
      </c>
      <c r="AR26" s="12" t="s">
        <v>1541</v>
      </c>
      <c r="AS26" s="12" t="s">
        <v>1401</v>
      </c>
      <c r="AT26" s="12" t="s">
        <v>95</v>
      </c>
      <c r="AU26" s="12" t="s">
        <v>1402</v>
      </c>
      <c r="AV26" s="12" t="s">
        <v>832</v>
      </c>
      <c r="AW26" s="12" t="s">
        <v>1542</v>
      </c>
      <c r="AX26" s="12" t="s">
        <v>1543</v>
      </c>
      <c r="AY26" s="12" t="s">
        <v>868</v>
      </c>
      <c r="AZ26" s="12" t="s">
        <v>1544</v>
      </c>
      <c r="BA26" s="12" t="s">
        <v>1545</v>
      </c>
      <c r="BB26" s="12" t="s">
        <v>868</v>
      </c>
      <c r="BC26" s="12" t="s">
        <v>866</v>
      </c>
      <c r="BD26" s="12" t="s">
        <v>867</v>
      </c>
      <c r="BE26" s="12" t="s">
        <v>868</v>
      </c>
      <c r="BF26" s="12" t="s">
        <v>869</v>
      </c>
      <c r="BG26" s="12" t="s">
        <v>870</v>
      </c>
      <c r="BH26" s="12" t="s">
        <v>841</v>
      </c>
      <c r="BI26" s="12" t="s">
        <v>871</v>
      </c>
      <c r="BJ26" s="12" t="s">
        <v>841</v>
      </c>
      <c r="BK26" s="12" t="s">
        <v>841</v>
      </c>
      <c r="BL26" s="12" t="s">
        <v>872</v>
      </c>
      <c r="BM26" s="12" t="s">
        <v>873</v>
      </c>
      <c r="BN26" s="12" t="s">
        <v>866</v>
      </c>
      <c r="BO26" s="12" t="s">
        <v>874</v>
      </c>
      <c r="BP26" s="12" t="s">
        <v>875</v>
      </c>
      <c r="BQ26" s="12" t="s">
        <v>876</v>
      </c>
      <c r="BR26" s="12" t="s">
        <v>869</v>
      </c>
      <c r="BS26" s="12" t="s">
        <v>869</v>
      </c>
      <c r="BT26" s="12" t="s">
        <v>877</v>
      </c>
      <c r="BU26" s="12" t="s">
        <v>877</v>
      </c>
      <c r="BV26" s="12" t="s">
        <v>877</v>
      </c>
      <c r="BW26" s="12" t="s">
        <v>841</v>
      </c>
      <c r="BX26" s="12" t="s">
        <v>878</v>
      </c>
      <c r="BY26" s="12" t="s">
        <v>841</v>
      </c>
      <c r="BZ26" s="12" t="s">
        <v>841</v>
      </c>
      <c r="CA26" s="12" t="s">
        <v>841</v>
      </c>
      <c r="CB26" s="12" t="s">
        <v>841</v>
      </c>
      <c r="CC26" s="12" t="s">
        <v>1546</v>
      </c>
      <c r="CD26" s="12" t="s">
        <v>1547</v>
      </c>
      <c r="CE26" s="12" t="s">
        <v>1548</v>
      </c>
      <c r="CF26" s="12" t="s">
        <v>1549</v>
      </c>
      <c r="CG26" s="12" t="s">
        <v>1550</v>
      </c>
      <c r="CH26" s="12" t="s">
        <v>1551</v>
      </c>
      <c r="CI26" s="12" t="s">
        <v>1552</v>
      </c>
      <c r="CJ26" s="12" t="s">
        <v>1553</v>
      </c>
      <c r="CK26" s="12" t="s">
        <v>1554</v>
      </c>
      <c r="CL26" s="12" t="s">
        <v>1526</v>
      </c>
      <c r="CM26" s="12" t="s">
        <v>888</v>
      </c>
      <c r="CN26" s="12" t="s">
        <v>841</v>
      </c>
      <c r="CO26" s="12" t="s">
        <v>847</v>
      </c>
      <c r="CP26" s="12" t="s">
        <v>889</v>
      </c>
      <c r="CQ26" s="12" t="s">
        <v>890</v>
      </c>
      <c r="CR26" s="12" t="s">
        <v>847</v>
      </c>
      <c r="CS26" s="12" t="s">
        <v>891</v>
      </c>
      <c r="CT26" s="12" t="s">
        <v>892</v>
      </c>
      <c r="CU26" s="12" t="s">
        <v>893</v>
      </c>
      <c r="CV26" s="12" t="s">
        <v>841</v>
      </c>
      <c r="CW26" s="12" t="s">
        <v>1531</v>
      </c>
      <c r="CX26" s="12" t="s">
        <v>894</v>
      </c>
      <c r="CY26" s="12" t="s">
        <v>895</v>
      </c>
      <c r="CZ26" s="12" t="s">
        <v>896</v>
      </c>
      <c r="DA26" s="12" t="s">
        <v>897</v>
      </c>
      <c r="DB26" s="12" t="s">
        <v>898</v>
      </c>
      <c r="DC26" s="12" t="s">
        <v>899</v>
      </c>
    </row>
    <row r="27">
      <c r="A27" s="12" t="s">
        <v>1177</v>
      </c>
      <c r="B27" s="12" t="s">
        <v>243</v>
      </c>
      <c r="C27" s="12" t="s">
        <v>95</v>
      </c>
      <c r="D27" s="12" t="s">
        <v>833</v>
      </c>
      <c r="E27" s="12" t="s">
        <v>834</v>
      </c>
      <c r="F27" s="12"/>
      <c r="G27" s="12" t="s">
        <v>202</v>
      </c>
      <c r="H27" s="12" t="s">
        <v>242</v>
      </c>
      <c r="I27" s="12"/>
      <c r="J27" s="43">
        <f t="shared" si="1"/>
        <v>0.007761891886</v>
      </c>
      <c r="K27" s="43">
        <f t="shared" si="2"/>
        <v>2.91060848</v>
      </c>
      <c r="L27" s="43">
        <f t="shared" si="3"/>
        <v>0.007741247842</v>
      </c>
      <c r="M27" s="43">
        <f t="shared" si="4"/>
        <v>0.3549750529</v>
      </c>
      <c r="N27" s="12" t="s">
        <v>1555</v>
      </c>
      <c r="O27" s="12" t="s">
        <v>1556</v>
      </c>
      <c r="P27" s="43">
        <f t="shared" si="5"/>
        <v>5.803456722</v>
      </c>
      <c r="Q27" s="43">
        <f t="shared" si="6"/>
        <v>4.330580722</v>
      </c>
      <c r="R27" s="12" t="s">
        <v>1557</v>
      </c>
      <c r="S27" s="12" t="s">
        <v>1558</v>
      </c>
      <c r="T27" s="43">
        <f t="shared" si="7"/>
        <v>59.17064358</v>
      </c>
      <c r="U27" s="43">
        <f t="shared" si="8"/>
        <v>0.4417875</v>
      </c>
      <c r="V27" s="12" t="s">
        <v>839</v>
      </c>
      <c r="W27" s="12" t="s">
        <v>1559</v>
      </c>
      <c r="X27" s="12" t="s">
        <v>841</v>
      </c>
      <c r="Y27" s="12" t="s">
        <v>841</v>
      </c>
      <c r="Z27" s="12" t="s">
        <v>841</v>
      </c>
      <c r="AA27" s="12" t="s">
        <v>1560</v>
      </c>
      <c r="AB27" s="12" t="s">
        <v>1561</v>
      </c>
      <c r="AC27" s="12" t="s">
        <v>1562</v>
      </c>
      <c r="AD27" s="12" t="s">
        <v>845</v>
      </c>
      <c r="AE27" s="12" t="s">
        <v>846</v>
      </c>
      <c r="AF27" s="43">
        <f t="shared" si="9"/>
        <v>16.7534752</v>
      </c>
      <c r="AG27" s="12" t="s">
        <v>847</v>
      </c>
      <c r="AH27" s="12" t="s">
        <v>1563</v>
      </c>
      <c r="AI27" s="12" t="s">
        <v>1564</v>
      </c>
      <c r="AJ27" s="12" t="s">
        <v>1565</v>
      </c>
      <c r="AK27" s="12" t="s">
        <v>1566</v>
      </c>
      <c r="AL27" s="43">
        <f t="shared" si="10"/>
        <v>35.49</v>
      </c>
      <c r="AM27" s="12" t="s">
        <v>1367</v>
      </c>
      <c r="AN27" s="12" t="s">
        <v>1159</v>
      </c>
      <c r="AO27" s="12" t="s">
        <v>1567</v>
      </c>
      <c r="AP27" s="12" t="s">
        <v>1568</v>
      </c>
      <c r="AQ27" s="12" t="s">
        <v>1569</v>
      </c>
      <c r="AR27" s="12" t="s">
        <v>1541</v>
      </c>
      <c r="AS27" s="12" t="s">
        <v>1401</v>
      </c>
      <c r="AT27" s="12" t="s">
        <v>95</v>
      </c>
      <c r="AU27" s="12" t="s">
        <v>1402</v>
      </c>
      <c r="AV27" s="12" t="s">
        <v>832</v>
      </c>
      <c r="AW27" s="12" t="s">
        <v>923</v>
      </c>
      <c r="AX27" s="12" t="s">
        <v>1570</v>
      </c>
      <c r="AY27" s="12" t="s">
        <v>868</v>
      </c>
      <c r="AZ27" s="12" t="s">
        <v>1571</v>
      </c>
      <c r="BA27" s="12" t="s">
        <v>1572</v>
      </c>
      <c r="BB27" s="12" t="s">
        <v>868</v>
      </c>
      <c r="BC27" s="12" t="s">
        <v>866</v>
      </c>
      <c r="BD27" s="12" t="s">
        <v>867</v>
      </c>
      <c r="BE27" s="12" t="s">
        <v>868</v>
      </c>
      <c r="BF27" s="12" t="s">
        <v>869</v>
      </c>
      <c r="BG27" s="12" t="s">
        <v>870</v>
      </c>
      <c r="BH27" s="12" t="s">
        <v>841</v>
      </c>
      <c r="BI27" s="12" t="s">
        <v>871</v>
      </c>
      <c r="BJ27" s="12" t="s">
        <v>841</v>
      </c>
      <c r="BK27" s="12" t="s">
        <v>841</v>
      </c>
      <c r="BL27" s="12" t="s">
        <v>872</v>
      </c>
      <c r="BM27" s="12" t="s">
        <v>873</v>
      </c>
      <c r="BN27" s="12" t="s">
        <v>866</v>
      </c>
      <c r="BO27" s="12" t="s">
        <v>874</v>
      </c>
      <c r="BP27" s="12" t="s">
        <v>875</v>
      </c>
      <c r="BQ27" s="12" t="s">
        <v>876</v>
      </c>
      <c r="BR27" s="12" t="s">
        <v>869</v>
      </c>
      <c r="BS27" s="12" t="s">
        <v>869</v>
      </c>
      <c r="BT27" s="12" t="s">
        <v>877</v>
      </c>
      <c r="BU27" s="12" t="s">
        <v>877</v>
      </c>
      <c r="BV27" s="12" t="s">
        <v>877</v>
      </c>
      <c r="BW27" s="12" t="s">
        <v>841</v>
      </c>
      <c r="BX27" s="12" t="s">
        <v>878</v>
      </c>
      <c r="BY27" s="12" t="s">
        <v>841</v>
      </c>
      <c r="BZ27" s="12" t="s">
        <v>841</v>
      </c>
      <c r="CA27" s="12" t="s">
        <v>841</v>
      </c>
      <c r="CB27" s="12" t="s">
        <v>841</v>
      </c>
      <c r="CC27" s="12" t="s">
        <v>1573</v>
      </c>
      <c r="CD27" s="12" t="s">
        <v>1574</v>
      </c>
      <c r="CE27" s="12" t="s">
        <v>1575</v>
      </c>
      <c r="CF27" s="12" t="s">
        <v>1576</v>
      </c>
      <c r="CG27" s="12" t="s">
        <v>1577</v>
      </c>
      <c r="CH27" s="12" t="s">
        <v>1578</v>
      </c>
      <c r="CI27" s="12" t="s">
        <v>1579</v>
      </c>
      <c r="CJ27" s="12" t="s">
        <v>1580</v>
      </c>
      <c r="CK27" s="12" t="s">
        <v>1560</v>
      </c>
      <c r="CL27" s="12" t="s">
        <v>1581</v>
      </c>
      <c r="CM27" s="12" t="s">
        <v>888</v>
      </c>
      <c r="CN27" s="12" t="s">
        <v>841</v>
      </c>
      <c r="CO27" s="12" t="s">
        <v>847</v>
      </c>
      <c r="CP27" s="12" t="s">
        <v>889</v>
      </c>
      <c r="CQ27" s="12" t="s">
        <v>890</v>
      </c>
      <c r="CR27" s="12" t="s">
        <v>847</v>
      </c>
      <c r="CS27" s="12" t="s">
        <v>891</v>
      </c>
      <c r="CT27" s="12" t="s">
        <v>892</v>
      </c>
      <c r="CU27" s="12" t="s">
        <v>893</v>
      </c>
      <c r="CV27" s="12" t="s">
        <v>841</v>
      </c>
      <c r="CW27" s="12" t="s">
        <v>1559</v>
      </c>
      <c r="CX27" s="12" t="s">
        <v>894</v>
      </c>
      <c r="CY27" s="12" t="s">
        <v>895</v>
      </c>
      <c r="CZ27" s="12" t="s">
        <v>896</v>
      </c>
      <c r="DA27" s="12" t="s">
        <v>897</v>
      </c>
      <c r="DB27" s="12" t="s">
        <v>898</v>
      </c>
      <c r="DC27" s="12" t="s">
        <v>899</v>
      </c>
    </row>
    <row r="28">
      <c r="A28" s="12" t="s">
        <v>1209</v>
      </c>
      <c r="B28" s="12" t="s">
        <v>244</v>
      </c>
      <c r="C28" s="12" t="s">
        <v>95</v>
      </c>
      <c r="D28" s="12" t="s">
        <v>833</v>
      </c>
      <c r="E28" s="12" t="s">
        <v>834</v>
      </c>
      <c r="F28" s="12"/>
      <c r="G28" s="12" t="s">
        <v>202</v>
      </c>
      <c r="H28" s="12" t="s">
        <v>242</v>
      </c>
      <c r="I28" s="12"/>
      <c r="J28" s="43">
        <f t="shared" si="1"/>
        <v>0.02900011539</v>
      </c>
      <c r="K28" s="43">
        <f t="shared" si="2"/>
        <v>2.90981592</v>
      </c>
      <c r="L28" s="43">
        <f t="shared" si="3"/>
        <v>0.02871394344</v>
      </c>
      <c r="M28" s="43">
        <f t="shared" si="4"/>
        <v>1.213851367</v>
      </c>
      <c r="N28" s="12" t="s">
        <v>1582</v>
      </c>
      <c r="O28" s="12" t="s">
        <v>1583</v>
      </c>
      <c r="P28" s="43">
        <f t="shared" si="5"/>
        <v>5.469466767</v>
      </c>
      <c r="Q28" s="43">
        <f t="shared" si="6"/>
        <v>4.000041767</v>
      </c>
      <c r="R28" s="12" t="s">
        <v>1584</v>
      </c>
      <c r="S28" s="12" t="s">
        <v>1585</v>
      </c>
      <c r="T28" s="43">
        <f t="shared" si="7"/>
        <v>55.75967751</v>
      </c>
      <c r="U28" s="43">
        <f t="shared" si="8"/>
        <v>0.4417875</v>
      </c>
      <c r="V28" s="12" t="s">
        <v>839</v>
      </c>
      <c r="W28" s="12" t="s">
        <v>1586</v>
      </c>
      <c r="X28" s="12" t="s">
        <v>841</v>
      </c>
      <c r="Y28" s="12" t="s">
        <v>841</v>
      </c>
      <c r="Z28" s="12" t="s">
        <v>841</v>
      </c>
      <c r="AA28" s="12" t="s">
        <v>1587</v>
      </c>
      <c r="AB28" s="12" t="s">
        <v>1588</v>
      </c>
      <c r="AC28" s="12" t="s">
        <v>1589</v>
      </c>
      <c r="AD28" s="12" t="s">
        <v>845</v>
      </c>
      <c r="AE28" s="12" t="s">
        <v>846</v>
      </c>
      <c r="AF28" s="43">
        <f t="shared" si="9"/>
        <v>16.0862664</v>
      </c>
      <c r="AG28" s="12" t="s">
        <v>847</v>
      </c>
      <c r="AH28" s="12" t="s">
        <v>1590</v>
      </c>
      <c r="AI28" s="12" t="s">
        <v>1591</v>
      </c>
      <c r="AJ28" s="12" t="s">
        <v>1565</v>
      </c>
      <c r="AK28" s="12" t="s">
        <v>1592</v>
      </c>
      <c r="AL28" s="43">
        <f t="shared" si="10"/>
        <v>34.42</v>
      </c>
      <c r="AM28" s="12" t="s">
        <v>1593</v>
      </c>
      <c r="AN28" s="12" t="s">
        <v>914</v>
      </c>
      <c r="AO28" s="12" t="s">
        <v>1594</v>
      </c>
      <c r="AP28" s="12" t="s">
        <v>1595</v>
      </c>
      <c r="AQ28" s="12" t="s">
        <v>1596</v>
      </c>
      <c r="AR28" s="12" t="s">
        <v>1597</v>
      </c>
      <c r="AS28" s="12" t="s">
        <v>1401</v>
      </c>
      <c r="AT28" s="12" t="s">
        <v>95</v>
      </c>
      <c r="AU28" s="12" t="s">
        <v>1402</v>
      </c>
      <c r="AV28" s="12" t="s">
        <v>832</v>
      </c>
      <c r="AW28" s="12" t="s">
        <v>1226</v>
      </c>
      <c r="AX28" s="12" t="s">
        <v>1598</v>
      </c>
      <c r="AY28" s="12" t="s">
        <v>868</v>
      </c>
      <c r="AZ28" s="12" t="s">
        <v>1195</v>
      </c>
      <c r="BA28" s="12" t="s">
        <v>1599</v>
      </c>
      <c r="BB28" s="12" t="s">
        <v>868</v>
      </c>
      <c r="BC28" s="12" t="s">
        <v>866</v>
      </c>
      <c r="BD28" s="12" t="s">
        <v>867</v>
      </c>
      <c r="BE28" s="12" t="s">
        <v>868</v>
      </c>
      <c r="BF28" s="12" t="s">
        <v>869</v>
      </c>
      <c r="BG28" s="12" t="s">
        <v>870</v>
      </c>
      <c r="BH28" s="12" t="s">
        <v>841</v>
      </c>
      <c r="BI28" s="12" t="s">
        <v>871</v>
      </c>
      <c r="BJ28" s="12" t="s">
        <v>841</v>
      </c>
      <c r="BK28" s="12" t="s">
        <v>841</v>
      </c>
      <c r="BL28" s="12" t="s">
        <v>872</v>
      </c>
      <c r="BM28" s="12" t="s">
        <v>873</v>
      </c>
      <c r="BN28" s="12" t="s">
        <v>866</v>
      </c>
      <c r="BO28" s="12" t="s">
        <v>874</v>
      </c>
      <c r="BP28" s="12" t="s">
        <v>875</v>
      </c>
      <c r="BQ28" s="12" t="s">
        <v>876</v>
      </c>
      <c r="BR28" s="12" t="s">
        <v>869</v>
      </c>
      <c r="BS28" s="12" t="s">
        <v>869</v>
      </c>
      <c r="BT28" s="12" t="s">
        <v>877</v>
      </c>
      <c r="BU28" s="12" t="s">
        <v>877</v>
      </c>
      <c r="BV28" s="12" t="s">
        <v>877</v>
      </c>
      <c r="BW28" s="12" t="s">
        <v>841</v>
      </c>
      <c r="BX28" s="12" t="s">
        <v>878</v>
      </c>
      <c r="BY28" s="12" t="s">
        <v>841</v>
      </c>
      <c r="BZ28" s="12" t="s">
        <v>841</v>
      </c>
      <c r="CA28" s="12" t="s">
        <v>841</v>
      </c>
      <c r="CB28" s="12" t="s">
        <v>841</v>
      </c>
      <c r="CC28" s="12" t="s">
        <v>1600</v>
      </c>
      <c r="CD28" s="12" t="s">
        <v>1601</v>
      </c>
      <c r="CE28" s="12" t="s">
        <v>1602</v>
      </c>
      <c r="CF28" s="12" t="s">
        <v>1603</v>
      </c>
      <c r="CG28" s="12" t="s">
        <v>1604</v>
      </c>
      <c r="CH28" s="12" t="s">
        <v>1605</v>
      </c>
      <c r="CI28" s="12" t="s">
        <v>1606</v>
      </c>
      <c r="CJ28" s="12" t="s">
        <v>1607</v>
      </c>
      <c r="CK28" s="12" t="s">
        <v>1608</v>
      </c>
      <c r="CL28" s="12" t="s">
        <v>1609</v>
      </c>
      <c r="CM28" s="12" t="s">
        <v>888</v>
      </c>
      <c r="CN28" s="12" t="s">
        <v>841</v>
      </c>
      <c r="CO28" s="12" t="s">
        <v>847</v>
      </c>
      <c r="CP28" s="12" t="s">
        <v>889</v>
      </c>
      <c r="CQ28" s="12" t="s">
        <v>890</v>
      </c>
      <c r="CR28" s="12" t="s">
        <v>847</v>
      </c>
      <c r="CS28" s="12" t="s">
        <v>891</v>
      </c>
      <c r="CT28" s="12" t="s">
        <v>892</v>
      </c>
      <c r="CU28" s="12" t="s">
        <v>893</v>
      </c>
      <c r="CV28" s="12" t="s">
        <v>841</v>
      </c>
      <c r="CW28" s="12" t="s">
        <v>1586</v>
      </c>
      <c r="CX28" s="12" t="s">
        <v>894</v>
      </c>
      <c r="CY28" s="12" t="s">
        <v>895</v>
      </c>
      <c r="CZ28" s="12" t="s">
        <v>896</v>
      </c>
      <c r="DA28" s="12" t="s">
        <v>897</v>
      </c>
      <c r="DB28" s="12" t="s">
        <v>898</v>
      </c>
      <c r="DC28" s="12" t="s">
        <v>899</v>
      </c>
    </row>
    <row r="29">
      <c r="A29" s="12" t="s">
        <v>1237</v>
      </c>
      <c r="B29" s="12" t="s">
        <v>246</v>
      </c>
      <c r="C29" s="12" t="s">
        <v>95</v>
      </c>
      <c r="D29" s="12" t="s">
        <v>833</v>
      </c>
      <c r="E29" s="12" t="s">
        <v>834</v>
      </c>
      <c r="F29" s="12"/>
      <c r="G29" s="12" t="s">
        <v>202</v>
      </c>
      <c r="H29" s="12" t="s">
        <v>242</v>
      </c>
      <c r="I29" s="12"/>
      <c r="J29" s="43">
        <f t="shared" si="1"/>
        <v>0.01224718686</v>
      </c>
      <c r="K29" s="43">
        <f t="shared" si="2"/>
        <v>2.909022</v>
      </c>
      <c r="L29" s="43">
        <f t="shared" si="3"/>
        <v>0.01219584151</v>
      </c>
      <c r="M29" s="43">
        <f t="shared" si="4"/>
        <v>0.5334231585</v>
      </c>
      <c r="N29" s="12" t="s">
        <v>1610</v>
      </c>
      <c r="O29" s="12" t="s">
        <v>1611</v>
      </c>
      <c r="P29" s="43">
        <f t="shared" si="5"/>
        <v>5.648371352</v>
      </c>
      <c r="Q29" s="43">
        <f t="shared" si="6"/>
        <v>4.133186352</v>
      </c>
      <c r="R29" s="12" t="s">
        <v>1612</v>
      </c>
      <c r="S29" s="12" t="s">
        <v>1613</v>
      </c>
      <c r="T29" s="43">
        <f t="shared" si="7"/>
        <v>57.58943059</v>
      </c>
      <c r="U29" s="43">
        <f t="shared" si="8"/>
        <v>0.4417875</v>
      </c>
      <c r="V29" s="12" t="s">
        <v>839</v>
      </c>
      <c r="W29" s="12" t="s">
        <v>1614</v>
      </c>
      <c r="X29" s="12" t="s">
        <v>841</v>
      </c>
      <c r="Y29" s="12" t="s">
        <v>841</v>
      </c>
      <c r="Z29" s="12" t="s">
        <v>841</v>
      </c>
      <c r="AA29" s="12" t="s">
        <v>1615</v>
      </c>
      <c r="AB29" s="12" t="s">
        <v>1616</v>
      </c>
      <c r="AC29" s="12" t="s">
        <v>1617</v>
      </c>
      <c r="AD29" s="12" t="s">
        <v>845</v>
      </c>
      <c r="AE29" s="12" t="s">
        <v>846</v>
      </c>
      <c r="AF29" s="43">
        <f t="shared" si="9"/>
        <v>24.5874528</v>
      </c>
      <c r="AG29" s="12" t="s">
        <v>847</v>
      </c>
      <c r="AH29" s="12" t="s">
        <v>1618</v>
      </c>
      <c r="AI29" s="12" t="s">
        <v>1619</v>
      </c>
      <c r="AJ29" s="12" t="s">
        <v>1620</v>
      </c>
      <c r="AK29" s="12" t="s">
        <v>1621</v>
      </c>
      <c r="AL29" s="43">
        <f t="shared" si="10"/>
        <v>35</v>
      </c>
      <c r="AM29" s="12" t="s">
        <v>1367</v>
      </c>
      <c r="AN29" s="12" t="s">
        <v>1072</v>
      </c>
      <c r="AO29" s="12" t="s">
        <v>1622</v>
      </c>
      <c r="AP29" s="12" t="s">
        <v>1623</v>
      </c>
      <c r="AQ29" s="12" t="s">
        <v>1624</v>
      </c>
      <c r="AR29" s="12" t="s">
        <v>1625</v>
      </c>
      <c r="AS29" s="12" t="s">
        <v>1401</v>
      </c>
      <c r="AT29" s="12" t="s">
        <v>95</v>
      </c>
      <c r="AU29" s="12" t="s">
        <v>1402</v>
      </c>
      <c r="AV29" s="12" t="s">
        <v>832</v>
      </c>
      <c r="AW29" s="12" t="s">
        <v>1226</v>
      </c>
      <c r="AX29" s="12" t="s">
        <v>1195</v>
      </c>
      <c r="AY29" s="12" t="s">
        <v>868</v>
      </c>
      <c r="AZ29" s="12" t="s">
        <v>1626</v>
      </c>
      <c r="BA29" s="12" t="s">
        <v>1016</v>
      </c>
      <c r="BB29" s="12" t="s">
        <v>868</v>
      </c>
      <c r="BC29" s="12" t="s">
        <v>866</v>
      </c>
      <c r="BD29" s="12" t="s">
        <v>867</v>
      </c>
      <c r="BE29" s="12" t="s">
        <v>868</v>
      </c>
      <c r="BF29" s="12" t="s">
        <v>869</v>
      </c>
      <c r="BG29" s="12" t="s">
        <v>870</v>
      </c>
      <c r="BH29" s="12" t="s">
        <v>841</v>
      </c>
      <c r="BI29" s="12" t="s">
        <v>871</v>
      </c>
      <c r="BJ29" s="12" t="s">
        <v>841</v>
      </c>
      <c r="BK29" s="12" t="s">
        <v>841</v>
      </c>
      <c r="BL29" s="12" t="s">
        <v>872</v>
      </c>
      <c r="BM29" s="12" t="s">
        <v>873</v>
      </c>
      <c r="BN29" s="12" t="s">
        <v>866</v>
      </c>
      <c r="BO29" s="12" t="s">
        <v>874</v>
      </c>
      <c r="BP29" s="12" t="s">
        <v>875</v>
      </c>
      <c r="BQ29" s="12" t="s">
        <v>876</v>
      </c>
      <c r="BR29" s="12" t="s">
        <v>869</v>
      </c>
      <c r="BS29" s="12" t="s">
        <v>869</v>
      </c>
      <c r="BT29" s="12" t="s">
        <v>877</v>
      </c>
      <c r="BU29" s="12" t="s">
        <v>877</v>
      </c>
      <c r="BV29" s="12" t="s">
        <v>877</v>
      </c>
      <c r="BW29" s="12" t="s">
        <v>841</v>
      </c>
      <c r="BX29" s="12" t="s">
        <v>878</v>
      </c>
      <c r="BY29" s="12" t="s">
        <v>841</v>
      </c>
      <c r="BZ29" s="12" t="s">
        <v>841</v>
      </c>
      <c r="CA29" s="12" t="s">
        <v>841</v>
      </c>
      <c r="CB29" s="12" t="s">
        <v>841</v>
      </c>
      <c r="CC29" s="12" t="s">
        <v>1627</v>
      </c>
      <c r="CD29" s="12" t="s">
        <v>1628</v>
      </c>
      <c r="CE29" s="12" t="s">
        <v>1629</v>
      </c>
      <c r="CF29" s="12" t="s">
        <v>1630</v>
      </c>
      <c r="CG29" s="12" t="s">
        <v>1631</v>
      </c>
      <c r="CH29" s="12" t="s">
        <v>1632</v>
      </c>
      <c r="CI29" s="12" t="s">
        <v>1633</v>
      </c>
      <c r="CJ29" s="12" t="s">
        <v>1634</v>
      </c>
      <c r="CK29" s="12" t="s">
        <v>1635</v>
      </c>
      <c r="CL29" s="12" t="s">
        <v>1526</v>
      </c>
      <c r="CM29" s="12" t="s">
        <v>888</v>
      </c>
      <c r="CN29" s="12" t="s">
        <v>841</v>
      </c>
      <c r="CO29" s="12" t="s">
        <v>847</v>
      </c>
      <c r="CP29" s="12" t="s">
        <v>889</v>
      </c>
      <c r="CQ29" s="12" t="s">
        <v>890</v>
      </c>
      <c r="CR29" s="12" t="s">
        <v>847</v>
      </c>
      <c r="CS29" s="12" t="s">
        <v>891</v>
      </c>
      <c r="CT29" s="12" t="s">
        <v>892</v>
      </c>
      <c r="CU29" s="12" t="s">
        <v>893</v>
      </c>
      <c r="CV29" s="12" t="s">
        <v>841</v>
      </c>
      <c r="CW29" s="12" t="s">
        <v>1614</v>
      </c>
      <c r="CX29" s="12" t="s">
        <v>894</v>
      </c>
      <c r="CY29" s="12" t="s">
        <v>895</v>
      </c>
      <c r="CZ29" s="12" t="s">
        <v>896</v>
      </c>
      <c r="DA29" s="12" t="s">
        <v>897</v>
      </c>
      <c r="DB29" s="12" t="s">
        <v>898</v>
      </c>
      <c r="DC29" s="12" t="s">
        <v>899</v>
      </c>
    </row>
    <row r="30">
      <c r="A30" s="12" t="s">
        <v>1636</v>
      </c>
      <c r="B30" s="12" t="s">
        <v>249</v>
      </c>
      <c r="C30" s="12" t="s">
        <v>95</v>
      </c>
      <c r="D30" s="12" t="s">
        <v>833</v>
      </c>
      <c r="E30" s="12" t="s">
        <v>834</v>
      </c>
      <c r="F30" s="12"/>
      <c r="G30" s="12" t="s">
        <v>202</v>
      </c>
      <c r="H30" s="12" t="s">
        <v>248</v>
      </c>
      <c r="I30" s="12"/>
      <c r="J30" s="43">
        <f t="shared" si="1"/>
        <v>0.02062706167</v>
      </c>
      <c r="K30" s="43">
        <f t="shared" si="2"/>
        <v>2.909022</v>
      </c>
      <c r="L30" s="43">
        <f t="shared" si="3"/>
        <v>0.02048183073</v>
      </c>
      <c r="M30" s="43">
        <f t="shared" si="4"/>
        <v>1.103582972</v>
      </c>
      <c r="N30" s="12" t="s">
        <v>1637</v>
      </c>
      <c r="O30" s="12" t="s">
        <v>1638</v>
      </c>
      <c r="P30" s="43">
        <f t="shared" si="5"/>
        <v>6.596191792</v>
      </c>
      <c r="Q30" s="43">
        <f t="shared" si="6"/>
        <v>5.066225792</v>
      </c>
      <c r="R30" s="12" t="s">
        <v>1639</v>
      </c>
      <c r="S30" s="12" t="s">
        <v>1640</v>
      </c>
      <c r="T30" s="43">
        <f t="shared" si="7"/>
        <v>67.24632269</v>
      </c>
      <c r="U30" s="43">
        <f t="shared" si="8"/>
        <v>0.4417875</v>
      </c>
      <c r="V30" s="12" t="s">
        <v>839</v>
      </c>
      <c r="W30" s="12" t="s">
        <v>1641</v>
      </c>
      <c r="X30" s="12" t="s">
        <v>841</v>
      </c>
      <c r="Y30" s="12" t="s">
        <v>841</v>
      </c>
      <c r="Z30" s="12" t="s">
        <v>841</v>
      </c>
      <c r="AA30" s="12" t="s">
        <v>1642</v>
      </c>
      <c r="AB30" s="12" t="s">
        <v>1643</v>
      </c>
      <c r="AC30" s="12" t="s">
        <v>1644</v>
      </c>
      <c r="AD30" s="12" t="s">
        <v>845</v>
      </c>
      <c r="AE30" s="12" t="s">
        <v>846</v>
      </c>
      <c r="AF30" s="43">
        <f t="shared" si="9"/>
        <v>96.7703616</v>
      </c>
      <c r="AG30" s="12" t="s">
        <v>847</v>
      </c>
      <c r="AH30" s="12" t="s">
        <v>1645</v>
      </c>
      <c r="AI30" s="12" t="s">
        <v>1619</v>
      </c>
      <c r="AJ30" s="12" t="s">
        <v>1620</v>
      </c>
      <c r="AK30" s="12" t="s">
        <v>1646</v>
      </c>
      <c r="AL30" s="43">
        <f t="shared" si="10"/>
        <v>37.83</v>
      </c>
      <c r="AM30" s="12" t="s">
        <v>1593</v>
      </c>
      <c r="AN30" s="12" t="s">
        <v>1072</v>
      </c>
      <c r="AO30" s="12" t="s">
        <v>1647</v>
      </c>
      <c r="AP30" s="12" t="s">
        <v>1648</v>
      </c>
      <c r="AQ30" s="12" t="s">
        <v>1649</v>
      </c>
      <c r="AR30" s="12" t="s">
        <v>1650</v>
      </c>
      <c r="AS30" s="12" t="s">
        <v>1401</v>
      </c>
      <c r="AT30" s="12" t="s">
        <v>95</v>
      </c>
      <c r="AU30" s="12" t="s">
        <v>1402</v>
      </c>
      <c r="AV30" s="12" t="s">
        <v>832</v>
      </c>
      <c r="AW30" s="12" t="s">
        <v>860</v>
      </c>
      <c r="AX30" s="12" t="s">
        <v>1164</v>
      </c>
      <c r="AY30" s="12" t="s">
        <v>868</v>
      </c>
      <c r="AZ30" s="12" t="s">
        <v>1651</v>
      </c>
      <c r="BA30" s="12" t="s">
        <v>1652</v>
      </c>
      <c r="BB30" s="12" t="s">
        <v>868</v>
      </c>
      <c r="BC30" s="12" t="s">
        <v>866</v>
      </c>
      <c r="BD30" s="12" t="s">
        <v>867</v>
      </c>
      <c r="BE30" s="12" t="s">
        <v>868</v>
      </c>
      <c r="BF30" s="12" t="s">
        <v>869</v>
      </c>
      <c r="BG30" s="12" t="s">
        <v>870</v>
      </c>
      <c r="BH30" s="12" t="s">
        <v>841</v>
      </c>
      <c r="BI30" s="12" t="s">
        <v>871</v>
      </c>
      <c r="BJ30" s="12" t="s">
        <v>841</v>
      </c>
      <c r="BK30" s="12" t="s">
        <v>841</v>
      </c>
      <c r="BL30" s="12" t="s">
        <v>872</v>
      </c>
      <c r="BM30" s="12" t="s">
        <v>873</v>
      </c>
      <c r="BN30" s="12" t="s">
        <v>866</v>
      </c>
      <c r="BO30" s="12" t="s">
        <v>874</v>
      </c>
      <c r="BP30" s="12" t="s">
        <v>875</v>
      </c>
      <c r="BQ30" s="12" t="s">
        <v>876</v>
      </c>
      <c r="BR30" s="12" t="s">
        <v>869</v>
      </c>
      <c r="BS30" s="12" t="s">
        <v>869</v>
      </c>
      <c r="BT30" s="12" t="s">
        <v>877</v>
      </c>
      <c r="BU30" s="12" t="s">
        <v>877</v>
      </c>
      <c r="BV30" s="12" t="s">
        <v>877</v>
      </c>
      <c r="BW30" s="12" t="s">
        <v>841</v>
      </c>
      <c r="BX30" s="12" t="s">
        <v>878</v>
      </c>
      <c r="BY30" s="12" t="s">
        <v>841</v>
      </c>
      <c r="BZ30" s="12" t="s">
        <v>841</v>
      </c>
      <c r="CA30" s="12" t="s">
        <v>841</v>
      </c>
      <c r="CB30" s="12" t="s">
        <v>841</v>
      </c>
      <c r="CC30" s="12" t="s">
        <v>1653</v>
      </c>
      <c r="CD30" s="12" t="s">
        <v>1654</v>
      </c>
      <c r="CE30" s="12" t="s">
        <v>1655</v>
      </c>
      <c r="CF30" s="12" t="s">
        <v>1656</v>
      </c>
      <c r="CG30" s="12" t="s">
        <v>1657</v>
      </c>
      <c r="CH30" s="12" t="s">
        <v>1658</v>
      </c>
      <c r="CI30" s="12" t="s">
        <v>1659</v>
      </c>
      <c r="CJ30" s="12" t="s">
        <v>1660</v>
      </c>
      <c r="CK30" s="12" t="s">
        <v>1642</v>
      </c>
      <c r="CL30" s="12" t="s">
        <v>1057</v>
      </c>
      <c r="CM30" s="12" t="s">
        <v>888</v>
      </c>
      <c r="CN30" s="12" t="s">
        <v>841</v>
      </c>
      <c r="CO30" s="12" t="s">
        <v>847</v>
      </c>
      <c r="CP30" s="12" t="s">
        <v>889</v>
      </c>
      <c r="CQ30" s="12" t="s">
        <v>890</v>
      </c>
      <c r="CR30" s="12" t="s">
        <v>847</v>
      </c>
      <c r="CS30" s="12" t="s">
        <v>891</v>
      </c>
      <c r="CT30" s="12" t="s">
        <v>892</v>
      </c>
      <c r="CU30" s="12" t="s">
        <v>893</v>
      </c>
      <c r="CV30" s="12" t="s">
        <v>841</v>
      </c>
      <c r="CW30" s="12" t="s">
        <v>1641</v>
      </c>
      <c r="CX30" s="12" t="s">
        <v>894</v>
      </c>
      <c r="CY30" s="12" t="s">
        <v>895</v>
      </c>
      <c r="CZ30" s="12" t="s">
        <v>896</v>
      </c>
      <c r="DA30" s="12" t="s">
        <v>897</v>
      </c>
      <c r="DB30" s="12" t="s">
        <v>898</v>
      </c>
      <c r="DC30" s="12" t="s">
        <v>899</v>
      </c>
    </row>
    <row r="31">
      <c r="A31" s="12" t="s">
        <v>1661</v>
      </c>
      <c r="B31" s="12" t="s">
        <v>250</v>
      </c>
      <c r="C31" s="12" t="s">
        <v>95</v>
      </c>
      <c r="D31" s="12" t="s">
        <v>833</v>
      </c>
      <c r="E31" s="12" t="s">
        <v>834</v>
      </c>
      <c r="F31" s="12"/>
      <c r="G31" s="12" t="s">
        <v>202</v>
      </c>
      <c r="H31" s="12" t="s">
        <v>248</v>
      </c>
      <c r="I31" s="12"/>
      <c r="J31" s="43">
        <f t="shared" si="1"/>
        <v>0.05428243017</v>
      </c>
      <c r="K31" s="43">
        <f t="shared" si="2"/>
        <v>2.909022</v>
      </c>
      <c r="L31" s="43">
        <f t="shared" si="3"/>
        <v>0.05328807327</v>
      </c>
      <c r="M31" s="43">
        <f t="shared" si="4"/>
        <v>3.075181908</v>
      </c>
      <c r="N31" s="12" t="s">
        <v>1662</v>
      </c>
      <c r="O31" s="12" t="s">
        <v>1663</v>
      </c>
      <c r="P31" s="43">
        <f t="shared" si="5"/>
        <v>6.977643579</v>
      </c>
      <c r="Q31" s="43">
        <f t="shared" si="6"/>
        <v>5.413546579</v>
      </c>
      <c r="R31" s="12" t="s">
        <v>1664</v>
      </c>
      <c r="S31" s="12" t="s">
        <v>1665</v>
      </c>
      <c r="T31" s="43">
        <f t="shared" si="7"/>
        <v>71.14236928</v>
      </c>
      <c r="U31" s="43">
        <f t="shared" si="8"/>
        <v>0.4417875</v>
      </c>
      <c r="V31" s="12" t="s">
        <v>839</v>
      </c>
      <c r="W31" s="12" t="s">
        <v>1666</v>
      </c>
      <c r="X31" s="12" t="s">
        <v>841</v>
      </c>
      <c r="Y31" s="12" t="s">
        <v>841</v>
      </c>
      <c r="Z31" s="12" t="s">
        <v>841</v>
      </c>
      <c r="AA31" s="12" t="s">
        <v>1667</v>
      </c>
      <c r="AB31" s="12" t="s">
        <v>1668</v>
      </c>
      <c r="AC31" s="12" t="s">
        <v>1669</v>
      </c>
      <c r="AD31" s="12" t="s">
        <v>845</v>
      </c>
      <c r="AE31" s="12" t="s">
        <v>846</v>
      </c>
      <c r="AF31" s="43">
        <f t="shared" si="9"/>
        <v>123.0667456</v>
      </c>
      <c r="AG31" s="12" t="s">
        <v>847</v>
      </c>
      <c r="AH31" s="12" t="s">
        <v>1670</v>
      </c>
      <c r="AI31" s="12" t="s">
        <v>1671</v>
      </c>
      <c r="AJ31" s="12" t="s">
        <v>1672</v>
      </c>
      <c r="AK31" s="12" t="s">
        <v>1673</v>
      </c>
      <c r="AL31" s="43">
        <f t="shared" si="10"/>
        <v>38.87</v>
      </c>
      <c r="AM31" s="12" t="s">
        <v>1367</v>
      </c>
      <c r="AN31" s="12" t="s">
        <v>1072</v>
      </c>
      <c r="AO31" s="12" t="s">
        <v>1674</v>
      </c>
      <c r="AP31" s="12" t="s">
        <v>1675</v>
      </c>
      <c r="AQ31" s="12" t="s">
        <v>1676</v>
      </c>
      <c r="AR31" s="12" t="s">
        <v>1625</v>
      </c>
      <c r="AS31" s="12" t="s">
        <v>1401</v>
      </c>
      <c r="AT31" s="12" t="s">
        <v>95</v>
      </c>
      <c r="AU31" s="12" t="s">
        <v>1402</v>
      </c>
      <c r="AV31" s="12" t="s">
        <v>832</v>
      </c>
      <c r="AW31" s="12" t="s">
        <v>860</v>
      </c>
      <c r="AX31" s="12" t="s">
        <v>1047</v>
      </c>
      <c r="AY31" s="12" t="s">
        <v>868</v>
      </c>
      <c r="AZ31" s="12" t="s">
        <v>1677</v>
      </c>
      <c r="BA31" s="12" t="s">
        <v>1678</v>
      </c>
      <c r="BB31" s="12" t="s">
        <v>868</v>
      </c>
      <c r="BC31" s="12" t="s">
        <v>866</v>
      </c>
      <c r="BD31" s="12" t="s">
        <v>867</v>
      </c>
      <c r="BE31" s="12" t="s">
        <v>868</v>
      </c>
      <c r="BF31" s="12" t="s">
        <v>869</v>
      </c>
      <c r="BG31" s="12" t="s">
        <v>870</v>
      </c>
      <c r="BH31" s="12" t="s">
        <v>841</v>
      </c>
      <c r="BI31" s="12" t="s">
        <v>871</v>
      </c>
      <c r="BJ31" s="12" t="s">
        <v>841</v>
      </c>
      <c r="BK31" s="12" t="s">
        <v>841</v>
      </c>
      <c r="BL31" s="12" t="s">
        <v>872</v>
      </c>
      <c r="BM31" s="12" t="s">
        <v>873</v>
      </c>
      <c r="BN31" s="12" t="s">
        <v>866</v>
      </c>
      <c r="BO31" s="12" t="s">
        <v>874</v>
      </c>
      <c r="BP31" s="12" t="s">
        <v>875</v>
      </c>
      <c r="BQ31" s="12" t="s">
        <v>876</v>
      </c>
      <c r="BR31" s="12" t="s">
        <v>869</v>
      </c>
      <c r="BS31" s="12" t="s">
        <v>869</v>
      </c>
      <c r="BT31" s="12" t="s">
        <v>877</v>
      </c>
      <c r="BU31" s="12" t="s">
        <v>877</v>
      </c>
      <c r="BV31" s="12" t="s">
        <v>877</v>
      </c>
      <c r="BW31" s="12" t="s">
        <v>841</v>
      </c>
      <c r="BX31" s="12" t="s">
        <v>878</v>
      </c>
      <c r="BY31" s="12" t="s">
        <v>841</v>
      </c>
      <c r="BZ31" s="12" t="s">
        <v>841</v>
      </c>
      <c r="CA31" s="12" t="s">
        <v>841</v>
      </c>
      <c r="CB31" s="12" t="s">
        <v>841</v>
      </c>
      <c r="CC31" s="12" t="s">
        <v>1679</v>
      </c>
      <c r="CD31" s="12" t="s">
        <v>1680</v>
      </c>
      <c r="CE31" s="12" t="s">
        <v>1681</v>
      </c>
      <c r="CF31" s="12" t="s">
        <v>1682</v>
      </c>
      <c r="CG31" s="12" t="s">
        <v>1683</v>
      </c>
      <c r="CH31" s="12" t="s">
        <v>1684</v>
      </c>
      <c r="CI31" s="12" t="s">
        <v>1685</v>
      </c>
      <c r="CJ31" s="12" t="s">
        <v>1686</v>
      </c>
      <c r="CK31" s="12" t="s">
        <v>1667</v>
      </c>
      <c r="CL31" s="12" t="s">
        <v>1093</v>
      </c>
      <c r="CM31" s="12" t="s">
        <v>888</v>
      </c>
      <c r="CN31" s="12" t="s">
        <v>841</v>
      </c>
      <c r="CO31" s="12" t="s">
        <v>847</v>
      </c>
      <c r="CP31" s="12" t="s">
        <v>889</v>
      </c>
      <c r="CQ31" s="12" t="s">
        <v>890</v>
      </c>
      <c r="CR31" s="12" t="s">
        <v>847</v>
      </c>
      <c r="CS31" s="12" t="s">
        <v>891</v>
      </c>
      <c r="CT31" s="12" t="s">
        <v>892</v>
      </c>
      <c r="CU31" s="12" t="s">
        <v>893</v>
      </c>
      <c r="CV31" s="12" t="s">
        <v>841</v>
      </c>
      <c r="CW31" s="12" t="s">
        <v>1666</v>
      </c>
      <c r="CX31" s="12" t="s">
        <v>894</v>
      </c>
      <c r="CY31" s="12" t="s">
        <v>895</v>
      </c>
      <c r="CZ31" s="12" t="s">
        <v>896</v>
      </c>
      <c r="DA31" s="12" t="s">
        <v>897</v>
      </c>
      <c r="DB31" s="12" t="s">
        <v>898</v>
      </c>
      <c r="DC31" s="12" t="s">
        <v>899</v>
      </c>
    </row>
    <row r="32">
      <c r="A32" s="12" t="s">
        <v>1687</v>
      </c>
      <c r="B32" s="12" t="s">
        <v>251</v>
      </c>
      <c r="C32" s="12" t="s">
        <v>95</v>
      </c>
      <c r="D32" s="12" t="s">
        <v>833</v>
      </c>
      <c r="E32" s="12" t="s">
        <v>834</v>
      </c>
      <c r="F32" s="12"/>
      <c r="G32" s="12" t="s">
        <v>202</v>
      </c>
      <c r="H32" s="12" t="s">
        <v>248</v>
      </c>
      <c r="I32" s="12"/>
      <c r="J32" s="43">
        <f t="shared" si="1"/>
        <v>0.01168377132</v>
      </c>
      <c r="K32" s="43">
        <f t="shared" si="2"/>
        <v>2.91060848</v>
      </c>
      <c r="L32" s="43">
        <f t="shared" si="3"/>
        <v>0.01163705782</v>
      </c>
      <c r="M32" s="43">
        <f t="shared" si="4"/>
        <v>0.5927293561</v>
      </c>
      <c r="N32" s="12" t="s">
        <v>1688</v>
      </c>
      <c r="O32" s="12" t="s">
        <v>1689</v>
      </c>
      <c r="P32" s="43">
        <f t="shared" si="5"/>
        <v>6.277399877</v>
      </c>
      <c r="Q32" s="43">
        <f t="shared" si="6"/>
        <v>4.798059877</v>
      </c>
      <c r="R32" s="12" t="s">
        <v>1690</v>
      </c>
      <c r="S32" s="12" t="s">
        <v>1691</v>
      </c>
      <c r="T32" s="43">
        <f t="shared" si="7"/>
        <v>64.00285355</v>
      </c>
      <c r="U32" s="43">
        <f t="shared" si="8"/>
        <v>0.4417875</v>
      </c>
      <c r="V32" s="12" t="s">
        <v>839</v>
      </c>
      <c r="W32" s="12" t="s">
        <v>1692</v>
      </c>
      <c r="X32" s="12" t="s">
        <v>841</v>
      </c>
      <c r="Y32" s="12" t="s">
        <v>841</v>
      </c>
      <c r="Z32" s="12" t="s">
        <v>841</v>
      </c>
      <c r="AA32" s="12" t="s">
        <v>1693</v>
      </c>
      <c r="AB32" s="12" t="s">
        <v>1694</v>
      </c>
      <c r="AC32" s="12" t="s">
        <v>1695</v>
      </c>
      <c r="AD32" s="12" t="s">
        <v>845</v>
      </c>
      <c r="AE32" s="12" t="s">
        <v>846</v>
      </c>
      <c r="AF32" s="43">
        <f t="shared" si="9"/>
        <v>356.289878</v>
      </c>
      <c r="AG32" s="12" t="s">
        <v>847</v>
      </c>
      <c r="AH32" s="12" t="s">
        <v>1696</v>
      </c>
      <c r="AI32" s="12" t="s">
        <v>1249</v>
      </c>
      <c r="AJ32" s="12" t="s">
        <v>1697</v>
      </c>
      <c r="AK32" s="12" t="s">
        <v>1698</v>
      </c>
      <c r="AL32" s="43">
        <f t="shared" si="10"/>
        <v>36.92</v>
      </c>
      <c r="AM32" s="12" t="s">
        <v>1367</v>
      </c>
      <c r="AN32" s="12" t="s">
        <v>1159</v>
      </c>
      <c r="AO32" s="12" t="s">
        <v>1699</v>
      </c>
      <c r="AP32" s="12" t="s">
        <v>1700</v>
      </c>
      <c r="AQ32" s="12" t="s">
        <v>1701</v>
      </c>
      <c r="AR32" s="12" t="s">
        <v>1702</v>
      </c>
      <c r="AS32" s="12" t="s">
        <v>1401</v>
      </c>
      <c r="AT32" s="12" t="s">
        <v>95</v>
      </c>
      <c r="AU32" s="12" t="s">
        <v>1402</v>
      </c>
      <c r="AV32" s="12" t="s">
        <v>832</v>
      </c>
      <c r="AW32" s="12" t="s">
        <v>861</v>
      </c>
      <c r="AX32" s="12" t="s">
        <v>1457</v>
      </c>
      <c r="AY32" s="12" t="s">
        <v>868</v>
      </c>
      <c r="AZ32" s="12" t="s">
        <v>1703</v>
      </c>
      <c r="BA32" s="12" t="s">
        <v>1704</v>
      </c>
      <c r="BB32" s="12" t="s">
        <v>868</v>
      </c>
      <c r="BC32" s="12" t="s">
        <v>866</v>
      </c>
      <c r="BD32" s="12" t="s">
        <v>867</v>
      </c>
      <c r="BE32" s="12" t="s">
        <v>868</v>
      </c>
      <c r="BF32" s="12" t="s">
        <v>869</v>
      </c>
      <c r="BG32" s="12" t="s">
        <v>870</v>
      </c>
      <c r="BH32" s="12" t="s">
        <v>841</v>
      </c>
      <c r="BI32" s="12" t="s">
        <v>871</v>
      </c>
      <c r="BJ32" s="12" t="s">
        <v>841</v>
      </c>
      <c r="BK32" s="12" t="s">
        <v>841</v>
      </c>
      <c r="BL32" s="12" t="s">
        <v>872</v>
      </c>
      <c r="BM32" s="12" t="s">
        <v>873</v>
      </c>
      <c r="BN32" s="12" t="s">
        <v>866</v>
      </c>
      <c r="BO32" s="12" t="s">
        <v>874</v>
      </c>
      <c r="BP32" s="12" t="s">
        <v>875</v>
      </c>
      <c r="BQ32" s="12" t="s">
        <v>876</v>
      </c>
      <c r="BR32" s="12" t="s">
        <v>869</v>
      </c>
      <c r="BS32" s="12" t="s">
        <v>869</v>
      </c>
      <c r="BT32" s="12" t="s">
        <v>877</v>
      </c>
      <c r="BU32" s="12" t="s">
        <v>877</v>
      </c>
      <c r="BV32" s="12" t="s">
        <v>877</v>
      </c>
      <c r="BW32" s="12" t="s">
        <v>841</v>
      </c>
      <c r="BX32" s="12" t="s">
        <v>878</v>
      </c>
      <c r="BY32" s="12" t="s">
        <v>841</v>
      </c>
      <c r="BZ32" s="12" t="s">
        <v>841</v>
      </c>
      <c r="CA32" s="12" t="s">
        <v>841</v>
      </c>
      <c r="CB32" s="12" t="s">
        <v>841</v>
      </c>
      <c r="CC32" s="12" t="s">
        <v>1705</v>
      </c>
      <c r="CD32" s="12" t="s">
        <v>1706</v>
      </c>
      <c r="CE32" s="12" t="s">
        <v>1707</v>
      </c>
      <c r="CF32" s="12" t="s">
        <v>1708</v>
      </c>
      <c r="CG32" s="12" t="s">
        <v>1709</v>
      </c>
      <c r="CH32" s="12" t="s">
        <v>1710</v>
      </c>
      <c r="CI32" s="12" t="s">
        <v>1711</v>
      </c>
      <c r="CJ32" s="12" t="s">
        <v>1712</v>
      </c>
      <c r="CK32" s="12" t="s">
        <v>1693</v>
      </c>
      <c r="CL32" s="12" t="s">
        <v>1119</v>
      </c>
      <c r="CM32" s="12" t="s">
        <v>888</v>
      </c>
      <c r="CN32" s="12" t="s">
        <v>841</v>
      </c>
      <c r="CO32" s="12" t="s">
        <v>847</v>
      </c>
      <c r="CP32" s="12" t="s">
        <v>889</v>
      </c>
      <c r="CQ32" s="12" t="s">
        <v>890</v>
      </c>
      <c r="CR32" s="12" t="s">
        <v>847</v>
      </c>
      <c r="CS32" s="12" t="s">
        <v>891</v>
      </c>
      <c r="CT32" s="12" t="s">
        <v>892</v>
      </c>
      <c r="CU32" s="12" t="s">
        <v>893</v>
      </c>
      <c r="CV32" s="12" t="s">
        <v>841</v>
      </c>
      <c r="CW32" s="12" t="s">
        <v>1692</v>
      </c>
      <c r="CX32" s="12" t="s">
        <v>894</v>
      </c>
      <c r="CY32" s="12" t="s">
        <v>895</v>
      </c>
      <c r="CZ32" s="12" t="s">
        <v>896</v>
      </c>
      <c r="DA32" s="12" t="s">
        <v>897</v>
      </c>
      <c r="DB32" s="12" t="s">
        <v>898</v>
      </c>
      <c r="DC32" s="12" t="s">
        <v>899</v>
      </c>
    </row>
    <row r="33">
      <c r="A33" s="12" t="s">
        <v>1713</v>
      </c>
      <c r="B33" s="12" t="s">
        <v>254</v>
      </c>
      <c r="C33" s="12" t="s">
        <v>95</v>
      </c>
      <c r="D33" s="12" t="s">
        <v>833</v>
      </c>
      <c r="E33" s="12" t="s">
        <v>834</v>
      </c>
      <c r="F33" s="12"/>
      <c r="G33" s="12" t="s">
        <v>202</v>
      </c>
      <c r="H33" s="12" t="s">
        <v>253</v>
      </c>
      <c r="I33" s="12"/>
      <c r="J33" s="43">
        <f t="shared" si="1"/>
        <v>-0.0374352515</v>
      </c>
      <c r="K33" s="43">
        <f t="shared" si="2"/>
        <v>2.909022</v>
      </c>
      <c r="L33" s="43">
        <f t="shared" si="3"/>
        <v>-0.03792327369</v>
      </c>
      <c r="M33" s="43">
        <f t="shared" si="4"/>
        <v>-1.774425671</v>
      </c>
      <c r="N33" s="12" t="s">
        <v>1714</v>
      </c>
      <c r="O33" s="12" t="s">
        <v>1715</v>
      </c>
      <c r="P33" s="43">
        <f t="shared" si="5"/>
        <v>5.742887951</v>
      </c>
      <c r="Q33" s="43">
        <f t="shared" si="6"/>
        <v>4.424908951</v>
      </c>
      <c r="R33" s="12" t="s">
        <v>1716</v>
      </c>
      <c r="S33" s="12" t="s">
        <v>1717</v>
      </c>
      <c r="T33" s="43">
        <f t="shared" si="7"/>
        <v>58.54116158</v>
      </c>
      <c r="U33" s="43">
        <f t="shared" si="8"/>
        <v>0.4417875</v>
      </c>
      <c r="V33" s="12" t="s">
        <v>839</v>
      </c>
      <c r="W33" s="12" t="s">
        <v>1718</v>
      </c>
      <c r="X33" s="12" t="s">
        <v>841</v>
      </c>
      <c r="Y33" s="12" t="s">
        <v>841</v>
      </c>
      <c r="Z33" s="12" t="s">
        <v>841</v>
      </c>
      <c r="AA33" s="12" t="s">
        <v>1719</v>
      </c>
      <c r="AB33" s="12" t="s">
        <v>1720</v>
      </c>
      <c r="AC33" s="12" t="s">
        <v>1721</v>
      </c>
      <c r="AD33" s="12" t="s">
        <v>845</v>
      </c>
      <c r="AE33" s="12" t="s">
        <v>846</v>
      </c>
      <c r="AF33" s="43">
        <f t="shared" si="9"/>
        <v>5.774536</v>
      </c>
      <c r="AG33" s="12" t="s">
        <v>847</v>
      </c>
      <c r="AH33" s="12" t="s">
        <v>1722</v>
      </c>
      <c r="AI33" s="12" t="s">
        <v>1723</v>
      </c>
      <c r="AJ33" s="12" t="s">
        <v>1537</v>
      </c>
      <c r="AK33" s="12" t="s">
        <v>1724</v>
      </c>
      <c r="AL33" s="43">
        <f t="shared" si="10"/>
        <v>35.3</v>
      </c>
      <c r="AM33" s="12" t="s">
        <v>852</v>
      </c>
      <c r="AN33" s="12" t="s">
        <v>1072</v>
      </c>
      <c r="AO33" s="12" t="s">
        <v>1725</v>
      </c>
      <c r="AP33" s="12" t="s">
        <v>1726</v>
      </c>
      <c r="AQ33" s="12" t="s">
        <v>1727</v>
      </c>
      <c r="AR33" s="12" t="s">
        <v>1728</v>
      </c>
      <c r="AS33" s="12" t="s">
        <v>1729</v>
      </c>
      <c r="AT33" s="12" t="s">
        <v>95</v>
      </c>
      <c r="AU33" s="12" t="s">
        <v>1730</v>
      </c>
      <c r="AV33" s="12" t="s">
        <v>832</v>
      </c>
      <c r="AW33" s="12" t="s">
        <v>1226</v>
      </c>
      <c r="AX33" s="12" t="s">
        <v>1195</v>
      </c>
      <c r="AY33" s="12" t="s">
        <v>1513</v>
      </c>
      <c r="AZ33" s="12" t="s">
        <v>1731</v>
      </c>
      <c r="BA33" s="12" t="s">
        <v>1732</v>
      </c>
      <c r="BB33" s="12" t="s">
        <v>1733</v>
      </c>
      <c r="BC33" s="12" t="s">
        <v>866</v>
      </c>
      <c r="BD33" s="12" t="s">
        <v>867</v>
      </c>
      <c r="BE33" s="12" t="s">
        <v>868</v>
      </c>
      <c r="BF33" s="12" t="s">
        <v>869</v>
      </c>
      <c r="BG33" s="12" t="s">
        <v>870</v>
      </c>
      <c r="BH33" s="12" t="s">
        <v>841</v>
      </c>
      <c r="BI33" s="12" t="s">
        <v>871</v>
      </c>
      <c r="BJ33" s="12" t="s">
        <v>841</v>
      </c>
      <c r="BK33" s="12" t="s">
        <v>841</v>
      </c>
      <c r="BL33" s="12" t="s">
        <v>872</v>
      </c>
      <c r="BM33" s="12" t="s">
        <v>873</v>
      </c>
      <c r="BN33" s="12" t="s">
        <v>866</v>
      </c>
      <c r="BO33" s="12" t="s">
        <v>874</v>
      </c>
      <c r="BP33" s="12" t="s">
        <v>875</v>
      </c>
      <c r="BQ33" s="12" t="s">
        <v>876</v>
      </c>
      <c r="BR33" s="12" t="s">
        <v>869</v>
      </c>
      <c r="BS33" s="12" t="s">
        <v>869</v>
      </c>
      <c r="BT33" s="12" t="s">
        <v>877</v>
      </c>
      <c r="BU33" s="12" t="s">
        <v>877</v>
      </c>
      <c r="BV33" s="12" t="s">
        <v>877</v>
      </c>
      <c r="BW33" s="12" t="s">
        <v>841</v>
      </c>
      <c r="BX33" s="12" t="s">
        <v>878</v>
      </c>
      <c r="BY33" s="12" t="s">
        <v>841</v>
      </c>
      <c r="BZ33" s="12" t="s">
        <v>841</v>
      </c>
      <c r="CA33" s="12" t="s">
        <v>841</v>
      </c>
      <c r="CB33" s="12" t="s">
        <v>841</v>
      </c>
      <c r="CC33" s="12" t="s">
        <v>1734</v>
      </c>
      <c r="CD33" s="12" t="s">
        <v>1735</v>
      </c>
      <c r="CE33" s="12" t="s">
        <v>1736</v>
      </c>
      <c r="CF33" s="12" t="s">
        <v>1737</v>
      </c>
      <c r="CG33" s="12" t="s">
        <v>1738</v>
      </c>
      <c r="CH33" s="12" t="s">
        <v>1739</v>
      </c>
      <c r="CI33" s="12" t="s">
        <v>1740</v>
      </c>
      <c r="CJ33" s="12" t="s">
        <v>1741</v>
      </c>
      <c r="CK33" s="12" t="s">
        <v>1719</v>
      </c>
      <c r="CL33" s="12" t="s">
        <v>1742</v>
      </c>
      <c r="CM33" s="12" t="s">
        <v>888</v>
      </c>
      <c r="CN33" s="12" t="s">
        <v>841</v>
      </c>
      <c r="CO33" s="12" t="s">
        <v>847</v>
      </c>
      <c r="CP33" s="12" t="s">
        <v>889</v>
      </c>
      <c r="CQ33" s="12" t="s">
        <v>890</v>
      </c>
      <c r="CR33" s="12" t="s">
        <v>847</v>
      </c>
      <c r="CS33" s="12" t="s">
        <v>891</v>
      </c>
      <c r="CT33" s="12" t="s">
        <v>892</v>
      </c>
      <c r="CU33" s="12" t="s">
        <v>893</v>
      </c>
      <c r="CV33" s="12" t="s">
        <v>841</v>
      </c>
      <c r="CW33" s="12" t="s">
        <v>1718</v>
      </c>
      <c r="CX33" s="12" t="s">
        <v>894</v>
      </c>
      <c r="CY33" s="12" t="s">
        <v>895</v>
      </c>
      <c r="CZ33" s="12" t="s">
        <v>896</v>
      </c>
      <c r="DA33" s="12" t="s">
        <v>897</v>
      </c>
      <c r="DB33" s="12" t="s">
        <v>898</v>
      </c>
      <c r="DC33" s="12" t="s">
        <v>899</v>
      </c>
    </row>
    <row r="34">
      <c r="A34" s="12" t="s">
        <v>1743</v>
      </c>
      <c r="B34" s="12" t="s">
        <v>259</v>
      </c>
      <c r="C34" s="12" t="s">
        <v>95</v>
      </c>
      <c r="D34" s="12" t="s">
        <v>833</v>
      </c>
      <c r="E34" s="12" t="s">
        <v>834</v>
      </c>
      <c r="F34" s="12"/>
      <c r="G34" s="12" t="s">
        <v>202</v>
      </c>
      <c r="H34" s="12" t="s">
        <v>253</v>
      </c>
      <c r="I34" s="12"/>
      <c r="J34" s="43">
        <f t="shared" si="1"/>
        <v>-0.01881057903</v>
      </c>
      <c r="K34" s="43">
        <f t="shared" si="2"/>
        <v>2.909022</v>
      </c>
      <c r="L34" s="43">
        <f t="shared" si="3"/>
        <v>-0.01893300533</v>
      </c>
      <c r="M34" s="43">
        <f t="shared" si="4"/>
        <v>-0.9275987021</v>
      </c>
      <c r="N34" s="12" t="s">
        <v>1744</v>
      </c>
      <c r="O34" s="12" t="s">
        <v>1745</v>
      </c>
      <c r="P34" s="43">
        <f t="shared" si="5"/>
        <v>5.998385558</v>
      </c>
      <c r="Q34" s="43">
        <f t="shared" si="6"/>
        <v>4.625714558</v>
      </c>
      <c r="R34" s="12" t="s">
        <v>1746</v>
      </c>
      <c r="S34" s="12" t="s">
        <v>1747</v>
      </c>
      <c r="T34" s="43">
        <f t="shared" si="7"/>
        <v>61.1456224</v>
      </c>
      <c r="U34" s="43">
        <f t="shared" si="8"/>
        <v>0.4417875</v>
      </c>
      <c r="V34" s="12" t="s">
        <v>839</v>
      </c>
      <c r="W34" s="12" t="s">
        <v>1748</v>
      </c>
      <c r="X34" s="12" t="s">
        <v>841</v>
      </c>
      <c r="Y34" s="12" t="s">
        <v>841</v>
      </c>
      <c r="Z34" s="12" t="s">
        <v>841</v>
      </c>
      <c r="AA34" s="12" t="s">
        <v>1749</v>
      </c>
      <c r="AB34" s="12" t="s">
        <v>1750</v>
      </c>
      <c r="AC34" s="12" t="s">
        <v>1751</v>
      </c>
      <c r="AD34" s="12" t="s">
        <v>845</v>
      </c>
      <c r="AE34" s="12" t="s">
        <v>846</v>
      </c>
      <c r="AF34" s="43">
        <f t="shared" si="9"/>
        <v>5.572</v>
      </c>
      <c r="AG34" s="12" t="s">
        <v>847</v>
      </c>
      <c r="AH34" s="12" t="s">
        <v>1752</v>
      </c>
      <c r="AI34" s="12" t="s">
        <v>1753</v>
      </c>
      <c r="AJ34" s="12" t="s">
        <v>1537</v>
      </c>
      <c r="AK34" s="12" t="s">
        <v>1754</v>
      </c>
      <c r="AL34" s="43">
        <f t="shared" si="10"/>
        <v>36.09</v>
      </c>
      <c r="AM34" s="12" t="s">
        <v>852</v>
      </c>
      <c r="AN34" s="12" t="s">
        <v>1072</v>
      </c>
      <c r="AO34" s="12" t="s">
        <v>1755</v>
      </c>
      <c r="AP34" s="12" t="s">
        <v>1756</v>
      </c>
      <c r="AQ34" s="12" t="s">
        <v>1727</v>
      </c>
      <c r="AR34" s="12" t="s">
        <v>1757</v>
      </c>
      <c r="AS34" s="12" t="s">
        <v>1729</v>
      </c>
      <c r="AT34" s="12" t="s">
        <v>95</v>
      </c>
      <c r="AU34" s="12" t="s">
        <v>1730</v>
      </c>
      <c r="AV34" s="12" t="s">
        <v>832</v>
      </c>
      <c r="AW34" s="12" t="s">
        <v>919</v>
      </c>
      <c r="AX34" s="12" t="s">
        <v>868</v>
      </c>
      <c r="AY34" s="12" t="s">
        <v>868</v>
      </c>
      <c r="AZ34" s="12" t="s">
        <v>1758</v>
      </c>
      <c r="BA34" s="12" t="s">
        <v>868</v>
      </c>
      <c r="BB34" s="12" t="s">
        <v>868</v>
      </c>
      <c r="BC34" s="12" t="s">
        <v>866</v>
      </c>
      <c r="BD34" s="12" t="s">
        <v>867</v>
      </c>
      <c r="BE34" s="12" t="s">
        <v>868</v>
      </c>
      <c r="BF34" s="12" t="s">
        <v>869</v>
      </c>
      <c r="BG34" s="12" t="s">
        <v>870</v>
      </c>
      <c r="BH34" s="12" t="s">
        <v>841</v>
      </c>
      <c r="BI34" s="12" t="s">
        <v>871</v>
      </c>
      <c r="BJ34" s="12" t="s">
        <v>841</v>
      </c>
      <c r="BK34" s="12" t="s">
        <v>841</v>
      </c>
      <c r="BL34" s="12" t="s">
        <v>872</v>
      </c>
      <c r="BM34" s="12" t="s">
        <v>873</v>
      </c>
      <c r="BN34" s="12" t="s">
        <v>866</v>
      </c>
      <c r="BO34" s="12" t="s">
        <v>874</v>
      </c>
      <c r="BP34" s="12" t="s">
        <v>875</v>
      </c>
      <c r="BQ34" s="12" t="s">
        <v>876</v>
      </c>
      <c r="BR34" s="12" t="s">
        <v>869</v>
      </c>
      <c r="BS34" s="12" t="s">
        <v>869</v>
      </c>
      <c r="BT34" s="12" t="s">
        <v>877</v>
      </c>
      <c r="BU34" s="12" t="s">
        <v>877</v>
      </c>
      <c r="BV34" s="12" t="s">
        <v>877</v>
      </c>
      <c r="BW34" s="12" t="s">
        <v>841</v>
      </c>
      <c r="BX34" s="12" t="s">
        <v>878</v>
      </c>
      <c r="BY34" s="12" t="s">
        <v>841</v>
      </c>
      <c r="BZ34" s="12" t="s">
        <v>841</v>
      </c>
      <c r="CA34" s="12" t="s">
        <v>841</v>
      </c>
      <c r="CB34" s="12" t="s">
        <v>841</v>
      </c>
      <c r="CC34" s="12" t="s">
        <v>1759</v>
      </c>
      <c r="CD34" s="12" t="s">
        <v>1760</v>
      </c>
      <c r="CE34" s="12" t="s">
        <v>1761</v>
      </c>
      <c r="CF34" s="12" t="s">
        <v>1762</v>
      </c>
      <c r="CG34" s="12" t="s">
        <v>1763</v>
      </c>
      <c r="CH34" s="12" t="s">
        <v>1764</v>
      </c>
      <c r="CI34" s="12" t="s">
        <v>1765</v>
      </c>
      <c r="CJ34" s="12" t="s">
        <v>1766</v>
      </c>
      <c r="CK34" s="12" t="s">
        <v>1749</v>
      </c>
      <c r="CL34" s="12" t="s">
        <v>1609</v>
      </c>
      <c r="CM34" s="12" t="s">
        <v>888</v>
      </c>
      <c r="CN34" s="12" t="s">
        <v>841</v>
      </c>
      <c r="CO34" s="12" t="s">
        <v>847</v>
      </c>
      <c r="CP34" s="12" t="s">
        <v>889</v>
      </c>
      <c r="CQ34" s="12" t="s">
        <v>890</v>
      </c>
      <c r="CR34" s="12" t="s">
        <v>847</v>
      </c>
      <c r="CS34" s="12" t="s">
        <v>891</v>
      </c>
      <c r="CT34" s="12" t="s">
        <v>892</v>
      </c>
      <c r="CU34" s="12" t="s">
        <v>893</v>
      </c>
      <c r="CV34" s="12" t="s">
        <v>841</v>
      </c>
      <c r="CW34" s="12" t="s">
        <v>1748</v>
      </c>
      <c r="CX34" s="12" t="s">
        <v>894</v>
      </c>
      <c r="CY34" s="12" t="s">
        <v>895</v>
      </c>
      <c r="CZ34" s="12" t="s">
        <v>896</v>
      </c>
      <c r="DA34" s="12" t="s">
        <v>897</v>
      </c>
      <c r="DB34" s="12" t="s">
        <v>898</v>
      </c>
      <c r="DC34" s="12" t="s">
        <v>899</v>
      </c>
    </row>
    <row r="35">
      <c r="A35" s="12" t="s">
        <v>1767</v>
      </c>
      <c r="B35" s="12" t="s">
        <v>263</v>
      </c>
      <c r="C35" s="12" t="s">
        <v>95</v>
      </c>
      <c r="D35" s="12" t="s">
        <v>833</v>
      </c>
      <c r="E35" s="12" t="s">
        <v>834</v>
      </c>
      <c r="F35" s="12"/>
      <c r="G35" s="12" t="s">
        <v>202</v>
      </c>
      <c r="H35" s="12" t="s">
        <v>253</v>
      </c>
      <c r="I35" s="12"/>
      <c r="J35" s="43">
        <f t="shared" si="1"/>
        <v>-0.010634029</v>
      </c>
      <c r="K35" s="43">
        <f t="shared" si="2"/>
        <v>2.909022</v>
      </c>
      <c r="L35" s="43">
        <f t="shared" si="3"/>
        <v>-0.01067304468</v>
      </c>
      <c r="M35" s="43">
        <f t="shared" si="4"/>
        <v>-0.5265896229</v>
      </c>
      <c r="N35" s="12" t="s">
        <v>1768</v>
      </c>
      <c r="O35" s="12" t="s">
        <v>1769</v>
      </c>
      <c r="P35" s="43">
        <f t="shared" si="5"/>
        <v>6.067941385</v>
      </c>
      <c r="Q35" s="43">
        <f t="shared" si="6"/>
        <v>4.655584385</v>
      </c>
      <c r="R35" s="12" t="s">
        <v>1770</v>
      </c>
      <c r="S35" s="12" t="s">
        <v>1771</v>
      </c>
      <c r="T35" s="43">
        <f t="shared" si="7"/>
        <v>61.85465224</v>
      </c>
      <c r="U35" s="43">
        <f t="shared" si="8"/>
        <v>0.4417875</v>
      </c>
      <c r="V35" s="12" t="s">
        <v>839</v>
      </c>
      <c r="W35" s="12" t="s">
        <v>1772</v>
      </c>
      <c r="X35" s="12" t="s">
        <v>841</v>
      </c>
      <c r="Y35" s="12" t="s">
        <v>841</v>
      </c>
      <c r="Z35" s="12" t="s">
        <v>841</v>
      </c>
      <c r="AA35" s="12" t="s">
        <v>1773</v>
      </c>
      <c r="AB35" s="12" t="s">
        <v>1774</v>
      </c>
      <c r="AC35" s="12" t="s">
        <v>1775</v>
      </c>
      <c r="AD35" s="12" t="s">
        <v>845</v>
      </c>
      <c r="AE35" s="12" t="s">
        <v>846</v>
      </c>
      <c r="AF35" s="43">
        <f t="shared" si="9"/>
        <v>5.9061808</v>
      </c>
      <c r="AG35" s="12" t="s">
        <v>847</v>
      </c>
      <c r="AH35" s="12" t="s">
        <v>1776</v>
      </c>
      <c r="AI35" s="12" t="s">
        <v>1777</v>
      </c>
      <c r="AJ35" s="12" t="s">
        <v>1778</v>
      </c>
      <c r="AK35" s="12" t="s">
        <v>1779</v>
      </c>
      <c r="AL35" s="43">
        <f t="shared" si="10"/>
        <v>36.3</v>
      </c>
      <c r="AM35" s="12" t="s">
        <v>852</v>
      </c>
      <c r="AN35" s="12" t="s">
        <v>1072</v>
      </c>
      <c r="AO35" s="12" t="s">
        <v>1780</v>
      </c>
      <c r="AP35" s="12" t="s">
        <v>1781</v>
      </c>
      <c r="AQ35" s="12" t="s">
        <v>1782</v>
      </c>
      <c r="AR35" s="12" t="s">
        <v>1783</v>
      </c>
      <c r="AS35" s="12" t="s">
        <v>1729</v>
      </c>
      <c r="AT35" s="12" t="s">
        <v>95</v>
      </c>
      <c r="AU35" s="12" t="s">
        <v>1730</v>
      </c>
      <c r="AV35" s="12" t="s">
        <v>832</v>
      </c>
      <c r="AW35" s="12" t="s">
        <v>1342</v>
      </c>
      <c r="AX35" s="12" t="s">
        <v>1287</v>
      </c>
      <c r="AY35" s="12" t="s">
        <v>1784</v>
      </c>
      <c r="AZ35" s="12" t="s">
        <v>1785</v>
      </c>
      <c r="BA35" s="12" t="s">
        <v>1786</v>
      </c>
      <c r="BB35" s="12" t="s">
        <v>1787</v>
      </c>
      <c r="BC35" s="12" t="s">
        <v>866</v>
      </c>
      <c r="BD35" s="12" t="s">
        <v>867</v>
      </c>
      <c r="BE35" s="12" t="s">
        <v>868</v>
      </c>
      <c r="BF35" s="12" t="s">
        <v>869</v>
      </c>
      <c r="BG35" s="12" t="s">
        <v>870</v>
      </c>
      <c r="BH35" s="12" t="s">
        <v>841</v>
      </c>
      <c r="BI35" s="12" t="s">
        <v>871</v>
      </c>
      <c r="BJ35" s="12" t="s">
        <v>841</v>
      </c>
      <c r="BK35" s="12" t="s">
        <v>841</v>
      </c>
      <c r="BL35" s="12" t="s">
        <v>872</v>
      </c>
      <c r="BM35" s="12" t="s">
        <v>873</v>
      </c>
      <c r="BN35" s="12" t="s">
        <v>866</v>
      </c>
      <c r="BO35" s="12" t="s">
        <v>874</v>
      </c>
      <c r="BP35" s="12" t="s">
        <v>875</v>
      </c>
      <c r="BQ35" s="12" t="s">
        <v>876</v>
      </c>
      <c r="BR35" s="12" t="s">
        <v>869</v>
      </c>
      <c r="BS35" s="12" t="s">
        <v>869</v>
      </c>
      <c r="BT35" s="12" t="s">
        <v>877</v>
      </c>
      <c r="BU35" s="12" t="s">
        <v>877</v>
      </c>
      <c r="BV35" s="12" t="s">
        <v>877</v>
      </c>
      <c r="BW35" s="12" t="s">
        <v>841</v>
      </c>
      <c r="BX35" s="12" t="s">
        <v>878</v>
      </c>
      <c r="BY35" s="12" t="s">
        <v>841</v>
      </c>
      <c r="BZ35" s="12" t="s">
        <v>841</v>
      </c>
      <c r="CA35" s="12" t="s">
        <v>841</v>
      </c>
      <c r="CB35" s="12" t="s">
        <v>841</v>
      </c>
      <c r="CC35" s="12" t="s">
        <v>1788</v>
      </c>
      <c r="CD35" s="12" t="s">
        <v>1789</v>
      </c>
      <c r="CE35" s="12" t="s">
        <v>1790</v>
      </c>
      <c r="CF35" s="12" t="s">
        <v>1791</v>
      </c>
      <c r="CG35" s="12" t="s">
        <v>1792</v>
      </c>
      <c r="CH35" s="12" t="s">
        <v>1793</v>
      </c>
      <c r="CI35" s="12" t="s">
        <v>1794</v>
      </c>
      <c r="CJ35" s="12" t="s">
        <v>1795</v>
      </c>
      <c r="CK35" s="12" t="s">
        <v>1773</v>
      </c>
      <c r="CL35" s="12" t="s">
        <v>1093</v>
      </c>
      <c r="CM35" s="12" t="s">
        <v>888</v>
      </c>
      <c r="CN35" s="12" t="s">
        <v>841</v>
      </c>
      <c r="CO35" s="12" t="s">
        <v>847</v>
      </c>
      <c r="CP35" s="12" t="s">
        <v>889</v>
      </c>
      <c r="CQ35" s="12" t="s">
        <v>890</v>
      </c>
      <c r="CR35" s="12" t="s">
        <v>847</v>
      </c>
      <c r="CS35" s="12" t="s">
        <v>891</v>
      </c>
      <c r="CT35" s="12" t="s">
        <v>892</v>
      </c>
      <c r="CU35" s="12" t="s">
        <v>893</v>
      </c>
      <c r="CV35" s="12" t="s">
        <v>841</v>
      </c>
      <c r="CW35" s="12" t="s">
        <v>1772</v>
      </c>
      <c r="CX35" s="12" t="s">
        <v>894</v>
      </c>
      <c r="CY35" s="12" t="s">
        <v>895</v>
      </c>
      <c r="CZ35" s="12" t="s">
        <v>896</v>
      </c>
      <c r="DA35" s="12" t="s">
        <v>897</v>
      </c>
      <c r="DB35" s="12" t="s">
        <v>898</v>
      </c>
      <c r="DC35" s="12" t="s">
        <v>899</v>
      </c>
    </row>
    <row r="36">
      <c r="A36" s="12" t="s">
        <v>1727</v>
      </c>
      <c r="B36" s="12" t="s">
        <v>264</v>
      </c>
      <c r="C36" s="12" t="s">
        <v>95</v>
      </c>
      <c r="D36" s="12" t="s">
        <v>833</v>
      </c>
      <c r="E36" s="12" t="s">
        <v>834</v>
      </c>
      <c r="F36" s="12"/>
      <c r="G36" s="12" t="s">
        <v>202</v>
      </c>
      <c r="H36" s="12" t="s">
        <v>262</v>
      </c>
      <c r="I36" s="12"/>
      <c r="J36" s="43">
        <f t="shared" si="1"/>
        <v>-0.0232551546</v>
      </c>
      <c r="K36" s="43">
        <f t="shared" si="2"/>
        <v>2.91060848</v>
      </c>
      <c r="L36" s="43">
        <f t="shared" si="3"/>
        <v>-0.02344245492</v>
      </c>
      <c r="M36" s="43">
        <f t="shared" si="4"/>
        <v>-1.119364576</v>
      </c>
      <c r="N36" s="12" t="s">
        <v>1796</v>
      </c>
      <c r="O36" s="12" t="s">
        <v>1797</v>
      </c>
      <c r="P36" s="43">
        <f t="shared" si="5"/>
        <v>5.952400696</v>
      </c>
      <c r="Q36" s="43">
        <f t="shared" si="6"/>
        <v>4.508609696</v>
      </c>
      <c r="R36" s="12" t="s">
        <v>1798</v>
      </c>
      <c r="S36" s="12" t="s">
        <v>1799</v>
      </c>
      <c r="T36" s="43">
        <f t="shared" si="7"/>
        <v>60.66449956</v>
      </c>
      <c r="U36" s="43">
        <f t="shared" si="8"/>
        <v>0.4417875</v>
      </c>
      <c r="V36" s="12" t="s">
        <v>839</v>
      </c>
      <c r="W36" s="12" t="s">
        <v>1800</v>
      </c>
      <c r="X36" s="12" t="s">
        <v>841</v>
      </c>
      <c r="Y36" s="12" t="s">
        <v>841</v>
      </c>
      <c r="Z36" s="12" t="s">
        <v>841</v>
      </c>
      <c r="AA36" s="12" t="s">
        <v>1801</v>
      </c>
      <c r="AB36" s="12" t="s">
        <v>1802</v>
      </c>
      <c r="AC36" s="12" t="s">
        <v>1803</v>
      </c>
      <c r="AD36" s="12" t="s">
        <v>845</v>
      </c>
      <c r="AE36" s="12" t="s">
        <v>846</v>
      </c>
      <c r="AF36" s="43">
        <f t="shared" si="9"/>
        <v>10.444464</v>
      </c>
      <c r="AG36" s="12" t="s">
        <v>847</v>
      </c>
      <c r="AH36" s="12" t="s">
        <v>1804</v>
      </c>
      <c r="AI36" s="12" t="s">
        <v>1805</v>
      </c>
      <c r="AJ36" s="12" t="s">
        <v>1806</v>
      </c>
      <c r="AK36" s="12" t="s">
        <v>1807</v>
      </c>
      <c r="AL36" s="43">
        <f t="shared" si="10"/>
        <v>35.95</v>
      </c>
      <c r="AM36" s="12" t="s">
        <v>981</v>
      </c>
      <c r="AN36" s="12" t="s">
        <v>1159</v>
      </c>
      <c r="AO36" s="12" t="s">
        <v>1808</v>
      </c>
      <c r="AP36" s="12" t="s">
        <v>1809</v>
      </c>
      <c r="AQ36" s="12" t="s">
        <v>1810</v>
      </c>
      <c r="AR36" s="12" t="s">
        <v>1783</v>
      </c>
      <c r="AS36" s="12" t="s">
        <v>1729</v>
      </c>
      <c r="AT36" s="12" t="s">
        <v>95</v>
      </c>
      <c r="AU36" s="12" t="s">
        <v>1730</v>
      </c>
      <c r="AV36" s="12" t="s">
        <v>832</v>
      </c>
      <c r="AW36" s="12" t="s">
        <v>1403</v>
      </c>
      <c r="AX36" s="12" t="s">
        <v>1542</v>
      </c>
      <c r="AY36" s="12" t="s">
        <v>868</v>
      </c>
      <c r="AZ36" s="12" t="s">
        <v>1811</v>
      </c>
      <c r="BA36" s="12" t="s">
        <v>1812</v>
      </c>
      <c r="BB36" s="12" t="s">
        <v>868</v>
      </c>
      <c r="BC36" s="12" t="s">
        <v>866</v>
      </c>
      <c r="BD36" s="12" t="s">
        <v>867</v>
      </c>
      <c r="BE36" s="12" t="s">
        <v>868</v>
      </c>
      <c r="BF36" s="12" t="s">
        <v>869</v>
      </c>
      <c r="BG36" s="12" t="s">
        <v>870</v>
      </c>
      <c r="BH36" s="12" t="s">
        <v>841</v>
      </c>
      <c r="BI36" s="12" t="s">
        <v>871</v>
      </c>
      <c r="BJ36" s="12" t="s">
        <v>841</v>
      </c>
      <c r="BK36" s="12" t="s">
        <v>841</v>
      </c>
      <c r="BL36" s="12" t="s">
        <v>872</v>
      </c>
      <c r="BM36" s="12" t="s">
        <v>873</v>
      </c>
      <c r="BN36" s="12" t="s">
        <v>866</v>
      </c>
      <c r="BO36" s="12" t="s">
        <v>874</v>
      </c>
      <c r="BP36" s="12" t="s">
        <v>875</v>
      </c>
      <c r="BQ36" s="12" t="s">
        <v>876</v>
      </c>
      <c r="BR36" s="12" t="s">
        <v>869</v>
      </c>
      <c r="BS36" s="12" t="s">
        <v>869</v>
      </c>
      <c r="BT36" s="12" t="s">
        <v>877</v>
      </c>
      <c r="BU36" s="12" t="s">
        <v>877</v>
      </c>
      <c r="BV36" s="12" t="s">
        <v>877</v>
      </c>
      <c r="BW36" s="12" t="s">
        <v>841</v>
      </c>
      <c r="BX36" s="12" t="s">
        <v>878</v>
      </c>
      <c r="BY36" s="12" t="s">
        <v>841</v>
      </c>
      <c r="BZ36" s="12" t="s">
        <v>841</v>
      </c>
      <c r="CA36" s="12" t="s">
        <v>841</v>
      </c>
      <c r="CB36" s="12" t="s">
        <v>841</v>
      </c>
      <c r="CC36" s="12" t="s">
        <v>1813</v>
      </c>
      <c r="CD36" s="12" t="s">
        <v>1814</v>
      </c>
      <c r="CE36" s="12" t="s">
        <v>1815</v>
      </c>
      <c r="CF36" s="12" t="s">
        <v>1816</v>
      </c>
      <c r="CG36" s="12" t="s">
        <v>1817</v>
      </c>
      <c r="CH36" s="12" t="s">
        <v>1818</v>
      </c>
      <c r="CI36" s="12" t="s">
        <v>1819</v>
      </c>
      <c r="CJ36" s="12" t="s">
        <v>1820</v>
      </c>
      <c r="CK36" s="12" t="s">
        <v>1801</v>
      </c>
      <c r="CL36" s="12" t="s">
        <v>1119</v>
      </c>
      <c r="CM36" s="12" t="s">
        <v>888</v>
      </c>
      <c r="CN36" s="12" t="s">
        <v>841</v>
      </c>
      <c r="CO36" s="12" t="s">
        <v>847</v>
      </c>
      <c r="CP36" s="12" t="s">
        <v>889</v>
      </c>
      <c r="CQ36" s="12" t="s">
        <v>890</v>
      </c>
      <c r="CR36" s="12" t="s">
        <v>847</v>
      </c>
      <c r="CS36" s="12" t="s">
        <v>891</v>
      </c>
      <c r="CT36" s="12" t="s">
        <v>892</v>
      </c>
      <c r="CU36" s="12" t="s">
        <v>893</v>
      </c>
      <c r="CV36" s="12" t="s">
        <v>841</v>
      </c>
      <c r="CW36" s="12" t="s">
        <v>1800</v>
      </c>
      <c r="CX36" s="12" t="s">
        <v>894</v>
      </c>
      <c r="CY36" s="12" t="s">
        <v>895</v>
      </c>
      <c r="CZ36" s="12" t="s">
        <v>896</v>
      </c>
      <c r="DA36" s="12" t="s">
        <v>897</v>
      </c>
      <c r="DB36" s="12" t="s">
        <v>898</v>
      </c>
      <c r="DC36" s="12" t="s">
        <v>899</v>
      </c>
    </row>
    <row r="37">
      <c r="A37" s="12" t="s">
        <v>1821</v>
      </c>
      <c r="B37" s="12" t="s">
        <v>265</v>
      </c>
      <c r="C37" s="12" t="s">
        <v>95</v>
      </c>
      <c r="D37" s="12" t="s">
        <v>833</v>
      </c>
      <c r="E37" s="12" t="s">
        <v>834</v>
      </c>
      <c r="F37" s="12"/>
      <c r="G37" s="12" t="s">
        <v>202</v>
      </c>
      <c r="H37" s="12" t="s">
        <v>262</v>
      </c>
      <c r="I37" s="12"/>
      <c r="J37" s="43">
        <f t="shared" si="1"/>
        <v>0.009425136597</v>
      </c>
      <c r="K37" s="43">
        <f t="shared" si="2"/>
        <v>2.90822672</v>
      </c>
      <c r="L37" s="43">
        <f t="shared" si="3"/>
        <v>0.009394689784</v>
      </c>
      <c r="M37" s="43">
        <f t="shared" si="4"/>
        <v>0.4315162573</v>
      </c>
      <c r="N37" s="12" t="s">
        <v>1822</v>
      </c>
      <c r="O37" s="12" t="s">
        <v>1823</v>
      </c>
      <c r="P37" s="43">
        <f t="shared" si="5"/>
        <v>5.880757456</v>
      </c>
      <c r="Q37" s="43">
        <f t="shared" si="6"/>
        <v>4.336357456</v>
      </c>
      <c r="R37" s="12" t="s">
        <v>1824</v>
      </c>
      <c r="S37" s="12" t="s">
        <v>1825</v>
      </c>
      <c r="T37" s="43">
        <f t="shared" si="7"/>
        <v>59.93434015</v>
      </c>
      <c r="U37" s="43">
        <f t="shared" si="8"/>
        <v>0.4417875</v>
      </c>
      <c r="V37" s="12" t="s">
        <v>839</v>
      </c>
      <c r="W37" s="12" t="s">
        <v>1826</v>
      </c>
      <c r="X37" s="12" t="s">
        <v>841</v>
      </c>
      <c r="Y37" s="12" t="s">
        <v>841</v>
      </c>
      <c r="Z37" s="12" t="s">
        <v>841</v>
      </c>
      <c r="AA37" s="12" t="s">
        <v>1827</v>
      </c>
      <c r="AB37" s="12" t="s">
        <v>1828</v>
      </c>
      <c r="AC37" s="12" t="s">
        <v>1829</v>
      </c>
      <c r="AD37" s="12" t="s">
        <v>845</v>
      </c>
      <c r="AE37" s="12" t="s">
        <v>846</v>
      </c>
      <c r="AF37" s="43">
        <f t="shared" si="9"/>
        <v>11.1937816</v>
      </c>
      <c r="AG37" s="12" t="s">
        <v>847</v>
      </c>
      <c r="AH37" s="12" t="s">
        <v>1830</v>
      </c>
      <c r="AI37" s="12" t="s">
        <v>1831</v>
      </c>
      <c r="AJ37" s="12" t="s">
        <v>1365</v>
      </c>
      <c r="AK37" s="12" t="s">
        <v>1832</v>
      </c>
      <c r="AL37" s="43">
        <f t="shared" si="10"/>
        <v>35.73</v>
      </c>
      <c r="AM37" s="12" t="s">
        <v>981</v>
      </c>
      <c r="AN37" s="12" t="s">
        <v>853</v>
      </c>
      <c r="AO37" s="12" t="s">
        <v>1833</v>
      </c>
      <c r="AP37" s="12" t="s">
        <v>1834</v>
      </c>
      <c r="AQ37" s="12" t="s">
        <v>1835</v>
      </c>
      <c r="AR37" s="12" t="s">
        <v>1836</v>
      </c>
      <c r="AS37" s="12" t="s">
        <v>1729</v>
      </c>
      <c r="AT37" s="12" t="s">
        <v>95</v>
      </c>
      <c r="AU37" s="12" t="s">
        <v>1730</v>
      </c>
      <c r="AV37" s="12" t="s">
        <v>832</v>
      </c>
      <c r="AW37" s="12" t="s">
        <v>860</v>
      </c>
      <c r="AX37" s="12" t="s">
        <v>868</v>
      </c>
      <c r="AY37" s="12" t="s">
        <v>868</v>
      </c>
      <c r="AZ37" s="12" t="s">
        <v>1837</v>
      </c>
      <c r="BA37" s="12" t="s">
        <v>868</v>
      </c>
      <c r="BB37" s="12" t="s">
        <v>868</v>
      </c>
      <c r="BC37" s="12" t="s">
        <v>866</v>
      </c>
      <c r="BD37" s="12" t="s">
        <v>867</v>
      </c>
      <c r="BE37" s="12" t="s">
        <v>868</v>
      </c>
      <c r="BF37" s="12" t="s">
        <v>869</v>
      </c>
      <c r="BG37" s="12" t="s">
        <v>870</v>
      </c>
      <c r="BH37" s="12" t="s">
        <v>841</v>
      </c>
      <c r="BI37" s="12" t="s">
        <v>871</v>
      </c>
      <c r="BJ37" s="12" t="s">
        <v>841</v>
      </c>
      <c r="BK37" s="12" t="s">
        <v>841</v>
      </c>
      <c r="BL37" s="12" t="s">
        <v>872</v>
      </c>
      <c r="BM37" s="12" t="s">
        <v>873</v>
      </c>
      <c r="BN37" s="12" t="s">
        <v>866</v>
      </c>
      <c r="BO37" s="12" t="s">
        <v>874</v>
      </c>
      <c r="BP37" s="12" t="s">
        <v>875</v>
      </c>
      <c r="BQ37" s="12" t="s">
        <v>876</v>
      </c>
      <c r="BR37" s="12" t="s">
        <v>869</v>
      </c>
      <c r="BS37" s="12" t="s">
        <v>869</v>
      </c>
      <c r="BT37" s="12" t="s">
        <v>877</v>
      </c>
      <c r="BU37" s="12" t="s">
        <v>877</v>
      </c>
      <c r="BV37" s="12" t="s">
        <v>877</v>
      </c>
      <c r="BW37" s="12" t="s">
        <v>841</v>
      </c>
      <c r="BX37" s="12" t="s">
        <v>878</v>
      </c>
      <c r="BY37" s="12" t="s">
        <v>841</v>
      </c>
      <c r="BZ37" s="12" t="s">
        <v>841</v>
      </c>
      <c r="CA37" s="12" t="s">
        <v>841</v>
      </c>
      <c r="CB37" s="12" t="s">
        <v>841</v>
      </c>
      <c r="CC37" s="12" t="s">
        <v>1838</v>
      </c>
      <c r="CD37" s="12" t="s">
        <v>1839</v>
      </c>
      <c r="CE37" s="12" t="s">
        <v>1840</v>
      </c>
      <c r="CF37" s="12" t="s">
        <v>1841</v>
      </c>
      <c r="CG37" s="12" t="s">
        <v>1842</v>
      </c>
      <c r="CH37" s="12" t="s">
        <v>1843</v>
      </c>
      <c r="CI37" s="12" t="s">
        <v>1844</v>
      </c>
      <c r="CJ37" s="12" t="s">
        <v>1845</v>
      </c>
      <c r="CK37" s="12" t="s">
        <v>1827</v>
      </c>
      <c r="CL37" s="12" t="s">
        <v>1742</v>
      </c>
      <c r="CM37" s="12" t="s">
        <v>888</v>
      </c>
      <c r="CN37" s="12" t="s">
        <v>841</v>
      </c>
      <c r="CO37" s="12" t="s">
        <v>847</v>
      </c>
      <c r="CP37" s="12" t="s">
        <v>889</v>
      </c>
      <c r="CQ37" s="12" t="s">
        <v>890</v>
      </c>
      <c r="CR37" s="12" t="s">
        <v>847</v>
      </c>
      <c r="CS37" s="12" t="s">
        <v>891</v>
      </c>
      <c r="CT37" s="12" t="s">
        <v>892</v>
      </c>
      <c r="CU37" s="12" t="s">
        <v>893</v>
      </c>
      <c r="CV37" s="12" t="s">
        <v>841</v>
      </c>
      <c r="CW37" s="12" t="s">
        <v>1826</v>
      </c>
      <c r="CX37" s="12" t="s">
        <v>894</v>
      </c>
      <c r="CY37" s="12" t="s">
        <v>895</v>
      </c>
      <c r="CZ37" s="12" t="s">
        <v>896</v>
      </c>
      <c r="DA37" s="12" t="s">
        <v>897</v>
      </c>
      <c r="DB37" s="12" t="s">
        <v>898</v>
      </c>
      <c r="DC37" s="12" t="s">
        <v>899</v>
      </c>
    </row>
    <row r="38">
      <c r="A38" s="12" t="s">
        <v>1399</v>
      </c>
      <c r="B38" s="12" t="s">
        <v>267</v>
      </c>
      <c r="C38" s="12" t="s">
        <v>95</v>
      </c>
      <c r="D38" s="12" t="s">
        <v>833</v>
      </c>
      <c r="E38" s="12" t="s">
        <v>834</v>
      </c>
      <c r="F38" s="12"/>
      <c r="G38" s="12" t="s">
        <v>202</v>
      </c>
      <c r="H38" s="12" t="s">
        <v>262</v>
      </c>
      <c r="I38" s="12"/>
      <c r="J38" s="43">
        <f t="shared" si="1"/>
        <v>0.02653208751</v>
      </c>
      <c r="K38" s="43">
        <f t="shared" si="2"/>
        <v>2.91060848</v>
      </c>
      <c r="L38" s="43">
        <f t="shared" si="3"/>
        <v>0.02629241506</v>
      </c>
      <c r="M38" s="43">
        <f t="shared" si="4"/>
        <v>1.223185648</v>
      </c>
      <c r="N38" s="12" t="s">
        <v>1846</v>
      </c>
      <c r="O38" s="12" t="s">
        <v>1847</v>
      </c>
      <c r="P38" s="43">
        <f t="shared" si="5"/>
        <v>5.942586738</v>
      </c>
      <c r="Q38" s="43">
        <f t="shared" si="6"/>
        <v>4.390446738</v>
      </c>
      <c r="R38" s="12" t="s">
        <v>1848</v>
      </c>
      <c r="S38" s="12" t="s">
        <v>1849</v>
      </c>
      <c r="T38" s="43">
        <f t="shared" si="7"/>
        <v>60.5644796</v>
      </c>
      <c r="U38" s="43">
        <f t="shared" si="8"/>
        <v>0.4417875</v>
      </c>
      <c r="V38" s="12" t="s">
        <v>839</v>
      </c>
      <c r="W38" s="12" t="s">
        <v>1850</v>
      </c>
      <c r="X38" s="12" t="s">
        <v>841</v>
      </c>
      <c r="Y38" s="12" t="s">
        <v>841</v>
      </c>
      <c r="Z38" s="12" t="s">
        <v>841</v>
      </c>
      <c r="AA38" s="12" t="s">
        <v>1851</v>
      </c>
      <c r="AB38" s="12" t="s">
        <v>1852</v>
      </c>
      <c r="AC38" s="12" t="s">
        <v>1853</v>
      </c>
      <c r="AD38" s="12" t="s">
        <v>845</v>
      </c>
      <c r="AE38" s="12" t="s">
        <v>846</v>
      </c>
      <c r="AF38" s="43">
        <f t="shared" si="9"/>
        <v>10.036068</v>
      </c>
      <c r="AG38" s="12" t="s">
        <v>847</v>
      </c>
      <c r="AH38" s="12" t="s">
        <v>1854</v>
      </c>
      <c r="AI38" s="12" t="s">
        <v>1855</v>
      </c>
      <c r="AJ38" s="12" t="s">
        <v>1856</v>
      </c>
      <c r="AK38" s="12" t="s">
        <v>1857</v>
      </c>
      <c r="AL38" s="43">
        <f t="shared" si="10"/>
        <v>35.92</v>
      </c>
      <c r="AM38" s="12" t="s">
        <v>981</v>
      </c>
      <c r="AN38" s="12" t="s">
        <v>1159</v>
      </c>
      <c r="AO38" s="12" t="s">
        <v>1858</v>
      </c>
      <c r="AP38" s="12" t="s">
        <v>1859</v>
      </c>
      <c r="AQ38" s="12" t="s">
        <v>1860</v>
      </c>
      <c r="AR38" s="12" t="s">
        <v>1836</v>
      </c>
      <c r="AS38" s="12" t="s">
        <v>1729</v>
      </c>
      <c r="AT38" s="12" t="s">
        <v>95</v>
      </c>
      <c r="AU38" s="12" t="s">
        <v>1730</v>
      </c>
      <c r="AV38" s="12" t="s">
        <v>832</v>
      </c>
      <c r="AW38" s="12" t="s">
        <v>1286</v>
      </c>
      <c r="AX38" s="12" t="s">
        <v>1403</v>
      </c>
      <c r="AY38" s="12" t="s">
        <v>868</v>
      </c>
      <c r="AZ38" s="12" t="s">
        <v>1543</v>
      </c>
      <c r="BA38" s="12" t="s">
        <v>1861</v>
      </c>
      <c r="BB38" s="12" t="s">
        <v>868</v>
      </c>
      <c r="BC38" s="12" t="s">
        <v>866</v>
      </c>
      <c r="BD38" s="12" t="s">
        <v>867</v>
      </c>
      <c r="BE38" s="12" t="s">
        <v>868</v>
      </c>
      <c r="BF38" s="12" t="s">
        <v>869</v>
      </c>
      <c r="BG38" s="12" t="s">
        <v>870</v>
      </c>
      <c r="BH38" s="12" t="s">
        <v>841</v>
      </c>
      <c r="BI38" s="12" t="s">
        <v>871</v>
      </c>
      <c r="BJ38" s="12" t="s">
        <v>841</v>
      </c>
      <c r="BK38" s="12" t="s">
        <v>841</v>
      </c>
      <c r="BL38" s="12" t="s">
        <v>872</v>
      </c>
      <c r="BM38" s="12" t="s">
        <v>873</v>
      </c>
      <c r="BN38" s="12" t="s">
        <v>866</v>
      </c>
      <c r="BO38" s="12" t="s">
        <v>874</v>
      </c>
      <c r="BP38" s="12" t="s">
        <v>875</v>
      </c>
      <c r="BQ38" s="12" t="s">
        <v>876</v>
      </c>
      <c r="BR38" s="12" t="s">
        <v>869</v>
      </c>
      <c r="BS38" s="12" t="s">
        <v>869</v>
      </c>
      <c r="BT38" s="12" t="s">
        <v>877</v>
      </c>
      <c r="BU38" s="12" t="s">
        <v>877</v>
      </c>
      <c r="BV38" s="12" t="s">
        <v>877</v>
      </c>
      <c r="BW38" s="12" t="s">
        <v>841</v>
      </c>
      <c r="BX38" s="12" t="s">
        <v>878</v>
      </c>
      <c r="BY38" s="12" t="s">
        <v>841</v>
      </c>
      <c r="BZ38" s="12" t="s">
        <v>841</v>
      </c>
      <c r="CA38" s="12" t="s">
        <v>841</v>
      </c>
      <c r="CB38" s="12" t="s">
        <v>841</v>
      </c>
      <c r="CC38" s="12" t="s">
        <v>1862</v>
      </c>
      <c r="CD38" s="12" t="s">
        <v>1863</v>
      </c>
      <c r="CE38" s="12" t="s">
        <v>1864</v>
      </c>
      <c r="CF38" s="12" t="s">
        <v>1865</v>
      </c>
      <c r="CG38" s="12" t="s">
        <v>1866</v>
      </c>
      <c r="CH38" s="12" t="s">
        <v>1867</v>
      </c>
      <c r="CI38" s="12" t="s">
        <v>1868</v>
      </c>
      <c r="CJ38" s="12" t="s">
        <v>1869</v>
      </c>
      <c r="CK38" s="12" t="s">
        <v>1851</v>
      </c>
      <c r="CL38" s="12" t="s">
        <v>1581</v>
      </c>
      <c r="CM38" s="12" t="s">
        <v>888</v>
      </c>
      <c r="CN38" s="12" t="s">
        <v>841</v>
      </c>
      <c r="CO38" s="12" t="s">
        <v>847</v>
      </c>
      <c r="CP38" s="12" t="s">
        <v>889</v>
      </c>
      <c r="CQ38" s="12" t="s">
        <v>890</v>
      </c>
      <c r="CR38" s="12" t="s">
        <v>847</v>
      </c>
      <c r="CS38" s="12" t="s">
        <v>891</v>
      </c>
      <c r="CT38" s="12" t="s">
        <v>892</v>
      </c>
      <c r="CU38" s="12" t="s">
        <v>893</v>
      </c>
      <c r="CV38" s="12" t="s">
        <v>841</v>
      </c>
      <c r="CW38" s="12" t="s">
        <v>1850</v>
      </c>
      <c r="CX38" s="12" t="s">
        <v>894</v>
      </c>
      <c r="CY38" s="12" t="s">
        <v>895</v>
      </c>
      <c r="CZ38" s="12" t="s">
        <v>896</v>
      </c>
      <c r="DA38" s="12" t="s">
        <v>897</v>
      </c>
      <c r="DB38" s="12" t="s">
        <v>898</v>
      </c>
      <c r="DC38" s="12" t="s">
        <v>899</v>
      </c>
    </row>
    <row r="39">
      <c r="A39" s="12" t="s">
        <v>1870</v>
      </c>
      <c r="B39" s="12" t="s">
        <v>269</v>
      </c>
      <c r="C39" s="12" t="s">
        <v>95</v>
      </c>
      <c r="D39" s="12" t="s">
        <v>833</v>
      </c>
      <c r="E39" s="12" t="s">
        <v>834</v>
      </c>
      <c r="F39" s="12"/>
      <c r="G39" s="12" t="s">
        <v>202</v>
      </c>
      <c r="H39" s="12" t="s">
        <v>252</v>
      </c>
      <c r="I39" s="12"/>
      <c r="J39" s="43">
        <f t="shared" si="1"/>
        <v>0.01615630583</v>
      </c>
      <c r="K39" s="43">
        <f t="shared" si="2"/>
        <v>2.91060848</v>
      </c>
      <c r="L39" s="43">
        <f t="shared" si="3"/>
        <v>0.01606711991</v>
      </c>
      <c r="M39" s="43">
        <f t="shared" si="4"/>
        <v>0.8119588005</v>
      </c>
      <c r="N39" s="12" t="s">
        <v>1871</v>
      </c>
      <c r="O39" s="12" t="s">
        <v>1872</v>
      </c>
      <c r="P39" s="43">
        <f t="shared" si="5"/>
        <v>6.28425982</v>
      </c>
      <c r="Q39" s="43">
        <f t="shared" si="6"/>
        <v>4.76120682</v>
      </c>
      <c r="R39" s="12" t="s">
        <v>1873</v>
      </c>
      <c r="S39" s="12" t="s">
        <v>1874</v>
      </c>
      <c r="T39" s="43">
        <f t="shared" si="7"/>
        <v>64.0466757</v>
      </c>
      <c r="U39" s="43">
        <f t="shared" si="8"/>
        <v>0.4417875</v>
      </c>
      <c r="V39" s="12" t="s">
        <v>839</v>
      </c>
      <c r="W39" s="12" t="s">
        <v>1875</v>
      </c>
      <c r="X39" s="12" t="s">
        <v>841</v>
      </c>
      <c r="Y39" s="12" t="s">
        <v>841</v>
      </c>
      <c r="Z39" s="12" t="s">
        <v>841</v>
      </c>
      <c r="AA39" s="12" t="s">
        <v>1876</v>
      </c>
      <c r="AB39" s="12" t="s">
        <v>1877</v>
      </c>
      <c r="AC39" s="12" t="s">
        <v>1878</v>
      </c>
      <c r="AD39" s="12" t="s">
        <v>845</v>
      </c>
      <c r="AE39" s="12" t="s">
        <v>846</v>
      </c>
      <c r="AF39" s="43">
        <f t="shared" si="9"/>
        <v>52.7897808</v>
      </c>
      <c r="AG39" s="12" t="s">
        <v>847</v>
      </c>
      <c r="AH39" s="12" t="s">
        <v>1879</v>
      </c>
      <c r="AI39" s="12" t="s">
        <v>1880</v>
      </c>
      <c r="AJ39" s="12" t="s">
        <v>1856</v>
      </c>
      <c r="AK39" s="12" t="s">
        <v>909</v>
      </c>
      <c r="AL39" s="43">
        <f t="shared" si="10"/>
        <v>36.94</v>
      </c>
      <c r="AM39" s="12" t="s">
        <v>981</v>
      </c>
      <c r="AN39" s="12" t="s">
        <v>1159</v>
      </c>
      <c r="AO39" s="12" t="s">
        <v>1881</v>
      </c>
      <c r="AP39" s="12" t="s">
        <v>1882</v>
      </c>
      <c r="AQ39" s="12" t="s">
        <v>600</v>
      </c>
      <c r="AR39" s="12" t="s">
        <v>1836</v>
      </c>
      <c r="AS39" s="12" t="s">
        <v>1729</v>
      </c>
      <c r="AT39" s="12" t="s">
        <v>95</v>
      </c>
      <c r="AU39" s="12" t="s">
        <v>1730</v>
      </c>
      <c r="AV39" s="12" t="s">
        <v>832</v>
      </c>
      <c r="AW39" s="12" t="s">
        <v>1047</v>
      </c>
      <c r="AX39" s="12" t="s">
        <v>1372</v>
      </c>
      <c r="AY39" s="12" t="s">
        <v>868</v>
      </c>
      <c r="AZ39" s="12" t="s">
        <v>1883</v>
      </c>
      <c r="BA39" s="12" t="s">
        <v>1884</v>
      </c>
      <c r="BB39" s="12" t="s">
        <v>868</v>
      </c>
      <c r="BC39" s="12" t="s">
        <v>866</v>
      </c>
      <c r="BD39" s="12" t="s">
        <v>867</v>
      </c>
      <c r="BE39" s="12" t="s">
        <v>868</v>
      </c>
      <c r="BF39" s="12" t="s">
        <v>869</v>
      </c>
      <c r="BG39" s="12" t="s">
        <v>870</v>
      </c>
      <c r="BH39" s="12" t="s">
        <v>841</v>
      </c>
      <c r="BI39" s="12" t="s">
        <v>871</v>
      </c>
      <c r="BJ39" s="12" t="s">
        <v>841</v>
      </c>
      <c r="BK39" s="12" t="s">
        <v>841</v>
      </c>
      <c r="BL39" s="12" t="s">
        <v>872</v>
      </c>
      <c r="BM39" s="12" t="s">
        <v>873</v>
      </c>
      <c r="BN39" s="12" t="s">
        <v>866</v>
      </c>
      <c r="BO39" s="12" t="s">
        <v>874</v>
      </c>
      <c r="BP39" s="12" t="s">
        <v>875</v>
      </c>
      <c r="BQ39" s="12" t="s">
        <v>876</v>
      </c>
      <c r="BR39" s="12" t="s">
        <v>869</v>
      </c>
      <c r="BS39" s="12" t="s">
        <v>869</v>
      </c>
      <c r="BT39" s="12" t="s">
        <v>877</v>
      </c>
      <c r="BU39" s="12" t="s">
        <v>877</v>
      </c>
      <c r="BV39" s="12" t="s">
        <v>877</v>
      </c>
      <c r="BW39" s="12" t="s">
        <v>841</v>
      </c>
      <c r="BX39" s="12" t="s">
        <v>878</v>
      </c>
      <c r="BY39" s="12" t="s">
        <v>841</v>
      </c>
      <c r="BZ39" s="12" t="s">
        <v>841</v>
      </c>
      <c r="CA39" s="12" t="s">
        <v>841</v>
      </c>
      <c r="CB39" s="12" t="s">
        <v>841</v>
      </c>
      <c r="CC39" s="12" t="s">
        <v>1885</v>
      </c>
      <c r="CD39" s="12" t="s">
        <v>1886</v>
      </c>
      <c r="CE39" s="12" t="s">
        <v>1887</v>
      </c>
      <c r="CF39" s="12" t="s">
        <v>1888</v>
      </c>
      <c r="CG39" s="12" t="s">
        <v>1889</v>
      </c>
      <c r="CH39" s="12" t="s">
        <v>1890</v>
      </c>
      <c r="CI39" s="12" t="s">
        <v>1891</v>
      </c>
      <c r="CJ39" s="12" t="s">
        <v>1892</v>
      </c>
      <c r="CK39" s="12" t="s">
        <v>1876</v>
      </c>
      <c r="CL39" s="12" t="s">
        <v>1893</v>
      </c>
      <c r="CM39" s="12" t="s">
        <v>888</v>
      </c>
      <c r="CN39" s="12" t="s">
        <v>841</v>
      </c>
      <c r="CO39" s="12" t="s">
        <v>847</v>
      </c>
      <c r="CP39" s="12" t="s">
        <v>889</v>
      </c>
      <c r="CQ39" s="12" t="s">
        <v>890</v>
      </c>
      <c r="CR39" s="12" t="s">
        <v>847</v>
      </c>
      <c r="CS39" s="12" t="s">
        <v>891</v>
      </c>
      <c r="CT39" s="12" t="s">
        <v>892</v>
      </c>
      <c r="CU39" s="12" t="s">
        <v>893</v>
      </c>
      <c r="CV39" s="12" t="s">
        <v>841</v>
      </c>
      <c r="CW39" s="12" t="s">
        <v>1875</v>
      </c>
      <c r="CX39" s="12" t="s">
        <v>894</v>
      </c>
      <c r="CY39" s="12" t="s">
        <v>895</v>
      </c>
      <c r="CZ39" s="12" t="s">
        <v>896</v>
      </c>
      <c r="DA39" s="12" t="s">
        <v>897</v>
      </c>
      <c r="DB39" s="12" t="s">
        <v>898</v>
      </c>
      <c r="DC39" s="12" t="s">
        <v>899</v>
      </c>
    </row>
    <row r="40">
      <c r="A40" s="12" t="s">
        <v>1894</v>
      </c>
      <c r="B40" s="12" t="s">
        <v>271</v>
      </c>
      <c r="C40" s="12" t="s">
        <v>95</v>
      </c>
      <c r="D40" s="12" t="s">
        <v>833</v>
      </c>
      <c r="E40" s="12" t="s">
        <v>834</v>
      </c>
      <c r="F40" s="12"/>
      <c r="G40" s="12" t="s">
        <v>202</v>
      </c>
      <c r="H40" s="12" t="s">
        <v>252</v>
      </c>
      <c r="I40" s="12"/>
      <c r="J40" s="43">
        <f t="shared" si="1"/>
        <v>0.01609609378</v>
      </c>
      <c r="K40" s="43">
        <f t="shared" si="2"/>
        <v>2.90981592</v>
      </c>
      <c r="L40" s="43">
        <f t="shared" si="3"/>
        <v>0.01600754558</v>
      </c>
      <c r="M40" s="43">
        <f t="shared" si="4"/>
        <v>0.8031485115</v>
      </c>
      <c r="N40" s="12" t="s">
        <v>1895</v>
      </c>
      <c r="O40" s="12" t="s">
        <v>1896</v>
      </c>
      <c r="P40" s="43">
        <f t="shared" si="5"/>
        <v>6.215952377</v>
      </c>
      <c r="Q40" s="43">
        <f t="shared" si="6"/>
        <v>4.729770377</v>
      </c>
      <c r="R40" s="12" t="s">
        <v>1897</v>
      </c>
      <c r="S40" s="12" t="s">
        <v>1898</v>
      </c>
      <c r="T40" s="43">
        <f t="shared" si="7"/>
        <v>63.35051343</v>
      </c>
      <c r="U40" s="43">
        <f t="shared" si="8"/>
        <v>0.4417875</v>
      </c>
      <c r="V40" s="12" t="s">
        <v>839</v>
      </c>
      <c r="W40" s="12" t="s">
        <v>1899</v>
      </c>
      <c r="X40" s="12" t="s">
        <v>841</v>
      </c>
      <c r="Y40" s="12" t="s">
        <v>841</v>
      </c>
      <c r="Z40" s="12" t="s">
        <v>841</v>
      </c>
      <c r="AA40" s="12" t="s">
        <v>1900</v>
      </c>
      <c r="AB40" s="12" t="s">
        <v>1901</v>
      </c>
      <c r="AC40" s="12" t="s">
        <v>1902</v>
      </c>
      <c r="AD40" s="12" t="s">
        <v>845</v>
      </c>
      <c r="AE40" s="12" t="s">
        <v>846</v>
      </c>
      <c r="AF40" s="43">
        <f t="shared" si="9"/>
        <v>66.725226</v>
      </c>
      <c r="AG40" s="12" t="s">
        <v>847</v>
      </c>
      <c r="AH40" s="12" t="s">
        <v>1903</v>
      </c>
      <c r="AI40" s="12" t="s">
        <v>1904</v>
      </c>
      <c r="AJ40" s="12" t="s">
        <v>1365</v>
      </c>
      <c r="AK40" s="12" t="s">
        <v>1905</v>
      </c>
      <c r="AL40" s="43">
        <f t="shared" si="10"/>
        <v>36.74</v>
      </c>
      <c r="AM40" s="12" t="s">
        <v>981</v>
      </c>
      <c r="AN40" s="12" t="s">
        <v>914</v>
      </c>
      <c r="AO40" s="12" t="s">
        <v>1906</v>
      </c>
      <c r="AP40" s="12" t="s">
        <v>1907</v>
      </c>
      <c r="AQ40" s="12" t="s">
        <v>225</v>
      </c>
      <c r="AR40" s="12" t="s">
        <v>1908</v>
      </c>
      <c r="AS40" s="12" t="s">
        <v>1729</v>
      </c>
      <c r="AT40" s="12" t="s">
        <v>95</v>
      </c>
      <c r="AU40" s="12" t="s">
        <v>1730</v>
      </c>
      <c r="AV40" s="12" t="s">
        <v>832</v>
      </c>
      <c r="AW40" s="12" t="s">
        <v>1164</v>
      </c>
      <c r="AX40" s="12" t="s">
        <v>1542</v>
      </c>
      <c r="AY40" s="12" t="s">
        <v>868</v>
      </c>
      <c r="AZ40" s="12" t="s">
        <v>1909</v>
      </c>
      <c r="BA40" s="12" t="s">
        <v>1910</v>
      </c>
      <c r="BB40" s="12" t="s">
        <v>868</v>
      </c>
      <c r="BC40" s="12" t="s">
        <v>866</v>
      </c>
      <c r="BD40" s="12" t="s">
        <v>867</v>
      </c>
      <c r="BE40" s="12" t="s">
        <v>868</v>
      </c>
      <c r="BF40" s="12" t="s">
        <v>869</v>
      </c>
      <c r="BG40" s="12" t="s">
        <v>870</v>
      </c>
      <c r="BH40" s="12" t="s">
        <v>841</v>
      </c>
      <c r="BI40" s="12" t="s">
        <v>871</v>
      </c>
      <c r="BJ40" s="12" t="s">
        <v>841</v>
      </c>
      <c r="BK40" s="12" t="s">
        <v>841</v>
      </c>
      <c r="BL40" s="12" t="s">
        <v>872</v>
      </c>
      <c r="BM40" s="12" t="s">
        <v>873</v>
      </c>
      <c r="BN40" s="12" t="s">
        <v>866</v>
      </c>
      <c r="BO40" s="12" t="s">
        <v>874</v>
      </c>
      <c r="BP40" s="12" t="s">
        <v>875</v>
      </c>
      <c r="BQ40" s="12" t="s">
        <v>876</v>
      </c>
      <c r="BR40" s="12" t="s">
        <v>869</v>
      </c>
      <c r="BS40" s="12" t="s">
        <v>869</v>
      </c>
      <c r="BT40" s="12" t="s">
        <v>877</v>
      </c>
      <c r="BU40" s="12" t="s">
        <v>877</v>
      </c>
      <c r="BV40" s="12" t="s">
        <v>877</v>
      </c>
      <c r="BW40" s="12" t="s">
        <v>841</v>
      </c>
      <c r="BX40" s="12" t="s">
        <v>878</v>
      </c>
      <c r="BY40" s="12" t="s">
        <v>841</v>
      </c>
      <c r="BZ40" s="12" t="s">
        <v>841</v>
      </c>
      <c r="CA40" s="12" t="s">
        <v>841</v>
      </c>
      <c r="CB40" s="12" t="s">
        <v>841</v>
      </c>
      <c r="CC40" s="12" t="s">
        <v>1911</v>
      </c>
      <c r="CD40" s="12" t="s">
        <v>1912</v>
      </c>
      <c r="CE40" s="12" t="s">
        <v>1913</v>
      </c>
      <c r="CF40" s="12" t="s">
        <v>1914</v>
      </c>
      <c r="CG40" s="12" t="s">
        <v>1915</v>
      </c>
      <c r="CH40" s="12" t="s">
        <v>1916</v>
      </c>
      <c r="CI40" s="12" t="s">
        <v>1917</v>
      </c>
      <c r="CJ40" s="12" t="s">
        <v>1918</v>
      </c>
      <c r="CK40" s="12" t="s">
        <v>1900</v>
      </c>
      <c r="CL40" s="12" t="s">
        <v>1742</v>
      </c>
      <c r="CM40" s="12" t="s">
        <v>888</v>
      </c>
      <c r="CN40" s="12" t="s">
        <v>841</v>
      </c>
      <c r="CO40" s="12" t="s">
        <v>847</v>
      </c>
      <c r="CP40" s="12" t="s">
        <v>889</v>
      </c>
      <c r="CQ40" s="12" t="s">
        <v>890</v>
      </c>
      <c r="CR40" s="12" t="s">
        <v>847</v>
      </c>
      <c r="CS40" s="12" t="s">
        <v>891</v>
      </c>
      <c r="CT40" s="12" t="s">
        <v>892</v>
      </c>
      <c r="CU40" s="12" t="s">
        <v>893</v>
      </c>
      <c r="CV40" s="12" t="s">
        <v>841</v>
      </c>
      <c r="CW40" s="12" t="s">
        <v>1899</v>
      </c>
      <c r="CX40" s="12" t="s">
        <v>894</v>
      </c>
      <c r="CY40" s="12" t="s">
        <v>895</v>
      </c>
      <c r="CZ40" s="12" t="s">
        <v>896</v>
      </c>
      <c r="DA40" s="12" t="s">
        <v>897</v>
      </c>
      <c r="DB40" s="12" t="s">
        <v>898</v>
      </c>
      <c r="DC40" s="12" t="s">
        <v>899</v>
      </c>
    </row>
    <row r="41">
      <c r="A41" s="12" t="s">
        <v>1919</v>
      </c>
      <c r="B41" s="12" t="s">
        <v>273</v>
      </c>
      <c r="C41" s="12" t="s">
        <v>95</v>
      </c>
      <c r="D41" s="12" t="s">
        <v>833</v>
      </c>
      <c r="E41" s="12" t="s">
        <v>834</v>
      </c>
      <c r="F41" s="12"/>
      <c r="G41" s="12" t="s">
        <v>202</v>
      </c>
      <c r="H41" s="12" t="s">
        <v>252</v>
      </c>
      <c r="I41" s="12"/>
      <c r="J41" s="43">
        <f t="shared" si="1"/>
        <v>0.03351518002</v>
      </c>
      <c r="K41" s="43">
        <f t="shared" si="2"/>
        <v>2.91060848</v>
      </c>
      <c r="L41" s="43">
        <f t="shared" si="3"/>
        <v>0.03313365145</v>
      </c>
      <c r="M41" s="43">
        <f t="shared" si="4"/>
        <v>1.684841771</v>
      </c>
      <c r="N41" s="12" t="s">
        <v>1920</v>
      </c>
      <c r="O41" s="12" t="s">
        <v>1921</v>
      </c>
      <c r="P41" s="43">
        <f t="shared" si="5"/>
        <v>6.304878717</v>
      </c>
      <c r="Q41" s="43">
        <f t="shared" si="6"/>
        <v>4.790583717</v>
      </c>
      <c r="R41" s="12" t="s">
        <v>1922</v>
      </c>
      <c r="S41" s="12" t="s">
        <v>1923</v>
      </c>
      <c r="T41" s="43">
        <f t="shared" si="7"/>
        <v>64.2568153</v>
      </c>
      <c r="U41" s="43">
        <f t="shared" si="8"/>
        <v>0.4417875</v>
      </c>
      <c r="V41" s="12" t="s">
        <v>839</v>
      </c>
      <c r="W41" s="12" t="s">
        <v>1924</v>
      </c>
      <c r="X41" s="12" t="s">
        <v>841</v>
      </c>
      <c r="Y41" s="12" t="s">
        <v>841</v>
      </c>
      <c r="Z41" s="12" t="s">
        <v>841</v>
      </c>
      <c r="AA41" s="12" t="s">
        <v>1925</v>
      </c>
      <c r="AB41" s="12" t="s">
        <v>1926</v>
      </c>
      <c r="AC41" s="12" t="s">
        <v>1927</v>
      </c>
      <c r="AD41" s="12" t="s">
        <v>845</v>
      </c>
      <c r="AE41" s="12" t="s">
        <v>846</v>
      </c>
      <c r="AF41" s="43">
        <f t="shared" si="9"/>
        <v>20.20704</v>
      </c>
      <c r="AG41" s="12" t="s">
        <v>847</v>
      </c>
      <c r="AH41" s="12" t="s">
        <v>1928</v>
      </c>
      <c r="AI41" s="12" t="s">
        <v>1929</v>
      </c>
      <c r="AJ41" s="12" t="s">
        <v>1365</v>
      </c>
      <c r="AK41" s="12" t="s">
        <v>1930</v>
      </c>
      <c r="AL41" s="43">
        <f t="shared" si="10"/>
        <v>37</v>
      </c>
      <c r="AM41" s="12" t="s">
        <v>981</v>
      </c>
      <c r="AN41" s="12" t="s">
        <v>1159</v>
      </c>
      <c r="AO41" s="12" t="s">
        <v>1931</v>
      </c>
      <c r="AP41" s="12" t="s">
        <v>1932</v>
      </c>
      <c r="AQ41" s="12" t="s">
        <v>1933</v>
      </c>
      <c r="AR41" s="12" t="s">
        <v>1908</v>
      </c>
      <c r="AS41" s="12" t="s">
        <v>1729</v>
      </c>
      <c r="AT41" s="12" t="s">
        <v>95</v>
      </c>
      <c r="AU41" s="12" t="s">
        <v>1730</v>
      </c>
      <c r="AV41" s="12" t="s">
        <v>832</v>
      </c>
      <c r="AW41" s="12" t="s">
        <v>1342</v>
      </c>
      <c r="AX41" s="12" t="s">
        <v>868</v>
      </c>
      <c r="AY41" s="12" t="s">
        <v>868</v>
      </c>
      <c r="AZ41" s="12" t="s">
        <v>1934</v>
      </c>
      <c r="BA41" s="12" t="s">
        <v>868</v>
      </c>
      <c r="BB41" s="12" t="s">
        <v>868</v>
      </c>
      <c r="BC41" s="12" t="s">
        <v>866</v>
      </c>
      <c r="BD41" s="12" t="s">
        <v>867</v>
      </c>
      <c r="BE41" s="12" t="s">
        <v>868</v>
      </c>
      <c r="BF41" s="12" t="s">
        <v>869</v>
      </c>
      <c r="BG41" s="12" t="s">
        <v>870</v>
      </c>
      <c r="BH41" s="12" t="s">
        <v>841</v>
      </c>
      <c r="BI41" s="12" t="s">
        <v>871</v>
      </c>
      <c r="BJ41" s="12" t="s">
        <v>841</v>
      </c>
      <c r="BK41" s="12" t="s">
        <v>841</v>
      </c>
      <c r="BL41" s="12" t="s">
        <v>872</v>
      </c>
      <c r="BM41" s="12" t="s">
        <v>873</v>
      </c>
      <c r="BN41" s="12" t="s">
        <v>866</v>
      </c>
      <c r="BO41" s="12" t="s">
        <v>874</v>
      </c>
      <c r="BP41" s="12" t="s">
        <v>875</v>
      </c>
      <c r="BQ41" s="12" t="s">
        <v>876</v>
      </c>
      <c r="BR41" s="12" t="s">
        <v>869</v>
      </c>
      <c r="BS41" s="12" t="s">
        <v>869</v>
      </c>
      <c r="BT41" s="12" t="s">
        <v>877</v>
      </c>
      <c r="BU41" s="12" t="s">
        <v>877</v>
      </c>
      <c r="BV41" s="12" t="s">
        <v>877</v>
      </c>
      <c r="BW41" s="12" t="s">
        <v>841</v>
      </c>
      <c r="BX41" s="12" t="s">
        <v>878</v>
      </c>
      <c r="BY41" s="12" t="s">
        <v>841</v>
      </c>
      <c r="BZ41" s="12" t="s">
        <v>841</v>
      </c>
      <c r="CA41" s="12" t="s">
        <v>841</v>
      </c>
      <c r="CB41" s="12" t="s">
        <v>841</v>
      </c>
      <c r="CC41" s="12" t="s">
        <v>1935</v>
      </c>
      <c r="CD41" s="12" t="s">
        <v>1936</v>
      </c>
      <c r="CE41" s="12" t="s">
        <v>1937</v>
      </c>
      <c r="CF41" s="12" t="s">
        <v>1938</v>
      </c>
      <c r="CG41" s="12" t="s">
        <v>1939</v>
      </c>
      <c r="CH41" s="12" t="s">
        <v>1940</v>
      </c>
      <c r="CI41" s="12" t="s">
        <v>1941</v>
      </c>
      <c r="CJ41" s="12" t="s">
        <v>1942</v>
      </c>
      <c r="CK41" s="12" t="s">
        <v>1925</v>
      </c>
      <c r="CL41" s="12" t="s">
        <v>1943</v>
      </c>
      <c r="CM41" s="12" t="s">
        <v>888</v>
      </c>
      <c r="CN41" s="12" t="s">
        <v>841</v>
      </c>
      <c r="CO41" s="12" t="s">
        <v>847</v>
      </c>
      <c r="CP41" s="12" t="s">
        <v>889</v>
      </c>
      <c r="CQ41" s="12" t="s">
        <v>890</v>
      </c>
      <c r="CR41" s="12" t="s">
        <v>847</v>
      </c>
      <c r="CS41" s="12" t="s">
        <v>891</v>
      </c>
      <c r="CT41" s="12" t="s">
        <v>892</v>
      </c>
      <c r="CU41" s="12" t="s">
        <v>893</v>
      </c>
      <c r="CV41" s="12" t="s">
        <v>841</v>
      </c>
      <c r="CW41" s="12" t="s">
        <v>1924</v>
      </c>
      <c r="CX41" s="12" t="s">
        <v>894</v>
      </c>
      <c r="CY41" s="12" t="s">
        <v>895</v>
      </c>
      <c r="CZ41" s="12" t="s">
        <v>896</v>
      </c>
      <c r="DA41" s="12" t="s">
        <v>897</v>
      </c>
      <c r="DB41" s="12" t="s">
        <v>898</v>
      </c>
      <c r="DC41" s="12" t="s">
        <v>899</v>
      </c>
    </row>
    <row r="42">
      <c r="A42" s="12" t="s">
        <v>1782</v>
      </c>
      <c r="B42" s="12" t="s">
        <v>275</v>
      </c>
      <c r="C42" s="12" t="s">
        <v>95</v>
      </c>
      <c r="D42" s="12" t="s">
        <v>833</v>
      </c>
      <c r="E42" s="12" t="s">
        <v>834</v>
      </c>
      <c r="F42" s="12"/>
      <c r="G42" s="12" t="s">
        <v>202</v>
      </c>
      <c r="H42" s="12" t="s">
        <v>274</v>
      </c>
      <c r="I42" s="12"/>
      <c r="J42" s="43">
        <f t="shared" si="1"/>
        <v>0.04503988333</v>
      </c>
      <c r="K42" s="43">
        <f t="shared" si="2"/>
        <v>2.90981592</v>
      </c>
      <c r="L42" s="43">
        <f t="shared" si="3"/>
        <v>0.04435335538</v>
      </c>
      <c r="M42" s="43">
        <f t="shared" si="4"/>
        <v>2.580203853</v>
      </c>
      <c r="N42" s="12" t="s">
        <v>1944</v>
      </c>
      <c r="O42" s="12" t="s">
        <v>1945</v>
      </c>
      <c r="P42" s="43">
        <f t="shared" si="5"/>
        <v>7.075943055</v>
      </c>
      <c r="Q42" s="43">
        <f t="shared" si="6"/>
        <v>5.455013055</v>
      </c>
      <c r="R42" s="12" t="s">
        <v>1946</v>
      </c>
      <c r="S42" s="12" t="s">
        <v>1947</v>
      </c>
      <c r="T42" s="43">
        <f t="shared" si="7"/>
        <v>72.11519624</v>
      </c>
      <c r="U42" s="43">
        <f t="shared" si="8"/>
        <v>0.4417875</v>
      </c>
      <c r="V42" s="12" t="s">
        <v>839</v>
      </c>
      <c r="W42" s="12" t="s">
        <v>1948</v>
      </c>
      <c r="X42" s="12" t="s">
        <v>841</v>
      </c>
      <c r="Y42" s="12" t="s">
        <v>841</v>
      </c>
      <c r="Z42" s="12" t="s">
        <v>841</v>
      </c>
      <c r="AA42" s="12" t="s">
        <v>1949</v>
      </c>
      <c r="AB42" s="12" t="s">
        <v>1950</v>
      </c>
      <c r="AC42" s="12" t="s">
        <v>1951</v>
      </c>
      <c r="AD42" s="12" t="s">
        <v>845</v>
      </c>
      <c r="AE42" s="12" t="s">
        <v>846</v>
      </c>
      <c r="AF42" s="43">
        <f t="shared" si="9"/>
        <v>44.1532944</v>
      </c>
      <c r="AG42" s="12" t="s">
        <v>847</v>
      </c>
      <c r="AH42" s="12" t="s">
        <v>1952</v>
      </c>
      <c r="AI42" s="12" t="s">
        <v>1953</v>
      </c>
      <c r="AJ42" s="12" t="s">
        <v>1954</v>
      </c>
      <c r="AK42" s="12" t="s">
        <v>1955</v>
      </c>
      <c r="AL42" s="43">
        <f t="shared" si="10"/>
        <v>39.13</v>
      </c>
      <c r="AM42" s="12" t="s">
        <v>981</v>
      </c>
      <c r="AN42" s="12" t="s">
        <v>914</v>
      </c>
      <c r="AO42" s="12" t="s">
        <v>1133</v>
      </c>
      <c r="AP42" s="12" t="s">
        <v>1956</v>
      </c>
      <c r="AQ42" s="12" t="s">
        <v>1957</v>
      </c>
      <c r="AR42" s="12" t="s">
        <v>1908</v>
      </c>
      <c r="AS42" s="12" t="s">
        <v>1729</v>
      </c>
      <c r="AT42" s="12" t="s">
        <v>95</v>
      </c>
      <c r="AU42" s="12" t="s">
        <v>1730</v>
      </c>
      <c r="AV42" s="12" t="s">
        <v>832</v>
      </c>
      <c r="AW42" s="12" t="s">
        <v>1342</v>
      </c>
      <c r="AX42" s="12" t="s">
        <v>1286</v>
      </c>
      <c r="AY42" s="12" t="s">
        <v>1081</v>
      </c>
      <c r="AZ42" s="12" t="s">
        <v>1958</v>
      </c>
      <c r="BA42" s="12" t="s">
        <v>1959</v>
      </c>
      <c r="BB42" s="12" t="s">
        <v>1960</v>
      </c>
      <c r="BC42" s="12" t="s">
        <v>866</v>
      </c>
      <c r="BD42" s="12" t="s">
        <v>867</v>
      </c>
      <c r="BE42" s="12" t="s">
        <v>868</v>
      </c>
      <c r="BF42" s="12" t="s">
        <v>869</v>
      </c>
      <c r="BG42" s="12" t="s">
        <v>870</v>
      </c>
      <c r="BH42" s="12" t="s">
        <v>841</v>
      </c>
      <c r="BI42" s="12" t="s">
        <v>871</v>
      </c>
      <c r="BJ42" s="12" t="s">
        <v>841</v>
      </c>
      <c r="BK42" s="12" t="s">
        <v>841</v>
      </c>
      <c r="BL42" s="12" t="s">
        <v>872</v>
      </c>
      <c r="BM42" s="12" t="s">
        <v>873</v>
      </c>
      <c r="BN42" s="12" t="s">
        <v>866</v>
      </c>
      <c r="BO42" s="12" t="s">
        <v>874</v>
      </c>
      <c r="BP42" s="12" t="s">
        <v>875</v>
      </c>
      <c r="BQ42" s="12" t="s">
        <v>876</v>
      </c>
      <c r="BR42" s="12" t="s">
        <v>869</v>
      </c>
      <c r="BS42" s="12" t="s">
        <v>869</v>
      </c>
      <c r="BT42" s="12" t="s">
        <v>877</v>
      </c>
      <c r="BU42" s="12" t="s">
        <v>877</v>
      </c>
      <c r="BV42" s="12" t="s">
        <v>877</v>
      </c>
      <c r="BW42" s="12" t="s">
        <v>841</v>
      </c>
      <c r="BX42" s="12" t="s">
        <v>878</v>
      </c>
      <c r="BY42" s="12" t="s">
        <v>841</v>
      </c>
      <c r="BZ42" s="12" t="s">
        <v>841</v>
      </c>
      <c r="CA42" s="12" t="s">
        <v>841</v>
      </c>
      <c r="CB42" s="12" t="s">
        <v>841</v>
      </c>
      <c r="CC42" s="12" t="s">
        <v>1961</v>
      </c>
      <c r="CD42" s="12" t="s">
        <v>1962</v>
      </c>
      <c r="CE42" s="12" t="s">
        <v>1963</v>
      </c>
      <c r="CF42" s="12" t="s">
        <v>1964</v>
      </c>
      <c r="CG42" s="12" t="s">
        <v>1965</v>
      </c>
      <c r="CH42" s="12" t="s">
        <v>1966</v>
      </c>
      <c r="CI42" s="12" t="s">
        <v>1967</v>
      </c>
      <c r="CJ42" s="12" t="s">
        <v>1968</v>
      </c>
      <c r="CK42" s="12" t="s">
        <v>1969</v>
      </c>
      <c r="CL42" s="12" t="s">
        <v>933</v>
      </c>
      <c r="CM42" s="12" t="s">
        <v>888</v>
      </c>
      <c r="CN42" s="12" t="s">
        <v>841</v>
      </c>
      <c r="CO42" s="12" t="s">
        <v>847</v>
      </c>
      <c r="CP42" s="12" t="s">
        <v>889</v>
      </c>
      <c r="CQ42" s="12" t="s">
        <v>890</v>
      </c>
      <c r="CR42" s="12" t="s">
        <v>847</v>
      </c>
      <c r="CS42" s="12" t="s">
        <v>891</v>
      </c>
      <c r="CT42" s="12" t="s">
        <v>892</v>
      </c>
      <c r="CU42" s="12" t="s">
        <v>893</v>
      </c>
      <c r="CV42" s="12" t="s">
        <v>841</v>
      </c>
      <c r="CW42" s="12" t="s">
        <v>1948</v>
      </c>
      <c r="CX42" s="12" t="s">
        <v>894</v>
      </c>
      <c r="CY42" s="12" t="s">
        <v>895</v>
      </c>
      <c r="CZ42" s="12" t="s">
        <v>896</v>
      </c>
      <c r="DA42" s="12" t="s">
        <v>897</v>
      </c>
      <c r="DB42" s="12" t="s">
        <v>898</v>
      </c>
      <c r="DC42" s="12" t="s">
        <v>899</v>
      </c>
    </row>
    <row r="43">
      <c r="A43" s="12" t="s">
        <v>1970</v>
      </c>
      <c r="B43" s="12" t="s">
        <v>277</v>
      </c>
      <c r="C43" s="12" t="s">
        <v>95</v>
      </c>
      <c r="D43" s="12" t="s">
        <v>833</v>
      </c>
      <c r="E43" s="12" t="s">
        <v>834</v>
      </c>
      <c r="F43" s="12"/>
      <c r="G43" s="12" t="s">
        <v>202</v>
      </c>
      <c r="H43" s="12" t="s">
        <v>274</v>
      </c>
      <c r="I43" s="12"/>
      <c r="J43" s="43">
        <f t="shared" si="1"/>
        <v>0.02521898157</v>
      </c>
      <c r="K43" s="43">
        <f t="shared" si="2"/>
        <v>2.90981592</v>
      </c>
      <c r="L43" s="43">
        <f t="shared" si="3"/>
        <v>0.0250022901</v>
      </c>
      <c r="M43" s="43">
        <f t="shared" si="4"/>
        <v>1.505170678</v>
      </c>
      <c r="N43" s="12" t="s">
        <v>1971</v>
      </c>
      <c r="O43" s="12" t="s">
        <v>1972</v>
      </c>
      <c r="P43" s="43">
        <f t="shared" si="5"/>
        <v>7.237271821</v>
      </c>
      <c r="Q43" s="43">
        <f t="shared" si="6"/>
        <v>5.641050821</v>
      </c>
      <c r="R43" s="12" t="s">
        <v>1973</v>
      </c>
      <c r="S43" s="12" t="s">
        <v>1974</v>
      </c>
      <c r="T43" s="43">
        <f t="shared" si="7"/>
        <v>73.75939483</v>
      </c>
      <c r="U43" s="43">
        <f t="shared" si="8"/>
        <v>0.4417875</v>
      </c>
      <c r="V43" s="12" t="s">
        <v>839</v>
      </c>
      <c r="W43" s="12" t="s">
        <v>1975</v>
      </c>
      <c r="X43" s="12" t="s">
        <v>841</v>
      </c>
      <c r="Y43" s="12" t="s">
        <v>841</v>
      </c>
      <c r="Z43" s="12" t="s">
        <v>841</v>
      </c>
      <c r="AA43" s="12" t="s">
        <v>1976</v>
      </c>
      <c r="AB43" s="12" t="s">
        <v>1977</v>
      </c>
      <c r="AC43" s="12" t="s">
        <v>1978</v>
      </c>
      <c r="AD43" s="12" t="s">
        <v>845</v>
      </c>
      <c r="AE43" s="12" t="s">
        <v>846</v>
      </c>
      <c r="AF43" s="43">
        <f t="shared" si="9"/>
        <v>26.4211524</v>
      </c>
      <c r="AG43" s="12" t="s">
        <v>847</v>
      </c>
      <c r="AH43" s="12" t="s">
        <v>1979</v>
      </c>
      <c r="AI43" s="12" t="s">
        <v>1980</v>
      </c>
      <c r="AJ43" s="12" t="s">
        <v>1981</v>
      </c>
      <c r="AK43" s="12" t="s">
        <v>1982</v>
      </c>
      <c r="AL43" s="43">
        <f t="shared" si="10"/>
        <v>39.55</v>
      </c>
      <c r="AM43" s="12" t="s">
        <v>981</v>
      </c>
      <c r="AN43" s="12" t="s">
        <v>914</v>
      </c>
      <c r="AO43" s="12" t="s">
        <v>1983</v>
      </c>
      <c r="AP43" s="12" t="s">
        <v>1984</v>
      </c>
      <c r="AQ43" s="12" t="s">
        <v>1985</v>
      </c>
      <c r="AR43" s="12" t="s">
        <v>1986</v>
      </c>
      <c r="AS43" s="12" t="s">
        <v>1729</v>
      </c>
      <c r="AT43" s="12" t="s">
        <v>95</v>
      </c>
      <c r="AU43" s="12" t="s">
        <v>1730</v>
      </c>
      <c r="AV43" s="12" t="s">
        <v>832</v>
      </c>
      <c r="AW43" s="12" t="s">
        <v>1286</v>
      </c>
      <c r="AX43" s="12" t="s">
        <v>919</v>
      </c>
      <c r="AY43" s="12" t="s">
        <v>868</v>
      </c>
      <c r="AZ43" s="12" t="s">
        <v>1987</v>
      </c>
      <c r="BA43" s="12" t="s">
        <v>1988</v>
      </c>
      <c r="BB43" s="12" t="s">
        <v>868</v>
      </c>
      <c r="BC43" s="12" t="s">
        <v>866</v>
      </c>
      <c r="BD43" s="12" t="s">
        <v>867</v>
      </c>
      <c r="BE43" s="12" t="s">
        <v>868</v>
      </c>
      <c r="BF43" s="12" t="s">
        <v>869</v>
      </c>
      <c r="BG43" s="12" t="s">
        <v>870</v>
      </c>
      <c r="BH43" s="12" t="s">
        <v>841</v>
      </c>
      <c r="BI43" s="12" t="s">
        <v>871</v>
      </c>
      <c r="BJ43" s="12" t="s">
        <v>841</v>
      </c>
      <c r="BK43" s="12" t="s">
        <v>841</v>
      </c>
      <c r="BL43" s="12" t="s">
        <v>872</v>
      </c>
      <c r="BM43" s="12" t="s">
        <v>873</v>
      </c>
      <c r="BN43" s="12" t="s">
        <v>866</v>
      </c>
      <c r="BO43" s="12" t="s">
        <v>874</v>
      </c>
      <c r="BP43" s="12" t="s">
        <v>875</v>
      </c>
      <c r="BQ43" s="12" t="s">
        <v>876</v>
      </c>
      <c r="BR43" s="12" t="s">
        <v>869</v>
      </c>
      <c r="BS43" s="12" t="s">
        <v>869</v>
      </c>
      <c r="BT43" s="12" t="s">
        <v>877</v>
      </c>
      <c r="BU43" s="12" t="s">
        <v>877</v>
      </c>
      <c r="BV43" s="12" t="s">
        <v>877</v>
      </c>
      <c r="BW43" s="12" t="s">
        <v>841</v>
      </c>
      <c r="BX43" s="12" t="s">
        <v>878</v>
      </c>
      <c r="BY43" s="12" t="s">
        <v>841</v>
      </c>
      <c r="BZ43" s="12" t="s">
        <v>841</v>
      </c>
      <c r="CA43" s="12" t="s">
        <v>841</v>
      </c>
      <c r="CB43" s="12" t="s">
        <v>841</v>
      </c>
      <c r="CC43" s="12" t="s">
        <v>1989</v>
      </c>
      <c r="CD43" s="12" t="s">
        <v>1990</v>
      </c>
      <c r="CE43" s="12" t="s">
        <v>1991</v>
      </c>
      <c r="CF43" s="12" t="s">
        <v>1992</v>
      </c>
      <c r="CG43" s="12" t="s">
        <v>1993</v>
      </c>
      <c r="CH43" s="12" t="s">
        <v>1994</v>
      </c>
      <c r="CI43" s="12" t="s">
        <v>1995</v>
      </c>
      <c r="CJ43" s="12" t="s">
        <v>1996</v>
      </c>
      <c r="CK43" s="12" t="s">
        <v>1976</v>
      </c>
      <c r="CL43" s="12" t="s">
        <v>1997</v>
      </c>
      <c r="CM43" s="12" t="s">
        <v>888</v>
      </c>
      <c r="CN43" s="12" t="s">
        <v>841</v>
      </c>
      <c r="CO43" s="12" t="s">
        <v>847</v>
      </c>
      <c r="CP43" s="12" t="s">
        <v>889</v>
      </c>
      <c r="CQ43" s="12" t="s">
        <v>890</v>
      </c>
      <c r="CR43" s="12" t="s">
        <v>847</v>
      </c>
      <c r="CS43" s="12" t="s">
        <v>891</v>
      </c>
      <c r="CT43" s="12" t="s">
        <v>892</v>
      </c>
      <c r="CU43" s="12" t="s">
        <v>893</v>
      </c>
      <c r="CV43" s="12" t="s">
        <v>841</v>
      </c>
      <c r="CW43" s="12" t="s">
        <v>1975</v>
      </c>
      <c r="CX43" s="12" t="s">
        <v>894</v>
      </c>
      <c r="CY43" s="12" t="s">
        <v>895</v>
      </c>
      <c r="CZ43" s="12" t="s">
        <v>896</v>
      </c>
      <c r="DA43" s="12" t="s">
        <v>897</v>
      </c>
      <c r="DB43" s="12" t="s">
        <v>898</v>
      </c>
      <c r="DC43" s="12" t="s">
        <v>899</v>
      </c>
    </row>
    <row r="44">
      <c r="A44" s="12" t="s">
        <v>1998</v>
      </c>
      <c r="B44" s="12" t="s">
        <v>280</v>
      </c>
      <c r="C44" s="12" t="s">
        <v>95</v>
      </c>
      <c r="D44" s="12" t="s">
        <v>833</v>
      </c>
      <c r="E44" s="12" t="s">
        <v>834</v>
      </c>
      <c r="F44" s="12"/>
      <c r="G44" s="12" t="s">
        <v>202</v>
      </c>
      <c r="H44" s="12" t="s">
        <v>274</v>
      </c>
      <c r="I44" s="12"/>
      <c r="J44" s="43">
        <f t="shared" si="1"/>
        <v>0.03205856004</v>
      </c>
      <c r="K44" s="43">
        <f t="shared" si="2"/>
        <v>2.91060848</v>
      </c>
      <c r="L44" s="43">
        <f t="shared" si="3"/>
        <v>0.03170930161</v>
      </c>
      <c r="M44" s="43">
        <f t="shared" si="4"/>
        <v>1.83625603</v>
      </c>
      <c r="N44" s="12" t="s">
        <v>1999</v>
      </c>
      <c r="O44" s="12" t="s">
        <v>2000</v>
      </c>
      <c r="P44" s="43">
        <f t="shared" si="5"/>
        <v>7.026644245</v>
      </c>
      <c r="Q44" s="43">
        <f t="shared" si="6"/>
        <v>5.432404245</v>
      </c>
      <c r="R44" s="12" t="s">
        <v>2001</v>
      </c>
      <c r="S44" s="12" t="s">
        <v>2002</v>
      </c>
      <c r="T44" s="43">
        <f t="shared" si="7"/>
        <v>71.61276238</v>
      </c>
      <c r="U44" s="43">
        <f t="shared" si="8"/>
        <v>0.4417875</v>
      </c>
      <c r="V44" s="12" t="s">
        <v>839</v>
      </c>
      <c r="W44" s="12" t="s">
        <v>2003</v>
      </c>
      <c r="X44" s="12" t="s">
        <v>841</v>
      </c>
      <c r="Y44" s="12" t="s">
        <v>841</v>
      </c>
      <c r="Z44" s="12" t="s">
        <v>841</v>
      </c>
      <c r="AA44" s="12" t="s">
        <v>2004</v>
      </c>
      <c r="AB44" s="12" t="s">
        <v>2005</v>
      </c>
      <c r="AC44" s="12" t="s">
        <v>2006</v>
      </c>
      <c r="AD44" s="12" t="s">
        <v>845</v>
      </c>
      <c r="AE44" s="12" t="s">
        <v>846</v>
      </c>
      <c r="AF44" s="43">
        <f t="shared" si="9"/>
        <v>110.036342</v>
      </c>
      <c r="AG44" s="12" t="s">
        <v>847</v>
      </c>
      <c r="AH44" s="12" t="s">
        <v>1219</v>
      </c>
      <c r="AI44" s="12" t="s">
        <v>1618</v>
      </c>
      <c r="AJ44" s="12" t="s">
        <v>2007</v>
      </c>
      <c r="AK44" s="12" t="s">
        <v>2008</v>
      </c>
      <c r="AL44" s="43">
        <f t="shared" si="10"/>
        <v>39</v>
      </c>
      <c r="AM44" s="12" t="s">
        <v>981</v>
      </c>
      <c r="AN44" s="12" t="s">
        <v>1159</v>
      </c>
      <c r="AO44" s="12" t="s">
        <v>2009</v>
      </c>
      <c r="AP44" s="12" t="s">
        <v>2010</v>
      </c>
      <c r="AQ44" s="12" t="s">
        <v>2011</v>
      </c>
      <c r="AR44" s="12" t="s">
        <v>2012</v>
      </c>
      <c r="AS44" s="12" t="s">
        <v>1729</v>
      </c>
      <c r="AT44" s="12" t="s">
        <v>95</v>
      </c>
      <c r="AU44" s="12" t="s">
        <v>1730</v>
      </c>
      <c r="AV44" s="12" t="s">
        <v>832</v>
      </c>
      <c r="AW44" s="12" t="s">
        <v>1164</v>
      </c>
      <c r="AX44" s="12" t="s">
        <v>868</v>
      </c>
      <c r="AY44" s="12" t="s">
        <v>868</v>
      </c>
      <c r="AZ44" s="12" t="s">
        <v>2013</v>
      </c>
      <c r="BA44" s="12" t="s">
        <v>868</v>
      </c>
      <c r="BB44" s="12" t="s">
        <v>868</v>
      </c>
      <c r="BC44" s="12" t="s">
        <v>866</v>
      </c>
      <c r="BD44" s="12" t="s">
        <v>867</v>
      </c>
      <c r="BE44" s="12" t="s">
        <v>868</v>
      </c>
      <c r="BF44" s="12" t="s">
        <v>869</v>
      </c>
      <c r="BG44" s="12" t="s">
        <v>870</v>
      </c>
      <c r="BH44" s="12" t="s">
        <v>841</v>
      </c>
      <c r="BI44" s="12" t="s">
        <v>871</v>
      </c>
      <c r="BJ44" s="12" t="s">
        <v>841</v>
      </c>
      <c r="BK44" s="12" t="s">
        <v>841</v>
      </c>
      <c r="BL44" s="12" t="s">
        <v>872</v>
      </c>
      <c r="BM44" s="12" t="s">
        <v>873</v>
      </c>
      <c r="BN44" s="12" t="s">
        <v>866</v>
      </c>
      <c r="BO44" s="12" t="s">
        <v>874</v>
      </c>
      <c r="BP44" s="12" t="s">
        <v>875</v>
      </c>
      <c r="BQ44" s="12" t="s">
        <v>876</v>
      </c>
      <c r="BR44" s="12" t="s">
        <v>869</v>
      </c>
      <c r="BS44" s="12" t="s">
        <v>869</v>
      </c>
      <c r="BT44" s="12" t="s">
        <v>877</v>
      </c>
      <c r="BU44" s="12" t="s">
        <v>877</v>
      </c>
      <c r="BV44" s="12" t="s">
        <v>877</v>
      </c>
      <c r="BW44" s="12" t="s">
        <v>841</v>
      </c>
      <c r="BX44" s="12" t="s">
        <v>878</v>
      </c>
      <c r="BY44" s="12" t="s">
        <v>841</v>
      </c>
      <c r="BZ44" s="12" t="s">
        <v>841</v>
      </c>
      <c r="CA44" s="12" t="s">
        <v>841</v>
      </c>
      <c r="CB44" s="12" t="s">
        <v>841</v>
      </c>
      <c r="CC44" s="12" t="s">
        <v>2014</v>
      </c>
      <c r="CD44" s="12" t="s">
        <v>2015</v>
      </c>
      <c r="CE44" s="12" t="s">
        <v>2016</v>
      </c>
      <c r="CF44" s="12" t="s">
        <v>2017</v>
      </c>
      <c r="CG44" s="12" t="s">
        <v>2018</v>
      </c>
      <c r="CH44" s="12" t="s">
        <v>2019</v>
      </c>
      <c r="CI44" s="12" t="s">
        <v>2020</v>
      </c>
      <c r="CJ44" s="12" t="s">
        <v>2021</v>
      </c>
      <c r="CK44" s="12" t="s">
        <v>2004</v>
      </c>
      <c r="CL44" s="12" t="s">
        <v>1893</v>
      </c>
      <c r="CM44" s="12" t="s">
        <v>888</v>
      </c>
      <c r="CN44" s="12" t="s">
        <v>841</v>
      </c>
      <c r="CO44" s="12" t="s">
        <v>847</v>
      </c>
      <c r="CP44" s="12" t="s">
        <v>889</v>
      </c>
      <c r="CQ44" s="12" t="s">
        <v>890</v>
      </c>
      <c r="CR44" s="12" t="s">
        <v>847</v>
      </c>
      <c r="CS44" s="12" t="s">
        <v>891</v>
      </c>
      <c r="CT44" s="12" t="s">
        <v>892</v>
      </c>
      <c r="CU44" s="12" t="s">
        <v>893</v>
      </c>
      <c r="CV44" s="12" t="s">
        <v>841</v>
      </c>
      <c r="CW44" s="12" t="s">
        <v>2003</v>
      </c>
      <c r="CX44" s="12" t="s">
        <v>894</v>
      </c>
      <c r="CY44" s="12" t="s">
        <v>895</v>
      </c>
      <c r="CZ44" s="12" t="s">
        <v>896</v>
      </c>
      <c r="DA44" s="12" t="s">
        <v>897</v>
      </c>
      <c r="DB44" s="12" t="s">
        <v>898</v>
      </c>
      <c r="DC44" s="12" t="s">
        <v>899</v>
      </c>
    </row>
    <row r="45">
      <c r="A45" s="12" t="s">
        <v>2022</v>
      </c>
      <c r="B45" s="12" t="s">
        <v>283</v>
      </c>
      <c r="C45" s="12" t="s">
        <v>95</v>
      </c>
      <c r="D45" s="12" t="s">
        <v>833</v>
      </c>
      <c r="E45" s="12" t="s">
        <v>834</v>
      </c>
      <c r="F45" s="12"/>
      <c r="G45" s="12" t="s">
        <v>281</v>
      </c>
      <c r="H45" s="12" t="s">
        <v>282</v>
      </c>
      <c r="I45" s="12"/>
      <c r="J45" s="43">
        <f t="shared" si="1"/>
        <v>0.0120989314</v>
      </c>
      <c r="K45" s="43">
        <f t="shared" si="2"/>
        <v>2.90981592</v>
      </c>
      <c r="L45" s="43">
        <f t="shared" si="3"/>
        <v>0.0120488327</v>
      </c>
      <c r="M45" s="43">
        <f t="shared" si="4"/>
        <v>0.6499856876</v>
      </c>
      <c r="N45" s="12" t="s">
        <v>2023</v>
      </c>
      <c r="O45" s="12" t="s">
        <v>2024</v>
      </c>
      <c r="P45" s="43">
        <f t="shared" si="5"/>
        <v>6.646462859</v>
      </c>
      <c r="Q45" s="43">
        <f t="shared" si="6"/>
        <v>5.072554859</v>
      </c>
      <c r="R45" s="12" t="s">
        <v>2025</v>
      </c>
      <c r="S45" s="12" t="s">
        <v>2026</v>
      </c>
      <c r="T45" s="43">
        <f t="shared" si="7"/>
        <v>67.72430058</v>
      </c>
      <c r="U45" s="43">
        <f t="shared" si="8"/>
        <v>0.4417875</v>
      </c>
      <c r="V45" s="12" t="s">
        <v>839</v>
      </c>
      <c r="W45" s="12" t="s">
        <v>2027</v>
      </c>
      <c r="X45" s="12" t="s">
        <v>841</v>
      </c>
      <c r="Y45" s="12" t="s">
        <v>841</v>
      </c>
      <c r="Z45" s="12" t="s">
        <v>841</v>
      </c>
      <c r="AA45" s="12" t="s">
        <v>2028</v>
      </c>
      <c r="AB45" s="12" t="s">
        <v>2029</v>
      </c>
      <c r="AC45" s="12" t="s">
        <v>2030</v>
      </c>
      <c r="AD45" s="12" t="s">
        <v>845</v>
      </c>
      <c r="AE45" s="12" t="s">
        <v>846</v>
      </c>
      <c r="AF45" s="43">
        <f t="shared" si="9"/>
        <v>285.583836</v>
      </c>
      <c r="AG45" s="12" t="s">
        <v>847</v>
      </c>
      <c r="AH45" s="12" t="s">
        <v>2031</v>
      </c>
      <c r="AI45" s="12" t="s">
        <v>2032</v>
      </c>
      <c r="AJ45" s="12" t="s">
        <v>2033</v>
      </c>
      <c r="AK45" s="12" t="s">
        <v>2034</v>
      </c>
      <c r="AL45" s="43">
        <f t="shared" si="10"/>
        <v>37.97</v>
      </c>
      <c r="AM45" s="12" t="s">
        <v>1071</v>
      </c>
      <c r="AN45" s="12" t="s">
        <v>914</v>
      </c>
      <c r="AO45" s="12" t="s">
        <v>1538</v>
      </c>
      <c r="AP45" s="12" t="s">
        <v>1539</v>
      </c>
      <c r="AQ45" s="12" t="s">
        <v>2035</v>
      </c>
      <c r="AR45" s="12" t="s">
        <v>2036</v>
      </c>
      <c r="AS45" s="12" t="s">
        <v>1729</v>
      </c>
      <c r="AT45" s="12" t="s">
        <v>95</v>
      </c>
      <c r="AU45" s="12" t="s">
        <v>1730</v>
      </c>
      <c r="AV45" s="12" t="s">
        <v>832</v>
      </c>
      <c r="AW45" s="12" t="s">
        <v>1226</v>
      </c>
      <c r="AX45" s="12" t="s">
        <v>1287</v>
      </c>
      <c r="AY45" s="12" t="s">
        <v>2037</v>
      </c>
      <c r="AZ45" s="12" t="s">
        <v>2038</v>
      </c>
      <c r="BA45" s="12" t="s">
        <v>2039</v>
      </c>
      <c r="BB45" s="12" t="s">
        <v>2040</v>
      </c>
      <c r="BC45" s="12" t="s">
        <v>866</v>
      </c>
      <c r="BD45" s="12" t="s">
        <v>867</v>
      </c>
      <c r="BE45" s="12" t="s">
        <v>868</v>
      </c>
      <c r="BF45" s="12" t="s">
        <v>869</v>
      </c>
      <c r="BG45" s="12" t="s">
        <v>870</v>
      </c>
      <c r="BH45" s="12" t="s">
        <v>841</v>
      </c>
      <c r="BI45" s="12" t="s">
        <v>871</v>
      </c>
      <c r="BJ45" s="12" t="s">
        <v>841</v>
      </c>
      <c r="BK45" s="12" t="s">
        <v>841</v>
      </c>
      <c r="BL45" s="12" t="s">
        <v>872</v>
      </c>
      <c r="BM45" s="12" t="s">
        <v>873</v>
      </c>
      <c r="BN45" s="12" t="s">
        <v>866</v>
      </c>
      <c r="BO45" s="12" t="s">
        <v>874</v>
      </c>
      <c r="BP45" s="12" t="s">
        <v>875</v>
      </c>
      <c r="BQ45" s="12" t="s">
        <v>876</v>
      </c>
      <c r="BR45" s="12" t="s">
        <v>869</v>
      </c>
      <c r="BS45" s="12" t="s">
        <v>869</v>
      </c>
      <c r="BT45" s="12" t="s">
        <v>877</v>
      </c>
      <c r="BU45" s="12" t="s">
        <v>877</v>
      </c>
      <c r="BV45" s="12" t="s">
        <v>877</v>
      </c>
      <c r="BW45" s="12" t="s">
        <v>841</v>
      </c>
      <c r="BX45" s="12" t="s">
        <v>878</v>
      </c>
      <c r="BY45" s="12" t="s">
        <v>841</v>
      </c>
      <c r="BZ45" s="12" t="s">
        <v>841</v>
      </c>
      <c r="CA45" s="12" t="s">
        <v>841</v>
      </c>
      <c r="CB45" s="12" t="s">
        <v>841</v>
      </c>
      <c r="CC45" s="12" t="s">
        <v>2041</v>
      </c>
      <c r="CD45" s="12" t="s">
        <v>2042</v>
      </c>
      <c r="CE45" s="12" t="s">
        <v>2043</v>
      </c>
      <c r="CF45" s="12" t="s">
        <v>2044</v>
      </c>
      <c r="CG45" s="12" t="s">
        <v>2045</v>
      </c>
      <c r="CH45" s="12" t="s">
        <v>2046</v>
      </c>
      <c r="CI45" s="12" t="s">
        <v>2047</v>
      </c>
      <c r="CJ45" s="12" t="s">
        <v>2048</v>
      </c>
      <c r="CK45" s="12" t="s">
        <v>2049</v>
      </c>
      <c r="CL45" s="12" t="s">
        <v>1093</v>
      </c>
      <c r="CM45" s="12" t="s">
        <v>888</v>
      </c>
      <c r="CN45" s="12" t="s">
        <v>841</v>
      </c>
      <c r="CO45" s="12" t="s">
        <v>847</v>
      </c>
      <c r="CP45" s="12" t="s">
        <v>889</v>
      </c>
      <c r="CQ45" s="12" t="s">
        <v>890</v>
      </c>
      <c r="CR45" s="12" t="s">
        <v>847</v>
      </c>
      <c r="CS45" s="12" t="s">
        <v>891</v>
      </c>
      <c r="CT45" s="12" t="s">
        <v>892</v>
      </c>
      <c r="CU45" s="12" t="s">
        <v>893</v>
      </c>
      <c r="CV45" s="12" t="s">
        <v>841</v>
      </c>
      <c r="CW45" s="12" t="s">
        <v>2027</v>
      </c>
      <c r="CX45" s="12" t="s">
        <v>894</v>
      </c>
      <c r="CY45" s="12" t="s">
        <v>895</v>
      </c>
      <c r="CZ45" s="12" t="s">
        <v>896</v>
      </c>
      <c r="DA45" s="12" t="s">
        <v>897</v>
      </c>
      <c r="DB45" s="12" t="s">
        <v>898</v>
      </c>
      <c r="DC45" s="12" t="s">
        <v>899</v>
      </c>
    </row>
    <row r="46">
      <c r="A46" s="12" t="s">
        <v>2050</v>
      </c>
      <c r="B46" s="12" t="s">
        <v>286</v>
      </c>
      <c r="C46" s="12" t="s">
        <v>95</v>
      </c>
      <c r="D46" s="12" t="s">
        <v>833</v>
      </c>
      <c r="E46" s="12" t="s">
        <v>834</v>
      </c>
      <c r="F46" s="12"/>
      <c r="G46" s="12" t="s">
        <v>281</v>
      </c>
      <c r="H46" s="12" t="s">
        <v>285</v>
      </c>
      <c r="I46" s="12"/>
      <c r="J46" s="43">
        <f t="shared" si="1"/>
        <v>-0.003821102244</v>
      </c>
      <c r="K46" s="43">
        <f t="shared" si="2"/>
        <v>2.91139968</v>
      </c>
      <c r="L46" s="43">
        <f t="shared" si="3"/>
        <v>-0.003826123887</v>
      </c>
      <c r="M46" s="43">
        <f t="shared" si="4"/>
        <v>-0.1901521619</v>
      </c>
      <c r="N46" s="12" t="s">
        <v>2051</v>
      </c>
      <c r="O46" s="12" t="s">
        <v>2052</v>
      </c>
      <c r="P46" s="43">
        <f t="shared" si="5"/>
        <v>6.061286978</v>
      </c>
      <c r="Q46" s="43">
        <f t="shared" si="6"/>
        <v>4.691733978</v>
      </c>
      <c r="R46" s="12" t="s">
        <v>2053</v>
      </c>
      <c r="S46" s="12" t="s">
        <v>2054</v>
      </c>
      <c r="T46" s="43">
        <f t="shared" si="7"/>
        <v>61.77422522</v>
      </c>
      <c r="U46" s="43">
        <f t="shared" si="8"/>
        <v>0.4417875</v>
      </c>
      <c r="V46" s="12" t="s">
        <v>839</v>
      </c>
      <c r="W46" s="12" t="s">
        <v>2055</v>
      </c>
      <c r="X46" s="12" t="s">
        <v>841</v>
      </c>
      <c r="Y46" s="12" t="s">
        <v>841</v>
      </c>
      <c r="Z46" s="12" t="s">
        <v>841</v>
      </c>
      <c r="AA46" s="12" t="s">
        <v>2056</v>
      </c>
      <c r="AB46" s="12" t="s">
        <v>2057</v>
      </c>
      <c r="AC46" s="12" t="s">
        <v>2058</v>
      </c>
      <c r="AD46" s="12" t="s">
        <v>845</v>
      </c>
      <c r="AE46" s="12" t="s">
        <v>846</v>
      </c>
      <c r="AF46" s="43">
        <f t="shared" si="9"/>
        <v>9.1290408</v>
      </c>
      <c r="AG46" s="12" t="s">
        <v>847</v>
      </c>
      <c r="AH46" s="12" t="s">
        <v>2059</v>
      </c>
      <c r="AI46" s="12" t="s">
        <v>2060</v>
      </c>
      <c r="AJ46" s="12" t="s">
        <v>2061</v>
      </c>
      <c r="AK46" s="12" t="s">
        <v>2062</v>
      </c>
      <c r="AL46" s="43">
        <f t="shared" si="10"/>
        <v>36.28</v>
      </c>
      <c r="AM46" s="12" t="s">
        <v>981</v>
      </c>
      <c r="AN46" s="12" t="s">
        <v>1337</v>
      </c>
      <c r="AO46" s="12" t="s">
        <v>2063</v>
      </c>
      <c r="AP46" s="12" t="s">
        <v>2064</v>
      </c>
      <c r="AQ46" s="12" t="s">
        <v>2065</v>
      </c>
      <c r="AR46" s="12" t="s">
        <v>2066</v>
      </c>
      <c r="AS46" s="12" t="s">
        <v>2067</v>
      </c>
      <c r="AT46" s="12" t="s">
        <v>95</v>
      </c>
      <c r="AU46" s="12" t="s">
        <v>2068</v>
      </c>
      <c r="AV46" s="12" t="s">
        <v>832</v>
      </c>
      <c r="AW46" s="12" t="s">
        <v>923</v>
      </c>
      <c r="AX46" s="12" t="s">
        <v>1079</v>
      </c>
      <c r="AY46" s="12" t="s">
        <v>924</v>
      </c>
      <c r="AZ46" s="12" t="s">
        <v>2069</v>
      </c>
      <c r="BA46" s="12" t="s">
        <v>2070</v>
      </c>
      <c r="BB46" s="12" t="s">
        <v>2071</v>
      </c>
      <c r="BC46" s="12" t="s">
        <v>866</v>
      </c>
      <c r="BD46" s="12" t="s">
        <v>867</v>
      </c>
      <c r="BE46" s="12" t="s">
        <v>868</v>
      </c>
      <c r="BF46" s="12" t="s">
        <v>869</v>
      </c>
      <c r="BG46" s="12" t="s">
        <v>870</v>
      </c>
      <c r="BH46" s="12" t="s">
        <v>841</v>
      </c>
      <c r="BI46" s="12" t="s">
        <v>871</v>
      </c>
      <c r="BJ46" s="12" t="s">
        <v>841</v>
      </c>
      <c r="BK46" s="12" t="s">
        <v>841</v>
      </c>
      <c r="BL46" s="12" t="s">
        <v>872</v>
      </c>
      <c r="BM46" s="12" t="s">
        <v>873</v>
      </c>
      <c r="BN46" s="12" t="s">
        <v>866</v>
      </c>
      <c r="BO46" s="12" t="s">
        <v>874</v>
      </c>
      <c r="BP46" s="12" t="s">
        <v>875</v>
      </c>
      <c r="BQ46" s="12" t="s">
        <v>876</v>
      </c>
      <c r="BR46" s="12" t="s">
        <v>869</v>
      </c>
      <c r="BS46" s="12" t="s">
        <v>869</v>
      </c>
      <c r="BT46" s="12" t="s">
        <v>877</v>
      </c>
      <c r="BU46" s="12" t="s">
        <v>877</v>
      </c>
      <c r="BV46" s="12" t="s">
        <v>877</v>
      </c>
      <c r="BW46" s="12" t="s">
        <v>841</v>
      </c>
      <c r="BX46" s="12" t="s">
        <v>878</v>
      </c>
      <c r="BY46" s="12" t="s">
        <v>841</v>
      </c>
      <c r="BZ46" s="12" t="s">
        <v>841</v>
      </c>
      <c r="CA46" s="12" t="s">
        <v>841</v>
      </c>
      <c r="CB46" s="12" t="s">
        <v>841</v>
      </c>
      <c r="CC46" s="12" t="s">
        <v>2072</v>
      </c>
      <c r="CD46" s="12" t="s">
        <v>2073</v>
      </c>
      <c r="CE46" s="12" t="s">
        <v>2074</v>
      </c>
      <c r="CF46" s="12" t="s">
        <v>2075</v>
      </c>
      <c r="CG46" s="12" t="s">
        <v>2076</v>
      </c>
      <c r="CH46" s="12" t="s">
        <v>2077</v>
      </c>
      <c r="CI46" s="12" t="s">
        <v>2078</v>
      </c>
      <c r="CJ46" s="12" t="s">
        <v>2079</v>
      </c>
      <c r="CK46" s="12" t="s">
        <v>2056</v>
      </c>
      <c r="CL46" s="12" t="s">
        <v>1415</v>
      </c>
      <c r="CM46" s="12" t="s">
        <v>888</v>
      </c>
      <c r="CN46" s="12" t="s">
        <v>841</v>
      </c>
      <c r="CO46" s="12" t="s">
        <v>847</v>
      </c>
      <c r="CP46" s="12" t="s">
        <v>889</v>
      </c>
      <c r="CQ46" s="12" t="s">
        <v>890</v>
      </c>
      <c r="CR46" s="12" t="s">
        <v>847</v>
      </c>
      <c r="CS46" s="12" t="s">
        <v>891</v>
      </c>
      <c r="CT46" s="12" t="s">
        <v>892</v>
      </c>
      <c r="CU46" s="12" t="s">
        <v>893</v>
      </c>
      <c r="CV46" s="12" t="s">
        <v>841</v>
      </c>
      <c r="CW46" s="12" t="s">
        <v>2055</v>
      </c>
      <c r="CX46" s="12" t="s">
        <v>894</v>
      </c>
      <c r="CY46" s="12" t="s">
        <v>895</v>
      </c>
      <c r="CZ46" s="12" t="s">
        <v>896</v>
      </c>
      <c r="DA46" s="12" t="s">
        <v>897</v>
      </c>
      <c r="DB46" s="12" t="s">
        <v>898</v>
      </c>
      <c r="DC46" s="12" t="s">
        <v>899</v>
      </c>
    </row>
    <row r="47">
      <c r="A47" s="12" t="s">
        <v>917</v>
      </c>
      <c r="B47" s="12" t="s">
        <v>287</v>
      </c>
      <c r="C47" s="12" t="s">
        <v>95</v>
      </c>
      <c r="D47" s="12" t="s">
        <v>833</v>
      </c>
      <c r="E47" s="12" t="s">
        <v>834</v>
      </c>
      <c r="F47" s="12"/>
      <c r="G47" s="12" t="s">
        <v>281</v>
      </c>
      <c r="H47" s="12" t="s">
        <v>285</v>
      </c>
      <c r="I47" s="12"/>
      <c r="J47" s="43">
        <f t="shared" si="1"/>
        <v>-0.02918007394</v>
      </c>
      <c r="K47" s="43">
        <f t="shared" si="2"/>
        <v>2.90981592</v>
      </c>
      <c r="L47" s="43">
        <f t="shared" si="3"/>
        <v>-0.02947566032</v>
      </c>
      <c r="M47" s="43">
        <f t="shared" si="4"/>
        <v>-1.467574201</v>
      </c>
      <c r="N47" s="12" t="s">
        <v>2080</v>
      </c>
      <c r="O47" s="12" t="s">
        <v>2081</v>
      </c>
      <c r="P47" s="43">
        <f t="shared" si="5"/>
        <v>6.03473269</v>
      </c>
      <c r="Q47" s="43">
        <f t="shared" si="6"/>
        <v>4.70297069</v>
      </c>
      <c r="R47" s="12" t="s">
        <v>2082</v>
      </c>
      <c r="S47" s="12" t="s">
        <v>2083</v>
      </c>
      <c r="T47" s="43">
        <f t="shared" si="7"/>
        <v>61.49106063</v>
      </c>
      <c r="U47" s="43">
        <f t="shared" si="8"/>
        <v>0.4417875</v>
      </c>
      <c r="V47" s="12" t="s">
        <v>839</v>
      </c>
      <c r="W47" s="12" t="s">
        <v>2084</v>
      </c>
      <c r="X47" s="12" t="s">
        <v>841</v>
      </c>
      <c r="Y47" s="12" t="s">
        <v>841</v>
      </c>
      <c r="Z47" s="12" t="s">
        <v>841</v>
      </c>
      <c r="AA47" s="12" t="s">
        <v>2085</v>
      </c>
      <c r="AB47" s="12" t="s">
        <v>2086</v>
      </c>
      <c r="AC47" s="12" t="s">
        <v>2087</v>
      </c>
      <c r="AD47" s="12" t="s">
        <v>845</v>
      </c>
      <c r="AE47" s="12" t="s">
        <v>846</v>
      </c>
      <c r="AF47" s="43">
        <f t="shared" si="9"/>
        <v>8.1514708</v>
      </c>
      <c r="AG47" s="12" t="s">
        <v>847</v>
      </c>
      <c r="AH47" s="12" t="s">
        <v>2088</v>
      </c>
      <c r="AI47" s="12" t="s">
        <v>2089</v>
      </c>
      <c r="AJ47" s="12" t="s">
        <v>2090</v>
      </c>
      <c r="AK47" s="12" t="s">
        <v>2091</v>
      </c>
      <c r="AL47" s="43">
        <f t="shared" si="10"/>
        <v>36.2</v>
      </c>
      <c r="AM47" s="12" t="s">
        <v>1071</v>
      </c>
      <c r="AN47" s="12" t="s">
        <v>914</v>
      </c>
      <c r="AO47" s="12" t="s">
        <v>2092</v>
      </c>
      <c r="AP47" s="12" t="s">
        <v>2093</v>
      </c>
      <c r="AQ47" s="12" t="s">
        <v>2022</v>
      </c>
      <c r="AR47" s="12" t="s">
        <v>2094</v>
      </c>
      <c r="AS47" s="12" t="s">
        <v>2067</v>
      </c>
      <c r="AT47" s="12" t="s">
        <v>95</v>
      </c>
      <c r="AU47" s="12" t="s">
        <v>2068</v>
      </c>
      <c r="AV47" s="12" t="s">
        <v>832</v>
      </c>
      <c r="AW47" s="12" t="s">
        <v>1543</v>
      </c>
      <c r="AX47" s="12" t="s">
        <v>1286</v>
      </c>
      <c r="AY47" s="12" t="s">
        <v>868</v>
      </c>
      <c r="AZ47" s="12" t="s">
        <v>2095</v>
      </c>
      <c r="BA47" s="12" t="s">
        <v>2096</v>
      </c>
      <c r="BB47" s="12" t="s">
        <v>868</v>
      </c>
      <c r="BC47" s="12" t="s">
        <v>866</v>
      </c>
      <c r="BD47" s="12" t="s">
        <v>867</v>
      </c>
      <c r="BE47" s="12" t="s">
        <v>868</v>
      </c>
      <c r="BF47" s="12" t="s">
        <v>869</v>
      </c>
      <c r="BG47" s="12" t="s">
        <v>870</v>
      </c>
      <c r="BH47" s="12" t="s">
        <v>841</v>
      </c>
      <c r="BI47" s="12" t="s">
        <v>871</v>
      </c>
      <c r="BJ47" s="12" t="s">
        <v>841</v>
      </c>
      <c r="BK47" s="12" t="s">
        <v>841</v>
      </c>
      <c r="BL47" s="12" t="s">
        <v>872</v>
      </c>
      <c r="BM47" s="12" t="s">
        <v>873</v>
      </c>
      <c r="BN47" s="12" t="s">
        <v>866</v>
      </c>
      <c r="BO47" s="12" t="s">
        <v>874</v>
      </c>
      <c r="BP47" s="12" t="s">
        <v>875</v>
      </c>
      <c r="BQ47" s="12" t="s">
        <v>876</v>
      </c>
      <c r="BR47" s="12" t="s">
        <v>869</v>
      </c>
      <c r="BS47" s="12" t="s">
        <v>869</v>
      </c>
      <c r="BT47" s="12" t="s">
        <v>877</v>
      </c>
      <c r="BU47" s="12" t="s">
        <v>877</v>
      </c>
      <c r="BV47" s="12" t="s">
        <v>877</v>
      </c>
      <c r="BW47" s="12" t="s">
        <v>841</v>
      </c>
      <c r="BX47" s="12" t="s">
        <v>878</v>
      </c>
      <c r="BY47" s="12" t="s">
        <v>841</v>
      </c>
      <c r="BZ47" s="12" t="s">
        <v>841</v>
      </c>
      <c r="CA47" s="12" t="s">
        <v>841</v>
      </c>
      <c r="CB47" s="12" t="s">
        <v>841</v>
      </c>
      <c r="CC47" s="12" t="s">
        <v>2097</v>
      </c>
      <c r="CD47" s="12" t="s">
        <v>2098</v>
      </c>
      <c r="CE47" s="12" t="s">
        <v>2099</v>
      </c>
      <c r="CF47" s="12" t="s">
        <v>2100</v>
      </c>
      <c r="CG47" s="12" t="s">
        <v>2101</v>
      </c>
      <c r="CH47" s="12" t="s">
        <v>2102</v>
      </c>
      <c r="CI47" s="12" t="s">
        <v>2103</v>
      </c>
      <c r="CJ47" s="12" t="s">
        <v>2104</v>
      </c>
      <c r="CK47" s="12" t="s">
        <v>2085</v>
      </c>
      <c r="CL47" s="12" t="s">
        <v>1526</v>
      </c>
      <c r="CM47" s="12" t="s">
        <v>888</v>
      </c>
      <c r="CN47" s="12" t="s">
        <v>841</v>
      </c>
      <c r="CO47" s="12" t="s">
        <v>847</v>
      </c>
      <c r="CP47" s="12" t="s">
        <v>889</v>
      </c>
      <c r="CQ47" s="12" t="s">
        <v>890</v>
      </c>
      <c r="CR47" s="12" t="s">
        <v>847</v>
      </c>
      <c r="CS47" s="12" t="s">
        <v>891</v>
      </c>
      <c r="CT47" s="12" t="s">
        <v>892</v>
      </c>
      <c r="CU47" s="12" t="s">
        <v>893</v>
      </c>
      <c r="CV47" s="12" t="s">
        <v>841</v>
      </c>
      <c r="CW47" s="12" t="s">
        <v>2084</v>
      </c>
      <c r="CX47" s="12" t="s">
        <v>894</v>
      </c>
      <c r="CY47" s="12" t="s">
        <v>895</v>
      </c>
      <c r="CZ47" s="12" t="s">
        <v>896</v>
      </c>
      <c r="DA47" s="12" t="s">
        <v>897</v>
      </c>
      <c r="DB47" s="12" t="s">
        <v>898</v>
      </c>
      <c r="DC47" s="12" t="s">
        <v>899</v>
      </c>
    </row>
    <row r="48">
      <c r="A48" s="12" t="s">
        <v>2105</v>
      </c>
      <c r="B48" s="12" t="s">
        <v>288</v>
      </c>
      <c r="C48" s="12" t="s">
        <v>95</v>
      </c>
      <c r="D48" s="12" t="s">
        <v>833</v>
      </c>
      <c r="E48" s="12" t="s">
        <v>834</v>
      </c>
      <c r="F48" s="12"/>
      <c r="G48" s="12" t="s">
        <v>281</v>
      </c>
      <c r="H48" s="12" t="s">
        <v>285</v>
      </c>
      <c r="I48" s="12"/>
      <c r="J48" s="43">
        <f t="shared" si="1"/>
        <v>-0.03453199984</v>
      </c>
      <c r="K48" s="43">
        <f t="shared" si="2"/>
        <v>2.91060848</v>
      </c>
      <c r="L48" s="43">
        <f t="shared" si="3"/>
        <v>-0.03494661295</v>
      </c>
      <c r="M48" s="43">
        <f t="shared" si="4"/>
        <v>-1.834685196</v>
      </c>
      <c r="N48" s="12" t="s">
        <v>2106</v>
      </c>
      <c r="O48" s="12" t="s">
        <v>2107</v>
      </c>
      <c r="P48" s="43">
        <f t="shared" si="5"/>
        <v>6.267122152</v>
      </c>
      <c r="Q48" s="43">
        <f t="shared" si="6"/>
        <v>4.953358152</v>
      </c>
      <c r="R48" s="12" t="s">
        <v>2108</v>
      </c>
      <c r="S48" s="12" t="s">
        <v>2109</v>
      </c>
      <c r="T48" s="43">
        <f t="shared" si="7"/>
        <v>63.8589989</v>
      </c>
      <c r="U48" s="43">
        <f t="shared" si="8"/>
        <v>0.4417875</v>
      </c>
      <c r="V48" s="12" t="s">
        <v>839</v>
      </c>
      <c r="W48" s="12" t="s">
        <v>2110</v>
      </c>
      <c r="X48" s="12" t="s">
        <v>841</v>
      </c>
      <c r="Y48" s="12" t="s">
        <v>841</v>
      </c>
      <c r="Z48" s="12" t="s">
        <v>841</v>
      </c>
      <c r="AA48" s="12" t="s">
        <v>2111</v>
      </c>
      <c r="AB48" s="12" t="s">
        <v>2112</v>
      </c>
      <c r="AC48" s="12" t="s">
        <v>2113</v>
      </c>
      <c r="AD48" s="12" t="s">
        <v>845</v>
      </c>
      <c r="AE48" s="12" t="s">
        <v>846</v>
      </c>
      <c r="AF48" s="43">
        <f t="shared" si="9"/>
        <v>7.322276</v>
      </c>
      <c r="AG48" s="12" t="s">
        <v>847</v>
      </c>
      <c r="AH48" s="12" t="s">
        <v>2114</v>
      </c>
      <c r="AI48" s="12" t="s">
        <v>2115</v>
      </c>
      <c r="AJ48" s="12" t="s">
        <v>2116</v>
      </c>
      <c r="AK48" s="12" t="s">
        <v>1620</v>
      </c>
      <c r="AL48" s="43">
        <f t="shared" si="10"/>
        <v>36.89</v>
      </c>
      <c r="AM48" s="12" t="s">
        <v>1071</v>
      </c>
      <c r="AN48" s="12" t="s">
        <v>1159</v>
      </c>
      <c r="AO48" s="12" t="s">
        <v>2117</v>
      </c>
      <c r="AP48" s="12" t="s">
        <v>2118</v>
      </c>
      <c r="AQ48" s="12" t="s">
        <v>1782</v>
      </c>
      <c r="AR48" s="12" t="s">
        <v>2119</v>
      </c>
      <c r="AS48" s="12" t="s">
        <v>2067</v>
      </c>
      <c r="AT48" s="12" t="s">
        <v>95</v>
      </c>
      <c r="AU48" s="12" t="s">
        <v>2068</v>
      </c>
      <c r="AV48" s="12" t="s">
        <v>832</v>
      </c>
      <c r="AW48" s="12" t="s">
        <v>1542</v>
      </c>
      <c r="AX48" s="12" t="s">
        <v>868</v>
      </c>
      <c r="AY48" s="12" t="s">
        <v>868</v>
      </c>
      <c r="AZ48" s="12" t="s">
        <v>2120</v>
      </c>
      <c r="BA48" s="12" t="s">
        <v>868</v>
      </c>
      <c r="BB48" s="12" t="s">
        <v>868</v>
      </c>
      <c r="BC48" s="12" t="s">
        <v>866</v>
      </c>
      <c r="BD48" s="12" t="s">
        <v>867</v>
      </c>
      <c r="BE48" s="12" t="s">
        <v>868</v>
      </c>
      <c r="BF48" s="12" t="s">
        <v>869</v>
      </c>
      <c r="BG48" s="12" t="s">
        <v>870</v>
      </c>
      <c r="BH48" s="12" t="s">
        <v>841</v>
      </c>
      <c r="BI48" s="12" t="s">
        <v>871</v>
      </c>
      <c r="BJ48" s="12" t="s">
        <v>841</v>
      </c>
      <c r="BK48" s="12" t="s">
        <v>841</v>
      </c>
      <c r="BL48" s="12" t="s">
        <v>872</v>
      </c>
      <c r="BM48" s="12" t="s">
        <v>873</v>
      </c>
      <c r="BN48" s="12" t="s">
        <v>866</v>
      </c>
      <c r="BO48" s="12" t="s">
        <v>874</v>
      </c>
      <c r="BP48" s="12" t="s">
        <v>875</v>
      </c>
      <c r="BQ48" s="12" t="s">
        <v>876</v>
      </c>
      <c r="BR48" s="12" t="s">
        <v>869</v>
      </c>
      <c r="BS48" s="12" t="s">
        <v>869</v>
      </c>
      <c r="BT48" s="12" t="s">
        <v>877</v>
      </c>
      <c r="BU48" s="12" t="s">
        <v>877</v>
      </c>
      <c r="BV48" s="12" t="s">
        <v>877</v>
      </c>
      <c r="BW48" s="12" t="s">
        <v>841</v>
      </c>
      <c r="BX48" s="12" t="s">
        <v>878</v>
      </c>
      <c r="BY48" s="12" t="s">
        <v>841</v>
      </c>
      <c r="BZ48" s="12" t="s">
        <v>841</v>
      </c>
      <c r="CA48" s="12" t="s">
        <v>841</v>
      </c>
      <c r="CB48" s="12" t="s">
        <v>841</v>
      </c>
      <c r="CC48" s="12" t="s">
        <v>2121</v>
      </c>
      <c r="CD48" s="12" t="s">
        <v>2122</v>
      </c>
      <c r="CE48" s="12" t="s">
        <v>2123</v>
      </c>
      <c r="CF48" s="12" t="s">
        <v>2124</v>
      </c>
      <c r="CG48" s="12" t="s">
        <v>2125</v>
      </c>
      <c r="CH48" s="12" t="s">
        <v>2126</v>
      </c>
      <c r="CI48" s="12" t="s">
        <v>2127</v>
      </c>
      <c r="CJ48" s="12" t="s">
        <v>2128</v>
      </c>
      <c r="CK48" s="12" t="s">
        <v>2111</v>
      </c>
      <c r="CL48" s="12" t="s">
        <v>1119</v>
      </c>
      <c r="CM48" s="12" t="s">
        <v>888</v>
      </c>
      <c r="CN48" s="12" t="s">
        <v>841</v>
      </c>
      <c r="CO48" s="12" t="s">
        <v>847</v>
      </c>
      <c r="CP48" s="12" t="s">
        <v>889</v>
      </c>
      <c r="CQ48" s="12" t="s">
        <v>890</v>
      </c>
      <c r="CR48" s="12" t="s">
        <v>847</v>
      </c>
      <c r="CS48" s="12" t="s">
        <v>891</v>
      </c>
      <c r="CT48" s="12" t="s">
        <v>892</v>
      </c>
      <c r="CU48" s="12" t="s">
        <v>893</v>
      </c>
      <c r="CV48" s="12" t="s">
        <v>841</v>
      </c>
      <c r="CW48" s="12" t="s">
        <v>2110</v>
      </c>
      <c r="CX48" s="12" t="s">
        <v>894</v>
      </c>
      <c r="CY48" s="12" t="s">
        <v>895</v>
      </c>
      <c r="CZ48" s="12" t="s">
        <v>896</v>
      </c>
      <c r="DA48" s="12" t="s">
        <v>897</v>
      </c>
      <c r="DB48" s="12" t="s">
        <v>898</v>
      </c>
      <c r="DC48" s="12" t="s">
        <v>899</v>
      </c>
    </row>
    <row r="49">
      <c r="A49" s="12" t="s">
        <v>2129</v>
      </c>
      <c r="B49" s="12" t="s">
        <v>291</v>
      </c>
      <c r="C49" s="12" t="s">
        <v>95</v>
      </c>
      <c r="D49" s="12" t="s">
        <v>833</v>
      </c>
      <c r="E49" s="12" t="s">
        <v>834</v>
      </c>
      <c r="F49" s="12"/>
      <c r="G49" s="12" t="s">
        <v>281</v>
      </c>
      <c r="H49" s="12" t="s">
        <v>290</v>
      </c>
      <c r="I49" s="12"/>
      <c r="J49" s="43">
        <f t="shared" si="1"/>
        <v>0.02578615497</v>
      </c>
      <c r="K49" s="43">
        <f t="shared" si="2"/>
        <v>2.91060848</v>
      </c>
      <c r="L49" s="43">
        <f t="shared" si="3"/>
        <v>0.02555971204</v>
      </c>
      <c r="M49" s="43">
        <f t="shared" si="4"/>
        <v>1.362905008</v>
      </c>
      <c r="N49" s="12" t="s">
        <v>2130</v>
      </c>
      <c r="O49" s="12" t="s">
        <v>2131</v>
      </c>
      <c r="P49" s="43">
        <f t="shared" si="5"/>
        <v>6.475476397</v>
      </c>
      <c r="Q49" s="43">
        <f t="shared" si="6"/>
        <v>5.020570397</v>
      </c>
      <c r="R49" s="12" t="s">
        <v>2132</v>
      </c>
      <c r="S49" s="12" t="s">
        <v>2133</v>
      </c>
      <c r="T49" s="43">
        <f t="shared" si="7"/>
        <v>65.99547898</v>
      </c>
      <c r="U49" s="43">
        <f t="shared" si="8"/>
        <v>0.4417875</v>
      </c>
      <c r="V49" s="12" t="s">
        <v>839</v>
      </c>
      <c r="W49" s="12" t="s">
        <v>2134</v>
      </c>
      <c r="X49" s="12" t="s">
        <v>841</v>
      </c>
      <c r="Y49" s="12" t="s">
        <v>841</v>
      </c>
      <c r="Z49" s="12" t="s">
        <v>841</v>
      </c>
      <c r="AA49" s="12" t="s">
        <v>2135</v>
      </c>
      <c r="AB49" s="12" t="s">
        <v>2136</v>
      </c>
      <c r="AC49" s="12" t="s">
        <v>2137</v>
      </c>
      <c r="AD49" s="12" t="s">
        <v>845</v>
      </c>
      <c r="AE49" s="12" t="s">
        <v>846</v>
      </c>
      <c r="AF49" s="43">
        <f t="shared" si="9"/>
        <v>9.70515</v>
      </c>
      <c r="AG49" s="12" t="s">
        <v>847</v>
      </c>
      <c r="AH49" s="12" t="s">
        <v>2138</v>
      </c>
      <c r="AI49" s="12" t="s">
        <v>2139</v>
      </c>
      <c r="AJ49" s="12" t="s">
        <v>2140</v>
      </c>
      <c r="AK49" s="12" t="s">
        <v>2141</v>
      </c>
      <c r="AL49" s="43">
        <f t="shared" si="10"/>
        <v>37.49</v>
      </c>
      <c r="AM49" s="12" t="s">
        <v>981</v>
      </c>
      <c r="AN49" s="12" t="s">
        <v>1159</v>
      </c>
      <c r="AO49" s="12" t="s">
        <v>2142</v>
      </c>
      <c r="AP49" s="12" t="s">
        <v>2143</v>
      </c>
      <c r="AQ49" s="12" t="s">
        <v>2144</v>
      </c>
      <c r="AR49" s="12" t="s">
        <v>2145</v>
      </c>
      <c r="AS49" s="12" t="s">
        <v>2067</v>
      </c>
      <c r="AT49" s="12" t="s">
        <v>95</v>
      </c>
      <c r="AU49" s="12" t="s">
        <v>2068</v>
      </c>
      <c r="AV49" s="12" t="s">
        <v>832</v>
      </c>
      <c r="AW49" s="12" t="s">
        <v>1286</v>
      </c>
      <c r="AX49" s="12" t="s">
        <v>860</v>
      </c>
      <c r="AY49" s="12" t="s">
        <v>1372</v>
      </c>
      <c r="AZ49" s="12" t="s">
        <v>2146</v>
      </c>
      <c r="BA49" s="12" t="s">
        <v>2147</v>
      </c>
      <c r="BB49" s="12" t="s">
        <v>2148</v>
      </c>
      <c r="BC49" s="12" t="s">
        <v>866</v>
      </c>
      <c r="BD49" s="12" t="s">
        <v>867</v>
      </c>
      <c r="BE49" s="12" t="s">
        <v>868</v>
      </c>
      <c r="BF49" s="12" t="s">
        <v>869</v>
      </c>
      <c r="BG49" s="12" t="s">
        <v>870</v>
      </c>
      <c r="BH49" s="12" t="s">
        <v>841</v>
      </c>
      <c r="BI49" s="12" t="s">
        <v>871</v>
      </c>
      <c r="BJ49" s="12" t="s">
        <v>841</v>
      </c>
      <c r="BK49" s="12" t="s">
        <v>841</v>
      </c>
      <c r="BL49" s="12" t="s">
        <v>872</v>
      </c>
      <c r="BM49" s="12" t="s">
        <v>873</v>
      </c>
      <c r="BN49" s="12" t="s">
        <v>866</v>
      </c>
      <c r="BO49" s="12" t="s">
        <v>874</v>
      </c>
      <c r="BP49" s="12" t="s">
        <v>875</v>
      </c>
      <c r="BQ49" s="12" t="s">
        <v>876</v>
      </c>
      <c r="BR49" s="12" t="s">
        <v>869</v>
      </c>
      <c r="BS49" s="12" t="s">
        <v>869</v>
      </c>
      <c r="BT49" s="12" t="s">
        <v>877</v>
      </c>
      <c r="BU49" s="12" t="s">
        <v>877</v>
      </c>
      <c r="BV49" s="12" t="s">
        <v>877</v>
      </c>
      <c r="BW49" s="12" t="s">
        <v>841</v>
      </c>
      <c r="BX49" s="12" t="s">
        <v>878</v>
      </c>
      <c r="BY49" s="12" t="s">
        <v>841</v>
      </c>
      <c r="BZ49" s="12" t="s">
        <v>841</v>
      </c>
      <c r="CA49" s="12" t="s">
        <v>841</v>
      </c>
      <c r="CB49" s="12" t="s">
        <v>841</v>
      </c>
      <c r="CC49" s="12" t="s">
        <v>2149</v>
      </c>
      <c r="CD49" s="12" t="s">
        <v>2150</v>
      </c>
      <c r="CE49" s="12" t="s">
        <v>2151</v>
      </c>
      <c r="CF49" s="12" t="s">
        <v>2152</v>
      </c>
      <c r="CG49" s="12" t="s">
        <v>2153</v>
      </c>
      <c r="CH49" s="12" t="s">
        <v>2154</v>
      </c>
      <c r="CI49" s="12" t="s">
        <v>2155</v>
      </c>
      <c r="CJ49" s="12" t="s">
        <v>2156</v>
      </c>
      <c r="CK49" s="12" t="s">
        <v>2135</v>
      </c>
      <c r="CL49" s="12" t="s">
        <v>1415</v>
      </c>
      <c r="CM49" s="12" t="s">
        <v>888</v>
      </c>
      <c r="CN49" s="12" t="s">
        <v>841</v>
      </c>
      <c r="CO49" s="12" t="s">
        <v>847</v>
      </c>
      <c r="CP49" s="12" t="s">
        <v>889</v>
      </c>
      <c r="CQ49" s="12" t="s">
        <v>890</v>
      </c>
      <c r="CR49" s="12" t="s">
        <v>847</v>
      </c>
      <c r="CS49" s="12" t="s">
        <v>891</v>
      </c>
      <c r="CT49" s="12" t="s">
        <v>892</v>
      </c>
      <c r="CU49" s="12" t="s">
        <v>893</v>
      </c>
      <c r="CV49" s="12" t="s">
        <v>841</v>
      </c>
      <c r="CW49" s="12" t="s">
        <v>2134</v>
      </c>
      <c r="CX49" s="12" t="s">
        <v>894</v>
      </c>
      <c r="CY49" s="12" t="s">
        <v>895</v>
      </c>
      <c r="CZ49" s="12" t="s">
        <v>896</v>
      </c>
      <c r="DA49" s="12" t="s">
        <v>897</v>
      </c>
      <c r="DB49" s="12" t="s">
        <v>898</v>
      </c>
      <c r="DC49" s="12" t="s">
        <v>899</v>
      </c>
    </row>
    <row r="50">
      <c r="A50" s="12" t="s">
        <v>2065</v>
      </c>
      <c r="B50" s="12" t="s">
        <v>293</v>
      </c>
      <c r="C50" s="12" t="s">
        <v>95</v>
      </c>
      <c r="D50" s="12" t="s">
        <v>833</v>
      </c>
      <c r="E50" s="12" t="s">
        <v>834</v>
      </c>
      <c r="F50" s="12"/>
      <c r="G50" s="12" t="s">
        <v>281</v>
      </c>
      <c r="H50" s="12" t="s">
        <v>290</v>
      </c>
      <c r="I50" s="12"/>
      <c r="J50" s="43">
        <f t="shared" si="1"/>
        <v>0.0001443538421</v>
      </c>
      <c r="K50" s="43">
        <f t="shared" si="2"/>
        <v>2.91060848</v>
      </c>
      <c r="L50" s="43">
        <f t="shared" si="3"/>
        <v>0.0001443466832</v>
      </c>
      <c r="M50" s="43">
        <f t="shared" si="4"/>
        <v>0.007591565688</v>
      </c>
      <c r="N50" s="12" t="s">
        <v>2157</v>
      </c>
      <c r="O50" s="12" t="s">
        <v>2158</v>
      </c>
      <c r="P50" s="43">
        <f t="shared" si="5"/>
        <v>6.346292777</v>
      </c>
      <c r="Q50" s="43">
        <f t="shared" si="6"/>
        <v>4.956955777</v>
      </c>
      <c r="R50" s="12" t="s">
        <v>2159</v>
      </c>
      <c r="S50" s="12" t="s">
        <v>2160</v>
      </c>
      <c r="T50" s="43">
        <f t="shared" si="7"/>
        <v>64.67889092</v>
      </c>
      <c r="U50" s="43">
        <f t="shared" si="8"/>
        <v>0.4417875</v>
      </c>
      <c r="V50" s="12" t="s">
        <v>839</v>
      </c>
      <c r="W50" s="12" t="s">
        <v>2161</v>
      </c>
      <c r="X50" s="12" t="s">
        <v>841</v>
      </c>
      <c r="Y50" s="12" t="s">
        <v>841</v>
      </c>
      <c r="Z50" s="12" t="s">
        <v>841</v>
      </c>
      <c r="AA50" s="12" t="s">
        <v>2162</v>
      </c>
      <c r="AB50" s="12" t="s">
        <v>2163</v>
      </c>
      <c r="AC50" s="12" t="s">
        <v>2164</v>
      </c>
      <c r="AD50" s="12" t="s">
        <v>845</v>
      </c>
      <c r="AE50" s="12" t="s">
        <v>846</v>
      </c>
      <c r="AF50" s="43">
        <f t="shared" si="9"/>
        <v>69.3412128</v>
      </c>
      <c r="AG50" s="12" t="s">
        <v>847</v>
      </c>
      <c r="AH50" s="12" t="s">
        <v>2165</v>
      </c>
      <c r="AI50" s="12" t="s">
        <v>2165</v>
      </c>
      <c r="AJ50" s="12" t="s">
        <v>2166</v>
      </c>
      <c r="AK50" s="12" t="s">
        <v>2167</v>
      </c>
      <c r="AL50" s="43">
        <f t="shared" si="10"/>
        <v>37.12</v>
      </c>
      <c r="AM50" s="12" t="s">
        <v>981</v>
      </c>
      <c r="AN50" s="12" t="s">
        <v>1159</v>
      </c>
      <c r="AO50" s="12" t="s">
        <v>1907</v>
      </c>
      <c r="AP50" s="12" t="s">
        <v>2168</v>
      </c>
      <c r="AQ50" s="12" t="s">
        <v>2169</v>
      </c>
      <c r="AR50" s="12" t="s">
        <v>2170</v>
      </c>
      <c r="AS50" s="12" t="s">
        <v>2067</v>
      </c>
      <c r="AT50" s="12" t="s">
        <v>95</v>
      </c>
      <c r="AU50" s="12" t="s">
        <v>2068</v>
      </c>
      <c r="AV50" s="12" t="s">
        <v>832</v>
      </c>
      <c r="AW50" s="12" t="s">
        <v>1543</v>
      </c>
      <c r="AX50" s="12" t="s">
        <v>1164</v>
      </c>
      <c r="AY50" s="12" t="s">
        <v>868</v>
      </c>
      <c r="AZ50" s="12" t="s">
        <v>2171</v>
      </c>
      <c r="BA50" s="12" t="s">
        <v>2172</v>
      </c>
      <c r="BB50" s="12" t="s">
        <v>868</v>
      </c>
      <c r="BC50" s="12" t="s">
        <v>866</v>
      </c>
      <c r="BD50" s="12" t="s">
        <v>867</v>
      </c>
      <c r="BE50" s="12" t="s">
        <v>868</v>
      </c>
      <c r="BF50" s="12" t="s">
        <v>869</v>
      </c>
      <c r="BG50" s="12" t="s">
        <v>870</v>
      </c>
      <c r="BH50" s="12" t="s">
        <v>841</v>
      </c>
      <c r="BI50" s="12" t="s">
        <v>871</v>
      </c>
      <c r="BJ50" s="12" t="s">
        <v>841</v>
      </c>
      <c r="BK50" s="12" t="s">
        <v>841</v>
      </c>
      <c r="BL50" s="12" t="s">
        <v>872</v>
      </c>
      <c r="BM50" s="12" t="s">
        <v>873</v>
      </c>
      <c r="BN50" s="12" t="s">
        <v>866</v>
      </c>
      <c r="BO50" s="12" t="s">
        <v>874</v>
      </c>
      <c r="BP50" s="12" t="s">
        <v>875</v>
      </c>
      <c r="BQ50" s="12" t="s">
        <v>876</v>
      </c>
      <c r="BR50" s="12" t="s">
        <v>869</v>
      </c>
      <c r="BS50" s="12" t="s">
        <v>869</v>
      </c>
      <c r="BT50" s="12" t="s">
        <v>877</v>
      </c>
      <c r="BU50" s="12" t="s">
        <v>877</v>
      </c>
      <c r="BV50" s="12" t="s">
        <v>877</v>
      </c>
      <c r="BW50" s="12" t="s">
        <v>841</v>
      </c>
      <c r="BX50" s="12" t="s">
        <v>878</v>
      </c>
      <c r="BY50" s="12" t="s">
        <v>841</v>
      </c>
      <c r="BZ50" s="12" t="s">
        <v>841</v>
      </c>
      <c r="CA50" s="12" t="s">
        <v>841</v>
      </c>
      <c r="CB50" s="12" t="s">
        <v>841</v>
      </c>
      <c r="CC50" s="12" t="s">
        <v>2173</v>
      </c>
      <c r="CD50" s="12" t="s">
        <v>2174</v>
      </c>
      <c r="CE50" s="12" t="s">
        <v>2175</v>
      </c>
      <c r="CF50" s="12" t="s">
        <v>2176</v>
      </c>
      <c r="CG50" s="12" t="s">
        <v>2177</v>
      </c>
      <c r="CH50" s="12" t="s">
        <v>2178</v>
      </c>
      <c r="CI50" s="12" t="s">
        <v>2179</v>
      </c>
      <c r="CJ50" s="12" t="s">
        <v>2180</v>
      </c>
      <c r="CK50" s="12" t="s">
        <v>2162</v>
      </c>
      <c r="CL50" s="12" t="s">
        <v>1581</v>
      </c>
      <c r="CM50" s="12" t="s">
        <v>888</v>
      </c>
      <c r="CN50" s="12" t="s">
        <v>841</v>
      </c>
      <c r="CO50" s="12" t="s">
        <v>847</v>
      </c>
      <c r="CP50" s="12" t="s">
        <v>889</v>
      </c>
      <c r="CQ50" s="12" t="s">
        <v>890</v>
      </c>
      <c r="CR50" s="12" t="s">
        <v>847</v>
      </c>
      <c r="CS50" s="12" t="s">
        <v>891</v>
      </c>
      <c r="CT50" s="12" t="s">
        <v>892</v>
      </c>
      <c r="CU50" s="12" t="s">
        <v>893</v>
      </c>
      <c r="CV50" s="12" t="s">
        <v>841</v>
      </c>
      <c r="CW50" s="12" t="s">
        <v>2161</v>
      </c>
      <c r="CX50" s="12" t="s">
        <v>894</v>
      </c>
      <c r="CY50" s="12" t="s">
        <v>895</v>
      </c>
      <c r="CZ50" s="12" t="s">
        <v>896</v>
      </c>
      <c r="DA50" s="12" t="s">
        <v>897</v>
      </c>
      <c r="DB50" s="12" t="s">
        <v>898</v>
      </c>
      <c r="DC50" s="12" t="s">
        <v>899</v>
      </c>
    </row>
    <row r="51">
      <c r="A51" s="12" t="s">
        <v>1860</v>
      </c>
      <c r="B51" s="12" t="s">
        <v>295</v>
      </c>
      <c r="C51" s="12" t="s">
        <v>95</v>
      </c>
      <c r="D51" s="12" t="s">
        <v>833</v>
      </c>
      <c r="E51" s="12" t="s">
        <v>834</v>
      </c>
      <c r="F51" s="12"/>
      <c r="G51" s="12" t="s">
        <v>281</v>
      </c>
      <c r="H51" s="12" t="s">
        <v>290</v>
      </c>
      <c r="I51" s="12"/>
      <c r="J51" s="43">
        <f t="shared" si="1"/>
        <v>-0.00921067524</v>
      </c>
      <c r="K51" s="43">
        <f t="shared" si="2"/>
        <v>2.909022</v>
      </c>
      <c r="L51" s="43">
        <f t="shared" si="3"/>
        <v>-0.009239931122</v>
      </c>
      <c r="M51" s="43">
        <f t="shared" si="4"/>
        <v>-0.5118075277</v>
      </c>
      <c r="N51" s="12" t="s">
        <v>2181</v>
      </c>
      <c r="O51" s="12" t="s">
        <v>2182</v>
      </c>
      <c r="P51" s="43">
        <f t="shared" si="5"/>
        <v>6.657278376</v>
      </c>
      <c r="Q51" s="43">
        <f t="shared" si="6"/>
        <v>5.210485376</v>
      </c>
      <c r="R51" s="12" t="s">
        <v>2183</v>
      </c>
      <c r="S51" s="12" t="s">
        <v>2184</v>
      </c>
      <c r="T51" s="43">
        <f t="shared" si="7"/>
        <v>67.84833241</v>
      </c>
      <c r="U51" s="43">
        <f t="shared" si="8"/>
        <v>0.4417875</v>
      </c>
      <c r="V51" s="12" t="s">
        <v>839</v>
      </c>
      <c r="W51" s="12" t="s">
        <v>2185</v>
      </c>
      <c r="X51" s="12" t="s">
        <v>841</v>
      </c>
      <c r="Y51" s="12" t="s">
        <v>841</v>
      </c>
      <c r="Z51" s="12" t="s">
        <v>841</v>
      </c>
      <c r="AA51" s="12" t="s">
        <v>2186</v>
      </c>
      <c r="AB51" s="12" t="s">
        <v>2187</v>
      </c>
      <c r="AC51" s="12" t="s">
        <v>2188</v>
      </c>
      <c r="AD51" s="12" t="s">
        <v>845</v>
      </c>
      <c r="AE51" s="12" t="s">
        <v>846</v>
      </c>
      <c r="AF51" s="43">
        <f t="shared" si="9"/>
        <v>6.122784</v>
      </c>
      <c r="AG51" s="12" t="s">
        <v>847</v>
      </c>
      <c r="AH51" s="12" t="s">
        <v>2189</v>
      </c>
      <c r="AI51" s="12" t="s">
        <v>2190</v>
      </c>
      <c r="AJ51" s="12" t="s">
        <v>2191</v>
      </c>
      <c r="AK51" s="12" t="s">
        <v>2192</v>
      </c>
      <c r="AL51" s="43">
        <f t="shared" si="10"/>
        <v>38</v>
      </c>
      <c r="AM51" s="12" t="s">
        <v>981</v>
      </c>
      <c r="AN51" s="12" t="s">
        <v>1072</v>
      </c>
      <c r="AO51" s="12" t="s">
        <v>2193</v>
      </c>
      <c r="AP51" s="12" t="s">
        <v>2194</v>
      </c>
      <c r="AQ51" s="12" t="s">
        <v>2195</v>
      </c>
      <c r="AR51" s="12" t="s">
        <v>2145</v>
      </c>
      <c r="AS51" s="12" t="s">
        <v>2067</v>
      </c>
      <c r="AT51" s="12" t="s">
        <v>95</v>
      </c>
      <c r="AU51" s="12" t="s">
        <v>2068</v>
      </c>
      <c r="AV51" s="12" t="s">
        <v>832</v>
      </c>
      <c r="AW51" s="12" t="s">
        <v>1164</v>
      </c>
      <c r="AX51" s="12" t="s">
        <v>868</v>
      </c>
      <c r="AY51" s="12" t="s">
        <v>868</v>
      </c>
      <c r="AZ51" s="12" t="s">
        <v>2196</v>
      </c>
      <c r="BA51" s="12" t="s">
        <v>868</v>
      </c>
      <c r="BB51" s="12" t="s">
        <v>868</v>
      </c>
      <c r="BC51" s="12" t="s">
        <v>866</v>
      </c>
      <c r="BD51" s="12" t="s">
        <v>867</v>
      </c>
      <c r="BE51" s="12" t="s">
        <v>868</v>
      </c>
      <c r="BF51" s="12" t="s">
        <v>869</v>
      </c>
      <c r="BG51" s="12" t="s">
        <v>870</v>
      </c>
      <c r="BH51" s="12" t="s">
        <v>841</v>
      </c>
      <c r="BI51" s="12" t="s">
        <v>871</v>
      </c>
      <c r="BJ51" s="12" t="s">
        <v>841</v>
      </c>
      <c r="BK51" s="12" t="s">
        <v>841</v>
      </c>
      <c r="BL51" s="12" t="s">
        <v>872</v>
      </c>
      <c r="BM51" s="12" t="s">
        <v>873</v>
      </c>
      <c r="BN51" s="12" t="s">
        <v>866</v>
      </c>
      <c r="BO51" s="12" t="s">
        <v>874</v>
      </c>
      <c r="BP51" s="12" t="s">
        <v>875</v>
      </c>
      <c r="BQ51" s="12" t="s">
        <v>876</v>
      </c>
      <c r="BR51" s="12" t="s">
        <v>869</v>
      </c>
      <c r="BS51" s="12" t="s">
        <v>869</v>
      </c>
      <c r="BT51" s="12" t="s">
        <v>877</v>
      </c>
      <c r="BU51" s="12" t="s">
        <v>877</v>
      </c>
      <c r="BV51" s="12" t="s">
        <v>877</v>
      </c>
      <c r="BW51" s="12" t="s">
        <v>841</v>
      </c>
      <c r="BX51" s="12" t="s">
        <v>878</v>
      </c>
      <c r="BY51" s="12" t="s">
        <v>841</v>
      </c>
      <c r="BZ51" s="12" t="s">
        <v>841</v>
      </c>
      <c r="CA51" s="12" t="s">
        <v>841</v>
      </c>
      <c r="CB51" s="12" t="s">
        <v>841</v>
      </c>
      <c r="CC51" s="12" t="s">
        <v>2197</v>
      </c>
      <c r="CD51" s="12" t="s">
        <v>2198</v>
      </c>
      <c r="CE51" s="12" t="s">
        <v>2199</v>
      </c>
      <c r="CF51" s="12" t="s">
        <v>2200</v>
      </c>
      <c r="CG51" s="12" t="s">
        <v>2201</v>
      </c>
      <c r="CH51" s="12" t="s">
        <v>2202</v>
      </c>
      <c r="CI51" s="12" t="s">
        <v>2203</v>
      </c>
      <c r="CJ51" s="12" t="s">
        <v>2204</v>
      </c>
      <c r="CK51" s="12" t="s">
        <v>2186</v>
      </c>
      <c r="CL51" s="12" t="s">
        <v>2205</v>
      </c>
      <c r="CM51" s="12" t="s">
        <v>888</v>
      </c>
      <c r="CN51" s="12" t="s">
        <v>841</v>
      </c>
      <c r="CO51" s="12" t="s">
        <v>847</v>
      </c>
      <c r="CP51" s="12" t="s">
        <v>889</v>
      </c>
      <c r="CQ51" s="12" t="s">
        <v>890</v>
      </c>
      <c r="CR51" s="12" t="s">
        <v>847</v>
      </c>
      <c r="CS51" s="12" t="s">
        <v>891</v>
      </c>
      <c r="CT51" s="12" t="s">
        <v>892</v>
      </c>
      <c r="CU51" s="12" t="s">
        <v>893</v>
      </c>
      <c r="CV51" s="12" t="s">
        <v>841</v>
      </c>
      <c r="CW51" s="12" t="s">
        <v>2185</v>
      </c>
      <c r="CX51" s="12" t="s">
        <v>894</v>
      </c>
      <c r="CY51" s="12" t="s">
        <v>895</v>
      </c>
      <c r="CZ51" s="12" t="s">
        <v>896</v>
      </c>
      <c r="DA51" s="12" t="s">
        <v>897</v>
      </c>
      <c r="DB51" s="12" t="s">
        <v>898</v>
      </c>
      <c r="DC51" s="12" t="s">
        <v>899</v>
      </c>
    </row>
    <row r="52">
      <c r="A52" s="12" t="s">
        <v>1810</v>
      </c>
      <c r="B52" s="12" t="s">
        <v>297</v>
      </c>
      <c r="C52" s="12" t="s">
        <v>95</v>
      </c>
      <c r="D52" s="12" t="s">
        <v>833</v>
      </c>
      <c r="E52" s="12" t="s">
        <v>834</v>
      </c>
      <c r="F52" s="12"/>
      <c r="G52" s="12" t="s">
        <v>281</v>
      </c>
      <c r="H52" s="12" t="s">
        <v>296</v>
      </c>
      <c r="I52" s="12"/>
      <c r="J52" s="43">
        <f t="shared" si="1"/>
        <v>0.009433882889</v>
      </c>
      <c r="K52" s="43">
        <f t="shared" si="2"/>
        <v>2.91060848</v>
      </c>
      <c r="L52" s="43">
        <f t="shared" si="3"/>
        <v>0.009403404514</v>
      </c>
      <c r="M52" s="43">
        <f t="shared" si="4"/>
        <v>0.4894075103</v>
      </c>
      <c r="N52" s="12" t="s">
        <v>2206</v>
      </c>
      <c r="O52" s="12" t="s">
        <v>2207</v>
      </c>
      <c r="P52" s="43">
        <f t="shared" si="5"/>
        <v>6.360149842</v>
      </c>
      <c r="Q52" s="43">
        <f t="shared" si="6"/>
        <v>4.903310842</v>
      </c>
      <c r="R52" s="12" t="s">
        <v>2208</v>
      </c>
      <c r="S52" s="12" t="s">
        <v>2209</v>
      </c>
      <c r="T52" s="43">
        <f t="shared" si="7"/>
        <v>64.82011661</v>
      </c>
      <c r="U52" s="43">
        <f t="shared" si="8"/>
        <v>0.4417875</v>
      </c>
      <c r="V52" s="12" t="s">
        <v>839</v>
      </c>
      <c r="W52" s="12" t="s">
        <v>2210</v>
      </c>
      <c r="X52" s="12" t="s">
        <v>841</v>
      </c>
      <c r="Y52" s="12" t="s">
        <v>841</v>
      </c>
      <c r="Z52" s="12" t="s">
        <v>841</v>
      </c>
      <c r="AA52" s="12" t="s">
        <v>2211</v>
      </c>
      <c r="AB52" s="12" t="s">
        <v>2212</v>
      </c>
      <c r="AC52" s="12" t="s">
        <v>2213</v>
      </c>
      <c r="AD52" s="12" t="s">
        <v>845</v>
      </c>
      <c r="AE52" s="12" t="s">
        <v>846</v>
      </c>
      <c r="AF52" s="43">
        <f t="shared" si="9"/>
        <v>8.60066</v>
      </c>
      <c r="AG52" s="12" t="s">
        <v>847</v>
      </c>
      <c r="AH52" s="12" t="s">
        <v>1776</v>
      </c>
      <c r="AI52" s="12" t="s">
        <v>2214</v>
      </c>
      <c r="AJ52" s="12" t="s">
        <v>2215</v>
      </c>
      <c r="AK52" s="12" t="s">
        <v>2216</v>
      </c>
      <c r="AL52" s="43">
        <f t="shared" si="10"/>
        <v>37.16</v>
      </c>
      <c r="AM52" s="12" t="s">
        <v>981</v>
      </c>
      <c r="AN52" s="12" t="s">
        <v>1159</v>
      </c>
      <c r="AO52" s="12" t="s">
        <v>2194</v>
      </c>
      <c r="AP52" s="12" t="s">
        <v>2217</v>
      </c>
      <c r="AQ52" s="12" t="s">
        <v>2218</v>
      </c>
      <c r="AR52" s="12" t="s">
        <v>2219</v>
      </c>
      <c r="AS52" s="12" t="s">
        <v>2067</v>
      </c>
      <c r="AT52" s="12" t="s">
        <v>95</v>
      </c>
      <c r="AU52" s="12" t="s">
        <v>2068</v>
      </c>
      <c r="AV52" s="12" t="s">
        <v>832</v>
      </c>
      <c r="AW52" s="12" t="s">
        <v>1164</v>
      </c>
      <c r="AX52" s="12" t="s">
        <v>919</v>
      </c>
      <c r="AY52" s="12" t="s">
        <v>861</v>
      </c>
      <c r="AZ52" s="12" t="s">
        <v>2220</v>
      </c>
      <c r="BA52" s="12" t="s">
        <v>2221</v>
      </c>
      <c r="BB52" s="12" t="s">
        <v>2222</v>
      </c>
      <c r="BC52" s="12" t="s">
        <v>866</v>
      </c>
      <c r="BD52" s="12" t="s">
        <v>867</v>
      </c>
      <c r="BE52" s="12" t="s">
        <v>868</v>
      </c>
      <c r="BF52" s="12" t="s">
        <v>869</v>
      </c>
      <c r="BG52" s="12" t="s">
        <v>870</v>
      </c>
      <c r="BH52" s="12" t="s">
        <v>841</v>
      </c>
      <c r="BI52" s="12" t="s">
        <v>871</v>
      </c>
      <c r="BJ52" s="12" t="s">
        <v>841</v>
      </c>
      <c r="BK52" s="12" t="s">
        <v>841</v>
      </c>
      <c r="BL52" s="12" t="s">
        <v>872</v>
      </c>
      <c r="BM52" s="12" t="s">
        <v>873</v>
      </c>
      <c r="BN52" s="12" t="s">
        <v>866</v>
      </c>
      <c r="BO52" s="12" t="s">
        <v>874</v>
      </c>
      <c r="BP52" s="12" t="s">
        <v>875</v>
      </c>
      <c r="BQ52" s="12" t="s">
        <v>876</v>
      </c>
      <c r="BR52" s="12" t="s">
        <v>869</v>
      </c>
      <c r="BS52" s="12" t="s">
        <v>869</v>
      </c>
      <c r="BT52" s="12" t="s">
        <v>877</v>
      </c>
      <c r="BU52" s="12" t="s">
        <v>877</v>
      </c>
      <c r="BV52" s="12" t="s">
        <v>877</v>
      </c>
      <c r="BW52" s="12" t="s">
        <v>841</v>
      </c>
      <c r="BX52" s="12" t="s">
        <v>878</v>
      </c>
      <c r="BY52" s="12" t="s">
        <v>841</v>
      </c>
      <c r="BZ52" s="12" t="s">
        <v>841</v>
      </c>
      <c r="CA52" s="12" t="s">
        <v>841</v>
      </c>
      <c r="CB52" s="12" t="s">
        <v>841</v>
      </c>
      <c r="CC52" s="12" t="s">
        <v>2223</v>
      </c>
      <c r="CD52" s="12" t="s">
        <v>2224</v>
      </c>
      <c r="CE52" s="12" t="s">
        <v>2225</v>
      </c>
      <c r="CF52" s="12" t="s">
        <v>2226</v>
      </c>
      <c r="CG52" s="12" t="s">
        <v>2227</v>
      </c>
      <c r="CH52" s="12" t="s">
        <v>2228</v>
      </c>
      <c r="CI52" s="12" t="s">
        <v>2229</v>
      </c>
      <c r="CJ52" s="12" t="s">
        <v>2230</v>
      </c>
      <c r="CK52" s="12" t="s">
        <v>2211</v>
      </c>
      <c r="CL52" s="12" t="s">
        <v>2231</v>
      </c>
      <c r="CM52" s="12" t="s">
        <v>888</v>
      </c>
      <c r="CN52" s="12" t="s">
        <v>841</v>
      </c>
      <c r="CO52" s="12" t="s">
        <v>847</v>
      </c>
      <c r="CP52" s="12" t="s">
        <v>889</v>
      </c>
      <c r="CQ52" s="12" t="s">
        <v>890</v>
      </c>
      <c r="CR52" s="12" t="s">
        <v>847</v>
      </c>
      <c r="CS52" s="12" t="s">
        <v>891</v>
      </c>
      <c r="CT52" s="12" t="s">
        <v>892</v>
      </c>
      <c r="CU52" s="12" t="s">
        <v>893</v>
      </c>
      <c r="CV52" s="12" t="s">
        <v>841</v>
      </c>
      <c r="CW52" s="12" t="s">
        <v>2210</v>
      </c>
      <c r="CX52" s="12" t="s">
        <v>894</v>
      </c>
      <c r="CY52" s="12" t="s">
        <v>895</v>
      </c>
      <c r="CZ52" s="12" t="s">
        <v>896</v>
      </c>
      <c r="DA52" s="12" t="s">
        <v>897</v>
      </c>
      <c r="DB52" s="12" t="s">
        <v>898</v>
      </c>
      <c r="DC52" s="12" t="s">
        <v>899</v>
      </c>
    </row>
    <row r="53">
      <c r="A53" s="12" t="s">
        <v>2232</v>
      </c>
      <c r="B53" s="12" t="s">
        <v>299</v>
      </c>
      <c r="C53" s="12" t="s">
        <v>95</v>
      </c>
      <c r="D53" s="12" t="s">
        <v>833</v>
      </c>
      <c r="E53" s="12" t="s">
        <v>834</v>
      </c>
      <c r="F53" s="12"/>
      <c r="G53" s="12" t="s">
        <v>281</v>
      </c>
      <c r="H53" s="12" t="s">
        <v>296</v>
      </c>
      <c r="I53" s="12"/>
      <c r="J53" s="43">
        <f t="shared" si="1"/>
        <v>0.006219431161</v>
      </c>
      <c r="K53" s="43">
        <f t="shared" si="2"/>
        <v>2.91060848</v>
      </c>
      <c r="L53" s="43">
        <f t="shared" si="3"/>
        <v>0.006206169725</v>
      </c>
      <c r="M53" s="43">
        <f t="shared" si="4"/>
        <v>0.3210080856</v>
      </c>
      <c r="N53" s="12" t="s">
        <v>2233</v>
      </c>
      <c r="O53" s="12" t="s">
        <v>2234</v>
      </c>
      <c r="P53" s="43">
        <f t="shared" si="5"/>
        <v>6.325556323</v>
      </c>
      <c r="Q53" s="43">
        <f t="shared" si="6"/>
        <v>4.873503323</v>
      </c>
      <c r="R53" s="12" t="s">
        <v>2235</v>
      </c>
      <c r="S53" s="12" t="s">
        <v>2236</v>
      </c>
      <c r="T53" s="43">
        <f t="shared" si="7"/>
        <v>64.47412418</v>
      </c>
      <c r="U53" s="43">
        <f t="shared" si="8"/>
        <v>0.4417875</v>
      </c>
      <c r="V53" s="12" t="s">
        <v>839</v>
      </c>
      <c r="W53" s="12" t="s">
        <v>2237</v>
      </c>
      <c r="X53" s="12" t="s">
        <v>841</v>
      </c>
      <c r="Y53" s="12" t="s">
        <v>841</v>
      </c>
      <c r="Z53" s="12" t="s">
        <v>841</v>
      </c>
      <c r="AA53" s="12" t="s">
        <v>2238</v>
      </c>
      <c r="AB53" s="12" t="s">
        <v>2239</v>
      </c>
      <c r="AC53" s="12" t="s">
        <v>2240</v>
      </c>
      <c r="AD53" s="12" t="s">
        <v>845</v>
      </c>
      <c r="AE53" s="12" t="s">
        <v>846</v>
      </c>
      <c r="AF53" s="43">
        <f t="shared" si="9"/>
        <v>9.1722528</v>
      </c>
      <c r="AG53" s="12" t="s">
        <v>847</v>
      </c>
      <c r="AH53" s="12" t="s">
        <v>2241</v>
      </c>
      <c r="AI53" s="12" t="s">
        <v>2242</v>
      </c>
      <c r="AJ53" s="12" t="s">
        <v>2243</v>
      </c>
      <c r="AK53" s="12" t="s">
        <v>2244</v>
      </c>
      <c r="AL53" s="43">
        <f t="shared" si="10"/>
        <v>37.06</v>
      </c>
      <c r="AM53" s="12" t="s">
        <v>913</v>
      </c>
      <c r="AN53" s="12" t="s">
        <v>1159</v>
      </c>
      <c r="AO53" s="12" t="s">
        <v>2245</v>
      </c>
      <c r="AP53" s="12" t="s">
        <v>2246</v>
      </c>
      <c r="AQ53" s="12" t="s">
        <v>2247</v>
      </c>
      <c r="AR53" s="12" t="s">
        <v>2248</v>
      </c>
      <c r="AS53" s="12" t="s">
        <v>2067</v>
      </c>
      <c r="AT53" s="12" t="s">
        <v>95</v>
      </c>
      <c r="AU53" s="12" t="s">
        <v>2068</v>
      </c>
      <c r="AV53" s="12" t="s">
        <v>832</v>
      </c>
      <c r="AW53" s="12" t="s">
        <v>1342</v>
      </c>
      <c r="AX53" s="12" t="s">
        <v>1226</v>
      </c>
      <c r="AY53" s="12" t="s">
        <v>2037</v>
      </c>
      <c r="AZ53" s="12" t="s">
        <v>2249</v>
      </c>
      <c r="BA53" s="12" t="s">
        <v>2250</v>
      </c>
      <c r="BB53" s="12" t="s">
        <v>2251</v>
      </c>
      <c r="BC53" s="12" t="s">
        <v>866</v>
      </c>
      <c r="BD53" s="12" t="s">
        <v>867</v>
      </c>
      <c r="BE53" s="12" t="s">
        <v>868</v>
      </c>
      <c r="BF53" s="12" t="s">
        <v>869</v>
      </c>
      <c r="BG53" s="12" t="s">
        <v>870</v>
      </c>
      <c r="BH53" s="12" t="s">
        <v>841</v>
      </c>
      <c r="BI53" s="12" t="s">
        <v>871</v>
      </c>
      <c r="BJ53" s="12" t="s">
        <v>841</v>
      </c>
      <c r="BK53" s="12" t="s">
        <v>841</v>
      </c>
      <c r="BL53" s="12" t="s">
        <v>872</v>
      </c>
      <c r="BM53" s="12" t="s">
        <v>873</v>
      </c>
      <c r="BN53" s="12" t="s">
        <v>866</v>
      </c>
      <c r="BO53" s="12" t="s">
        <v>874</v>
      </c>
      <c r="BP53" s="12" t="s">
        <v>875</v>
      </c>
      <c r="BQ53" s="12" t="s">
        <v>876</v>
      </c>
      <c r="BR53" s="12" t="s">
        <v>869</v>
      </c>
      <c r="BS53" s="12" t="s">
        <v>869</v>
      </c>
      <c r="BT53" s="12" t="s">
        <v>877</v>
      </c>
      <c r="BU53" s="12" t="s">
        <v>877</v>
      </c>
      <c r="BV53" s="12" t="s">
        <v>877</v>
      </c>
      <c r="BW53" s="12" t="s">
        <v>841</v>
      </c>
      <c r="BX53" s="12" t="s">
        <v>878</v>
      </c>
      <c r="BY53" s="12" t="s">
        <v>841</v>
      </c>
      <c r="BZ53" s="12" t="s">
        <v>841</v>
      </c>
      <c r="CA53" s="12" t="s">
        <v>841</v>
      </c>
      <c r="CB53" s="12" t="s">
        <v>841</v>
      </c>
      <c r="CC53" s="12" t="s">
        <v>2252</v>
      </c>
      <c r="CD53" s="12" t="s">
        <v>2253</v>
      </c>
      <c r="CE53" s="12" t="s">
        <v>2254</v>
      </c>
      <c r="CF53" s="12" t="s">
        <v>2255</v>
      </c>
      <c r="CG53" s="12" t="s">
        <v>2256</v>
      </c>
      <c r="CH53" s="12" t="s">
        <v>2257</v>
      </c>
      <c r="CI53" s="12" t="s">
        <v>2258</v>
      </c>
      <c r="CJ53" s="12" t="s">
        <v>2259</v>
      </c>
      <c r="CK53" s="12" t="s">
        <v>2238</v>
      </c>
      <c r="CL53" s="12" t="s">
        <v>1119</v>
      </c>
      <c r="CM53" s="12" t="s">
        <v>888</v>
      </c>
      <c r="CN53" s="12" t="s">
        <v>841</v>
      </c>
      <c r="CO53" s="12" t="s">
        <v>847</v>
      </c>
      <c r="CP53" s="12" t="s">
        <v>889</v>
      </c>
      <c r="CQ53" s="12" t="s">
        <v>890</v>
      </c>
      <c r="CR53" s="12" t="s">
        <v>847</v>
      </c>
      <c r="CS53" s="12" t="s">
        <v>891</v>
      </c>
      <c r="CT53" s="12" t="s">
        <v>892</v>
      </c>
      <c r="CU53" s="12" t="s">
        <v>893</v>
      </c>
      <c r="CV53" s="12" t="s">
        <v>841</v>
      </c>
      <c r="CW53" s="12" t="s">
        <v>2237</v>
      </c>
      <c r="CX53" s="12" t="s">
        <v>894</v>
      </c>
      <c r="CY53" s="12" t="s">
        <v>895</v>
      </c>
      <c r="CZ53" s="12" t="s">
        <v>896</v>
      </c>
      <c r="DA53" s="12" t="s">
        <v>897</v>
      </c>
      <c r="DB53" s="12" t="s">
        <v>898</v>
      </c>
      <c r="DC53" s="12" t="s">
        <v>899</v>
      </c>
    </row>
    <row r="54">
      <c r="A54" s="12" t="s">
        <v>1835</v>
      </c>
      <c r="B54" s="12" t="s">
        <v>300</v>
      </c>
      <c r="C54" s="12" t="s">
        <v>95</v>
      </c>
      <c r="D54" s="12" t="s">
        <v>833</v>
      </c>
      <c r="E54" s="12" t="s">
        <v>834</v>
      </c>
      <c r="F54" s="12"/>
      <c r="G54" s="12" t="s">
        <v>281</v>
      </c>
      <c r="H54" s="12" t="s">
        <v>296</v>
      </c>
      <c r="I54" s="12"/>
      <c r="J54" s="43">
        <f t="shared" si="1"/>
        <v>-0.008853592449</v>
      </c>
      <c r="K54" s="43">
        <f t="shared" si="2"/>
        <v>2.91060848</v>
      </c>
      <c r="L54" s="43">
        <f t="shared" si="3"/>
        <v>-0.008880605792</v>
      </c>
      <c r="M54" s="43">
        <f t="shared" si="4"/>
        <v>-0.4339961816</v>
      </c>
      <c r="N54" s="12" t="s">
        <v>2260</v>
      </c>
      <c r="O54" s="12" t="s">
        <v>2261</v>
      </c>
      <c r="P54" s="43">
        <f t="shared" si="5"/>
        <v>6.057962152</v>
      </c>
      <c r="Q54" s="43">
        <f t="shared" si="6"/>
        <v>4.611822152</v>
      </c>
      <c r="R54" s="12" t="s">
        <v>2262</v>
      </c>
      <c r="S54" s="12" t="s">
        <v>2263</v>
      </c>
      <c r="T54" s="43">
        <f t="shared" si="7"/>
        <v>61.74033991</v>
      </c>
      <c r="U54" s="43">
        <f t="shared" si="8"/>
        <v>0.4417875</v>
      </c>
      <c r="V54" s="12" t="s">
        <v>839</v>
      </c>
      <c r="W54" s="12" t="s">
        <v>2264</v>
      </c>
      <c r="X54" s="12" t="s">
        <v>841</v>
      </c>
      <c r="Y54" s="12" t="s">
        <v>841</v>
      </c>
      <c r="Z54" s="12" t="s">
        <v>841</v>
      </c>
      <c r="AA54" s="12" t="s">
        <v>2265</v>
      </c>
      <c r="AB54" s="12" t="s">
        <v>2266</v>
      </c>
      <c r="AC54" s="12" t="s">
        <v>2267</v>
      </c>
      <c r="AD54" s="12" t="s">
        <v>845</v>
      </c>
      <c r="AE54" s="12" t="s">
        <v>846</v>
      </c>
      <c r="AF54" s="43">
        <f t="shared" si="9"/>
        <v>6.808432</v>
      </c>
      <c r="AG54" s="12" t="s">
        <v>847</v>
      </c>
      <c r="AH54" s="12" t="s">
        <v>2268</v>
      </c>
      <c r="AI54" s="12" t="s">
        <v>2269</v>
      </c>
      <c r="AJ54" s="12" t="s">
        <v>2270</v>
      </c>
      <c r="AK54" s="12" t="s">
        <v>2271</v>
      </c>
      <c r="AL54" s="43">
        <f t="shared" si="10"/>
        <v>36.27</v>
      </c>
      <c r="AM54" s="12" t="s">
        <v>981</v>
      </c>
      <c r="AN54" s="12" t="s">
        <v>1159</v>
      </c>
      <c r="AO54" s="12" t="s">
        <v>2272</v>
      </c>
      <c r="AP54" s="12" t="s">
        <v>2273</v>
      </c>
      <c r="AQ54" s="12" t="s">
        <v>2274</v>
      </c>
      <c r="AR54" s="12" t="s">
        <v>2275</v>
      </c>
      <c r="AS54" s="12" t="s">
        <v>2067</v>
      </c>
      <c r="AT54" s="12" t="s">
        <v>95</v>
      </c>
      <c r="AU54" s="12" t="s">
        <v>2068</v>
      </c>
      <c r="AV54" s="12" t="s">
        <v>832</v>
      </c>
      <c r="AW54" s="12" t="s">
        <v>860</v>
      </c>
      <c r="AX54" s="12" t="s">
        <v>868</v>
      </c>
      <c r="AY54" s="12" t="s">
        <v>868</v>
      </c>
      <c r="AZ54" s="12" t="s">
        <v>2276</v>
      </c>
      <c r="BA54" s="12" t="s">
        <v>868</v>
      </c>
      <c r="BB54" s="12" t="s">
        <v>868</v>
      </c>
      <c r="BC54" s="12" t="s">
        <v>866</v>
      </c>
      <c r="BD54" s="12" t="s">
        <v>867</v>
      </c>
      <c r="BE54" s="12" t="s">
        <v>868</v>
      </c>
      <c r="BF54" s="12" t="s">
        <v>869</v>
      </c>
      <c r="BG54" s="12" t="s">
        <v>870</v>
      </c>
      <c r="BH54" s="12" t="s">
        <v>841</v>
      </c>
      <c r="BI54" s="12" t="s">
        <v>871</v>
      </c>
      <c r="BJ54" s="12" t="s">
        <v>841</v>
      </c>
      <c r="BK54" s="12" t="s">
        <v>841</v>
      </c>
      <c r="BL54" s="12" t="s">
        <v>872</v>
      </c>
      <c r="BM54" s="12" t="s">
        <v>873</v>
      </c>
      <c r="BN54" s="12" t="s">
        <v>866</v>
      </c>
      <c r="BO54" s="12" t="s">
        <v>874</v>
      </c>
      <c r="BP54" s="12" t="s">
        <v>875</v>
      </c>
      <c r="BQ54" s="12" t="s">
        <v>876</v>
      </c>
      <c r="BR54" s="12" t="s">
        <v>869</v>
      </c>
      <c r="BS54" s="12" t="s">
        <v>869</v>
      </c>
      <c r="BT54" s="12" t="s">
        <v>877</v>
      </c>
      <c r="BU54" s="12" t="s">
        <v>877</v>
      </c>
      <c r="BV54" s="12" t="s">
        <v>877</v>
      </c>
      <c r="BW54" s="12" t="s">
        <v>841</v>
      </c>
      <c r="BX54" s="12" t="s">
        <v>878</v>
      </c>
      <c r="BY54" s="12" t="s">
        <v>841</v>
      </c>
      <c r="BZ54" s="12" t="s">
        <v>841</v>
      </c>
      <c r="CA54" s="12" t="s">
        <v>841</v>
      </c>
      <c r="CB54" s="12" t="s">
        <v>841</v>
      </c>
      <c r="CC54" s="12" t="s">
        <v>2277</v>
      </c>
      <c r="CD54" s="12" t="s">
        <v>2278</v>
      </c>
      <c r="CE54" s="12" t="s">
        <v>2279</v>
      </c>
      <c r="CF54" s="12" t="s">
        <v>2280</v>
      </c>
      <c r="CG54" s="12" t="s">
        <v>2281</v>
      </c>
      <c r="CH54" s="12" t="s">
        <v>2282</v>
      </c>
      <c r="CI54" s="12" t="s">
        <v>2283</v>
      </c>
      <c r="CJ54" s="12" t="s">
        <v>2284</v>
      </c>
      <c r="CK54" s="12" t="s">
        <v>2265</v>
      </c>
      <c r="CL54" s="12" t="s">
        <v>1093</v>
      </c>
      <c r="CM54" s="12" t="s">
        <v>888</v>
      </c>
      <c r="CN54" s="12" t="s">
        <v>841</v>
      </c>
      <c r="CO54" s="12" t="s">
        <v>847</v>
      </c>
      <c r="CP54" s="12" t="s">
        <v>889</v>
      </c>
      <c r="CQ54" s="12" t="s">
        <v>890</v>
      </c>
      <c r="CR54" s="12" t="s">
        <v>847</v>
      </c>
      <c r="CS54" s="12" t="s">
        <v>891</v>
      </c>
      <c r="CT54" s="12" t="s">
        <v>892</v>
      </c>
      <c r="CU54" s="12" t="s">
        <v>893</v>
      </c>
      <c r="CV54" s="12" t="s">
        <v>841</v>
      </c>
      <c r="CW54" s="12" t="s">
        <v>2264</v>
      </c>
      <c r="CX54" s="12" t="s">
        <v>894</v>
      </c>
      <c r="CY54" s="12" t="s">
        <v>895</v>
      </c>
      <c r="CZ54" s="12" t="s">
        <v>896</v>
      </c>
      <c r="DA54" s="12" t="s">
        <v>897</v>
      </c>
      <c r="DB54" s="12" t="s">
        <v>898</v>
      </c>
      <c r="DC54" s="12" t="s">
        <v>899</v>
      </c>
    </row>
    <row r="55">
      <c r="A55" s="12" t="s">
        <v>2285</v>
      </c>
      <c r="B55" s="12" t="s">
        <v>301</v>
      </c>
      <c r="C55" s="12" t="s">
        <v>95</v>
      </c>
      <c r="D55" s="12" t="s">
        <v>833</v>
      </c>
      <c r="E55" s="12" t="s">
        <v>834</v>
      </c>
      <c r="F55" s="12"/>
      <c r="G55" s="12" t="s">
        <v>281</v>
      </c>
      <c r="H55" s="12" t="s">
        <v>296</v>
      </c>
      <c r="I55" s="12"/>
      <c r="J55" s="43">
        <f t="shared" si="1"/>
        <v>-0.007694248731</v>
      </c>
      <c r="K55" s="43">
        <f t="shared" si="2"/>
        <v>2.90822672</v>
      </c>
      <c r="L55" s="43">
        <f t="shared" si="3"/>
        <v>-0.007714659281</v>
      </c>
      <c r="M55" s="43">
        <f t="shared" si="4"/>
        <v>-0.3834025387</v>
      </c>
      <c r="N55" s="12" t="s">
        <v>2286</v>
      </c>
      <c r="O55" s="12" t="s">
        <v>2287</v>
      </c>
      <c r="P55" s="43">
        <f t="shared" si="5"/>
        <v>6.141559684</v>
      </c>
      <c r="Q55" s="43">
        <f t="shared" si="6"/>
        <v>4.687604684</v>
      </c>
      <c r="R55" s="12" t="s">
        <v>2288</v>
      </c>
      <c r="S55" s="12" t="s">
        <v>2289</v>
      </c>
      <c r="T55" s="43">
        <f t="shared" si="7"/>
        <v>62.59233269</v>
      </c>
      <c r="U55" s="43">
        <f t="shared" si="8"/>
        <v>0.4417875</v>
      </c>
      <c r="V55" s="12" t="s">
        <v>839</v>
      </c>
      <c r="W55" s="12" t="s">
        <v>2290</v>
      </c>
      <c r="X55" s="12" t="s">
        <v>841</v>
      </c>
      <c r="Y55" s="12" t="s">
        <v>841</v>
      </c>
      <c r="Z55" s="12" t="s">
        <v>841</v>
      </c>
      <c r="AA55" s="12" t="s">
        <v>2291</v>
      </c>
      <c r="AB55" s="12" t="s">
        <v>2292</v>
      </c>
      <c r="AC55" s="12" t="s">
        <v>2293</v>
      </c>
      <c r="AD55" s="12" t="s">
        <v>845</v>
      </c>
      <c r="AE55" s="12" t="s">
        <v>846</v>
      </c>
      <c r="AF55" s="43">
        <f t="shared" si="9"/>
        <v>9.9797208</v>
      </c>
      <c r="AG55" s="12" t="s">
        <v>847</v>
      </c>
      <c r="AH55" s="12" t="s">
        <v>2294</v>
      </c>
      <c r="AI55" s="12" t="s">
        <v>2295</v>
      </c>
      <c r="AJ55" s="12" t="s">
        <v>2296</v>
      </c>
      <c r="AK55" s="12" t="s">
        <v>2297</v>
      </c>
      <c r="AL55" s="43">
        <f t="shared" si="10"/>
        <v>36.52</v>
      </c>
      <c r="AM55" s="12" t="s">
        <v>981</v>
      </c>
      <c r="AN55" s="12" t="s">
        <v>853</v>
      </c>
      <c r="AO55" s="12" t="s">
        <v>2298</v>
      </c>
      <c r="AP55" s="12" t="s">
        <v>2299</v>
      </c>
      <c r="AQ55" s="12" t="s">
        <v>2300</v>
      </c>
      <c r="AR55" s="12" t="s">
        <v>2301</v>
      </c>
      <c r="AS55" s="12" t="s">
        <v>2067</v>
      </c>
      <c r="AT55" s="12" t="s">
        <v>95</v>
      </c>
      <c r="AU55" s="12" t="s">
        <v>2068</v>
      </c>
      <c r="AV55" s="12" t="s">
        <v>832</v>
      </c>
      <c r="AW55" s="12" t="s">
        <v>1226</v>
      </c>
      <c r="AX55" s="12" t="s">
        <v>1598</v>
      </c>
      <c r="AY55" s="12" t="s">
        <v>1014</v>
      </c>
      <c r="AZ55" s="12" t="s">
        <v>2302</v>
      </c>
      <c r="BA55" s="12" t="s">
        <v>2303</v>
      </c>
      <c r="BB55" s="12" t="s">
        <v>2304</v>
      </c>
      <c r="BC55" s="12" t="s">
        <v>866</v>
      </c>
      <c r="BD55" s="12" t="s">
        <v>867</v>
      </c>
      <c r="BE55" s="12" t="s">
        <v>868</v>
      </c>
      <c r="BF55" s="12" t="s">
        <v>869</v>
      </c>
      <c r="BG55" s="12" t="s">
        <v>870</v>
      </c>
      <c r="BH55" s="12" t="s">
        <v>841</v>
      </c>
      <c r="BI55" s="12" t="s">
        <v>871</v>
      </c>
      <c r="BJ55" s="12" t="s">
        <v>841</v>
      </c>
      <c r="BK55" s="12" t="s">
        <v>841</v>
      </c>
      <c r="BL55" s="12" t="s">
        <v>872</v>
      </c>
      <c r="BM55" s="12" t="s">
        <v>873</v>
      </c>
      <c r="BN55" s="12" t="s">
        <v>866</v>
      </c>
      <c r="BO55" s="12" t="s">
        <v>874</v>
      </c>
      <c r="BP55" s="12" t="s">
        <v>875</v>
      </c>
      <c r="BQ55" s="12" t="s">
        <v>876</v>
      </c>
      <c r="BR55" s="12" t="s">
        <v>869</v>
      </c>
      <c r="BS55" s="12" t="s">
        <v>869</v>
      </c>
      <c r="BT55" s="12" t="s">
        <v>877</v>
      </c>
      <c r="BU55" s="12" t="s">
        <v>877</v>
      </c>
      <c r="BV55" s="12" t="s">
        <v>877</v>
      </c>
      <c r="BW55" s="12" t="s">
        <v>841</v>
      </c>
      <c r="BX55" s="12" t="s">
        <v>878</v>
      </c>
      <c r="BY55" s="12" t="s">
        <v>841</v>
      </c>
      <c r="BZ55" s="12" t="s">
        <v>841</v>
      </c>
      <c r="CA55" s="12" t="s">
        <v>841</v>
      </c>
      <c r="CB55" s="12" t="s">
        <v>841</v>
      </c>
      <c r="CC55" s="12" t="s">
        <v>2305</v>
      </c>
      <c r="CD55" s="12" t="s">
        <v>2306</v>
      </c>
      <c r="CE55" s="12" t="s">
        <v>2307</v>
      </c>
      <c r="CF55" s="12" t="s">
        <v>2308</v>
      </c>
      <c r="CG55" s="12" t="s">
        <v>2309</v>
      </c>
      <c r="CH55" s="12" t="s">
        <v>2310</v>
      </c>
      <c r="CI55" s="12" t="s">
        <v>2311</v>
      </c>
      <c r="CJ55" s="12" t="s">
        <v>2312</v>
      </c>
      <c r="CK55" s="12" t="s">
        <v>2291</v>
      </c>
      <c r="CL55" s="12" t="s">
        <v>1609</v>
      </c>
      <c r="CM55" s="12" t="s">
        <v>888</v>
      </c>
      <c r="CN55" s="12" t="s">
        <v>841</v>
      </c>
      <c r="CO55" s="12" t="s">
        <v>847</v>
      </c>
      <c r="CP55" s="12" t="s">
        <v>889</v>
      </c>
      <c r="CQ55" s="12" t="s">
        <v>890</v>
      </c>
      <c r="CR55" s="12" t="s">
        <v>847</v>
      </c>
      <c r="CS55" s="12" t="s">
        <v>891</v>
      </c>
      <c r="CT55" s="12" t="s">
        <v>892</v>
      </c>
      <c r="CU55" s="12" t="s">
        <v>893</v>
      </c>
      <c r="CV55" s="12" t="s">
        <v>841</v>
      </c>
      <c r="CW55" s="12" t="s">
        <v>2290</v>
      </c>
      <c r="CX55" s="12" t="s">
        <v>894</v>
      </c>
      <c r="CY55" s="12" t="s">
        <v>895</v>
      </c>
      <c r="CZ55" s="12" t="s">
        <v>896</v>
      </c>
      <c r="DA55" s="12" t="s">
        <v>897</v>
      </c>
      <c r="DB55" s="12" t="s">
        <v>898</v>
      </c>
      <c r="DC55" s="12" t="s">
        <v>899</v>
      </c>
    </row>
    <row r="56">
      <c r="A56" s="12" t="s">
        <v>832</v>
      </c>
      <c r="B56" s="12" t="s">
        <v>304</v>
      </c>
      <c r="C56" s="12" t="s">
        <v>95</v>
      </c>
      <c r="D56" s="12" t="s">
        <v>833</v>
      </c>
      <c r="E56" s="12" t="s">
        <v>834</v>
      </c>
      <c r="F56" s="12"/>
      <c r="G56" s="12" t="s">
        <v>281</v>
      </c>
      <c r="H56" s="12" t="s">
        <v>303</v>
      </c>
      <c r="I56" s="12"/>
      <c r="J56" s="43">
        <f t="shared" si="1"/>
        <v>0.03477818521</v>
      </c>
      <c r="K56" s="43">
        <f t="shared" si="2"/>
        <v>2.91060848</v>
      </c>
      <c r="L56" s="43">
        <f t="shared" si="3"/>
        <v>0.0343675355</v>
      </c>
      <c r="M56" s="43">
        <f t="shared" si="4"/>
        <v>1.218004387</v>
      </c>
      <c r="N56" s="12" t="s">
        <v>2313</v>
      </c>
      <c r="O56" s="12" t="s">
        <v>2314</v>
      </c>
      <c r="P56" s="43">
        <f t="shared" si="5"/>
        <v>4.934099235</v>
      </c>
      <c r="Q56" s="43">
        <f t="shared" si="6"/>
        <v>3.362069235</v>
      </c>
      <c r="R56" s="12" t="s">
        <v>2315</v>
      </c>
      <c r="S56" s="12" t="s">
        <v>2316</v>
      </c>
      <c r="T56" s="43">
        <f t="shared" si="7"/>
        <v>50.28637622</v>
      </c>
      <c r="U56" s="43">
        <f t="shared" si="8"/>
        <v>0.4417875</v>
      </c>
      <c r="V56" s="12" t="s">
        <v>839</v>
      </c>
      <c r="W56" s="12" t="s">
        <v>2317</v>
      </c>
      <c r="X56" s="12" t="s">
        <v>841</v>
      </c>
      <c r="Y56" s="12" t="s">
        <v>841</v>
      </c>
      <c r="Z56" s="12" t="s">
        <v>841</v>
      </c>
      <c r="AA56" s="12" t="s">
        <v>2318</v>
      </c>
      <c r="AB56" s="12" t="s">
        <v>2319</v>
      </c>
      <c r="AC56" s="12" t="s">
        <v>2320</v>
      </c>
      <c r="AD56" s="12" t="s">
        <v>845</v>
      </c>
      <c r="AE56" s="12" t="s">
        <v>846</v>
      </c>
      <c r="AF56" s="43">
        <f t="shared" si="9"/>
        <v>35.307376</v>
      </c>
      <c r="AG56" s="12" t="s">
        <v>847</v>
      </c>
      <c r="AH56" s="12" t="s">
        <v>2321</v>
      </c>
      <c r="AI56" s="12" t="s">
        <v>2322</v>
      </c>
      <c r="AJ56" s="12" t="s">
        <v>2323</v>
      </c>
      <c r="AK56" s="12" t="s">
        <v>2324</v>
      </c>
      <c r="AL56" s="43">
        <f t="shared" si="10"/>
        <v>32.58</v>
      </c>
      <c r="AM56" s="12" t="s">
        <v>981</v>
      </c>
      <c r="AN56" s="12" t="s">
        <v>1159</v>
      </c>
      <c r="AO56" s="12" t="s">
        <v>2325</v>
      </c>
      <c r="AP56" s="12" t="s">
        <v>2326</v>
      </c>
      <c r="AQ56" s="12" t="s">
        <v>2327</v>
      </c>
      <c r="AR56" s="12" t="s">
        <v>2328</v>
      </c>
      <c r="AS56" s="12" t="s">
        <v>2329</v>
      </c>
      <c r="AT56" s="12" t="s">
        <v>95</v>
      </c>
      <c r="AU56" s="12" t="s">
        <v>2330</v>
      </c>
      <c r="AV56" s="12" t="s">
        <v>832</v>
      </c>
      <c r="AW56" s="12" t="s">
        <v>2331</v>
      </c>
      <c r="AX56" s="12" t="s">
        <v>2331</v>
      </c>
      <c r="AY56" s="12" t="s">
        <v>920</v>
      </c>
      <c r="AZ56" s="12" t="s">
        <v>2332</v>
      </c>
      <c r="BA56" s="12" t="s">
        <v>2333</v>
      </c>
      <c r="BB56" s="12" t="s">
        <v>2334</v>
      </c>
      <c r="BC56" s="12" t="s">
        <v>866</v>
      </c>
      <c r="BD56" s="12" t="s">
        <v>867</v>
      </c>
      <c r="BE56" s="12" t="s">
        <v>868</v>
      </c>
      <c r="BF56" s="12" t="s">
        <v>869</v>
      </c>
      <c r="BG56" s="12" t="s">
        <v>870</v>
      </c>
      <c r="BH56" s="12" t="s">
        <v>841</v>
      </c>
      <c r="BI56" s="12" t="s">
        <v>871</v>
      </c>
      <c r="BJ56" s="12" t="s">
        <v>841</v>
      </c>
      <c r="BK56" s="12" t="s">
        <v>841</v>
      </c>
      <c r="BL56" s="12" t="s">
        <v>872</v>
      </c>
      <c r="BM56" s="12" t="s">
        <v>873</v>
      </c>
      <c r="BN56" s="12" t="s">
        <v>866</v>
      </c>
      <c r="BO56" s="12" t="s">
        <v>874</v>
      </c>
      <c r="BP56" s="12" t="s">
        <v>875</v>
      </c>
      <c r="BQ56" s="12" t="s">
        <v>876</v>
      </c>
      <c r="BR56" s="12" t="s">
        <v>869</v>
      </c>
      <c r="BS56" s="12" t="s">
        <v>869</v>
      </c>
      <c r="BT56" s="12" t="s">
        <v>877</v>
      </c>
      <c r="BU56" s="12" t="s">
        <v>877</v>
      </c>
      <c r="BV56" s="12" t="s">
        <v>877</v>
      </c>
      <c r="BW56" s="12" t="s">
        <v>841</v>
      </c>
      <c r="BX56" s="12" t="s">
        <v>878</v>
      </c>
      <c r="BY56" s="12" t="s">
        <v>841</v>
      </c>
      <c r="BZ56" s="12" t="s">
        <v>841</v>
      </c>
      <c r="CA56" s="12" t="s">
        <v>841</v>
      </c>
      <c r="CB56" s="12" t="s">
        <v>841</v>
      </c>
      <c r="CC56" s="12" t="s">
        <v>2335</v>
      </c>
      <c r="CD56" s="12" t="s">
        <v>2336</v>
      </c>
      <c r="CE56" s="12" t="s">
        <v>2337</v>
      </c>
      <c r="CF56" s="12" t="s">
        <v>2338</v>
      </c>
      <c r="CG56" s="12" t="s">
        <v>2339</v>
      </c>
      <c r="CH56" s="12" t="s">
        <v>2340</v>
      </c>
      <c r="CI56" s="12" t="s">
        <v>2341</v>
      </c>
      <c r="CJ56" s="12" t="s">
        <v>2342</v>
      </c>
      <c r="CK56" s="12" t="s">
        <v>2318</v>
      </c>
      <c r="CL56" s="12" t="s">
        <v>2343</v>
      </c>
      <c r="CM56" s="12" t="s">
        <v>888</v>
      </c>
      <c r="CN56" s="12" t="s">
        <v>841</v>
      </c>
      <c r="CO56" s="12" t="s">
        <v>847</v>
      </c>
      <c r="CP56" s="12" t="s">
        <v>889</v>
      </c>
      <c r="CQ56" s="12" t="s">
        <v>890</v>
      </c>
      <c r="CR56" s="12" t="s">
        <v>847</v>
      </c>
      <c r="CS56" s="12" t="s">
        <v>891</v>
      </c>
      <c r="CT56" s="12" t="s">
        <v>892</v>
      </c>
      <c r="CU56" s="12" t="s">
        <v>893</v>
      </c>
      <c r="CV56" s="12" t="s">
        <v>841</v>
      </c>
      <c r="CW56" s="12" t="s">
        <v>2317</v>
      </c>
      <c r="CX56" s="12" t="s">
        <v>894</v>
      </c>
      <c r="CY56" s="12" t="s">
        <v>895</v>
      </c>
      <c r="CZ56" s="12" t="s">
        <v>896</v>
      </c>
      <c r="DA56" s="12" t="s">
        <v>897</v>
      </c>
      <c r="DB56" s="12" t="s">
        <v>898</v>
      </c>
      <c r="DC56" s="12" t="s">
        <v>899</v>
      </c>
    </row>
    <row r="57">
      <c r="A57" s="12" t="s">
        <v>900</v>
      </c>
      <c r="B57" s="12" t="s">
        <v>305</v>
      </c>
      <c r="C57" s="12" t="s">
        <v>95</v>
      </c>
      <c r="D57" s="12" t="s">
        <v>833</v>
      </c>
      <c r="E57" s="12" t="s">
        <v>834</v>
      </c>
      <c r="F57" s="12"/>
      <c r="G57" s="12" t="s">
        <v>281</v>
      </c>
      <c r="H57" s="12" t="s">
        <v>303</v>
      </c>
      <c r="I57" s="12"/>
      <c r="J57" s="43">
        <f t="shared" si="1"/>
        <v>0.009976720077</v>
      </c>
      <c r="K57" s="43">
        <f t="shared" si="2"/>
        <v>2.91139968</v>
      </c>
      <c r="L57" s="43">
        <f t="shared" si="3"/>
        <v>0.009942648828</v>
      </c>
      <c r="M57" s="43">
        <f t="shared" si="4"/>
        <v>0.5780226065</v>
      </c>
      <c r="N57" s="12" t="s">
        <v>2344</v>
      </c>
      <c r="O57" s="12" t="s">
        <v>2345</v>
      </c>
      <c r="P57" s="43">
        <f t="shared" si="5"/>
        <v>7.011535432</v>
      </c>
      <c r="Q57" s="43">
        <f t="shared" si="6"/>
        <v>5.455172432</v>
      </c>
      <c r="R57" s="12" t="s">
        <v>2346</v>
      </c>
      <c r="S57" s="12" t="s">
        <v>2347</v>
      </c>
      <c r="T57" s="43">
        <f t="shared" si="7"/>
        <v>71.45877937</v>
      </c>
      <c r="U57" s="43">
        <f t="shared" si="8"/>
        <v>0.4417875</v>
      </c>
      <c r="V57" s="12" t="s">
        <v>839</v>
      </c>
      <c r="W57" s="12" t="s">
        <v>2348</v>
      </c>
      <c r="X57" s="12" t="s">
        <v>841</v>
      </c>
      <c r="Y57" s="12" t="s">
        <v>841</v>
      </c>
      <c r="Z57" s="12" t="s">
        <v>841</v>
      </c>
      <c r="AA57" s="12" t="s">
        <v>2349</v>
      </c>
      <c r="AB57" s="12" t="s">
        <v>2350</v>
      </c>
      <c r="AC57" s="12" t="s">
        <v>2351</v>
      </c>
      <c r="AD57" s="12" t="s">
        <v>845</v>
      </c>
      <c r="AE57" s="12" t="s">
        <v>846</v>
      </c>
      <c r="AF57" s="43">
        <f t="shared" si="9"/>
        <v>121.5116292</v>
      </c>
      <c r="AG57" s="12" t="s">
        <v>847</v>
      </c>
      <c r="AH57" s="12" t="s">
        <v>2352</v>
      </c>
      <c r="AI57" s="12" t="s">
        <v>2353</v>
      </c>
      <c r="AJ57" s="12" t="s">
        <v>2354</v>
      </c>
      <c r="AK57" s="12" t="s">
        <v>2355</v>
      </c>
      <c r="AL57" s="43">
        <f t="shared" si="10"/>
        <v>38.96</v>
      </c>
      <c r="AM57" s="12" t="s">
        <v>981</v>
      </c>
      <c r="AN57" s="12" t="s">
        <v>1337</v>
      </c>
      <c r="AO57" s="12" t="s">
        <v>2356</v>
      </c>
      <c r="AP57" s="12" t="s">
        <v>2357</v>
      </c>
      <c r="AQ57" s="12" t="s">
        <v>2358</v>
      </c>
      <c r="AR57" s="12" t="s">
        <v>2359</v>
      </c>
      <c r="AS57" s="12" t="s">
        <v>2329</v>
      </c>
      <c r="AT57" s="12" t="s">
        <v>95</v>
      </c>
      <c r="AU57" s="12" t="s">
        <v>2330</v>
      </c>
      <c r="AV57" s="12" t="s">
        <v>832</v>
      </c>
      <c r="AW57" s="12" t="s">
        <v>1342</v>
      </c>
      <c r="AX57" s="12" t="s">
        <v>1542</v>
      </c>
      <c r="AY57" s="12" t="s">
        <v>919</v>
      </c>
      <c r="AZ57" s="12" t="s">
        <v>2360</v>
      </c>
      <c r="BA57" s="12" t="s">
        <v>2361</v>
      </c>
      <c r="BB57" s="12" t="s">
        <v>2362</v>
      </c>
      <c r="BC57" s="12" t="s">
        <v>866</v>
      </c>
      <c r="BD57" s="12" t="s">
        <v>867</v>
      </c>
      <c r="BE57" s="12" t="s">
        <v>868</v>
      </c>
      <c r="BF57" s="12" t="s">
        <v>869</v>
      </c>
      <c r="BG57" s="12" t="s">
        <v>870</v>
      </c>
      <c r="BH57" s="12" t="s">
        <v>841</v>
      </c>
      <c r="BI57" s="12" t="s">
        <v>871</v>
      </c>
      <c r="BJ57" s="12" t="s">
        <v>841</v>
      </c>
      <c r="BK57" s="12" t="s">
        <v>841</v>
      </c>
      <c r="BL57" s="12" t="s">
        <v>872</v>
      </c>
      <c r="BM57" s="12" t="s">
        <v>873</v>
      </c>
      <c r="BN57" s="12" t="s">
        <v>866</v>
      </c>
      <c r="BO57" s="12" t="s">
        <v>874</v>
      </c>
      <c r="BP57" s="12" t="s">
        <v>875</v>
      </c>
      <c r="BQ57" s="12" t="s">
        <v>876</v>
      </c>
      <c r="BR57" s="12" t="s">
        <v>869</v>
      </c>
      <c r="BS57" s="12" t="s">
        <v>869</v>
      </c>
      <c r="BT57" s="12" t="s">
        <v>877</v>
      </c>
      <c r="BU57" s="12" t="s">
        <v>877</v>
      </c>
      <c r="BV57" s="12" t="s">
        <v>877</v>
      </c>
      <c r="BW57" s="12" t="s">
        <v>841</v>
      </c>
      <c r="BX57" s="12" t="s">
        <v>878</v>
      </c>
      <c r="BY57" s="12" t="s">
        <v>841</v>
      </c>
      <c r="BZ57" s="12" t="s">
        <v>841</v>
      </c>
      <c r="CA57" s="12" t="s">
        <v>841</v>
      </c>
      <c r="CB57" s="12" t="s">
        <v>841</v>
      </c>
      <c r="CC57" s="12" t="s">
        <v>2363</v>
      </c>
      <c r="CD57" s="12" t="s">
        <v>2364</v>
      </c>
      <c r="CE57" s="12" t="s">
        <v>2365</v>
      </c>
      <c r="CF57" s="12" t="s">
        <v>2366</v>
      </c>
      <c r="CG57" s="12" t="s">
        <v>2367</v>
      </c>
      <c r="CH57" s="12" t="s">
        <v>2368</v>
      </c>
      <c r="CI57" s="12" t="s">
        <v>2369</v>
      </c>
      <c r="CJ57" s="12" t="s">
        <v>2370</v>
      </c>
      <c r="CK57" s="12" t="s">
        <v>2349</v>
      </c>
      <c r="CL57" s="12" t="s">
        <v>1093</v>
      </c>
      <c r="CM57" s="12" t="s">
        <v>888</v>
      </c>
      <c r="CN57" s="12" t="s">
        <v>841</v>
      </c>
      <c r="CO57" s="12" t="s">
        <v>847</v>
      </c>
      <c r="CP57" s="12" t="s">
        <v>889</v>
      </c>
      <c r="CQ57" s="12" t="s">
        <v>890</v>
      </c>
      <c r="CR57" s="12" t="s">
        <v>847</v>
      </c>
      <c r="CS57" s="12" t="s">
        <v>891</v>
      </c>
      <c r="CT57" s="12" t="s">
        <v>892</v>
      </c>
      <c r="CU57" s="12" t="s">
        <v>893</v>
      </c>
      <c r="CV57" s="12" t="s">
        <v>841</v>
      </c>
      <c r="CW57" s="12" t="s">
        <v>2348</v>
      </c>
      <c r="CX57" s="12" t="s">
        <v>894</v>
      </c>
      <c r="CY57" s="12" t="s">
        <v>895</v>
      </c>
      <c r="CZ57" s="12" t="s">
        <v>896</v>
      </c>
      <c r="DA57" s="12" t="s">
        <v>897</v>
      </c>
      <c r="DB57" s="12" t="s">
        <v>898</v>
      </c>
      <c r="DC57" s="12" t="s">
        <v>899</v>
      </c>
    </row>
    <row r="58">
      <c r="A58" s="12" t="s">
        <v>934</v>
      </c>
      <c r="B58" s="12" t="s">
        <v>306</v>
      </c>
      <c r="C58" s="12" t="s">
        <v>95</v>
      </c>
      <c r="D58" s="12" t="s">
        <v>833</v>
      </c>
      <c r="E58" s="12" t="s">
        <v>834</v>
      </c>
      <c r="F58" s="12"/>
      <c r="G58" s="12" t="s">
        <v>281</v>
      </c>
      <c r="H58" s="12" t="s">
        <v>303</v>
      </c>
      <c r="I58" s="12"/>
      <c r="J58" s="43">
        <f t="shared" si="1"/>
        <v>-0.004537870613</v>
      </c>
      <c r="K58" s="43">
        <f t="shared" si="2"/>
        <v>2.91060848</v>
      </c>
      <c r="L58" s="43">
        <f t="shared" si="3"/>
        <v>-0.004544956562</v>
      </c>
      <c r="M58" s="43">
        <f t="shared" si="4"/>
        <v>-0.2777490022</v>
      </c>
      <c r="N58" s="12" t="s">
        <v>2371</v>
      </c>
      <c r="O58" s="12" t="s">
        <v>2372</v>
      </c>
      <c r="P58" s="43">
        <f t="shared" si="5"/>
        <v>7.241151526</v>
      </c>
      <c r="Q58" s="43">
        <f t="shared" si="6"/>
        <v>5.729360526</v>
      </c>
      <c r="R58" s="12" t="s">
        <v>2373</v>
      </c>
      <c r="S58" s="12" t="s">
        <v>2374</v>
      </c>
      <c r="T58" s="43">
        <f t="shared" si="7"/>
        <v>73.79141472</v>
      </c>
      <c r="U58" s="43">
        <f t="shared" si="8"/>
        <v>0.4417875</v>
      </c>
      <c r="V58" s="12" t="s">
        <v>839</v>
      </c>
      <c r="W58" s="12" t="s">
        <v>2375</v>
      </c>
      <c r="X58" s="12" t="s">
        <v>841</v>
      </c>
      <c r="Y58" s="12" t="s">
        <v>841</v>
      </c>
      <c r="Z58" s="12" t="s">
        <v>841</v>
      </c>
      <c r="AA58" s="12" t="s">
        <v>2376</v>
      </c>
      <c r="AB58" s="12" t="s">
        <v>2377</v>
      </c>
      <c r="AC58" s="12" t="s">
        <v>2378</v>
      </c>
      <c r="AD58" s="12" t="s">
        <v>845</v>
      </c>
      <c r="AE58" s="12" t="s">
        <v>846</v>
      </c>
      <c r="AF58" s="43">
        <f t="shared" si="9"/>
        <v>98.5385972</v>
      </c>
      <c r="AG58" s="12" t="s">
        <v>847</v>
      </c>
      <c r="AH58" s="12" t="s">
        <v>2379</v>
      </c>
      <c r="AI58" s="12" t="s">
        <v>2380</v>
      </c>
      <c r="AJ58" s="12" t="s">
        <v>2381</v>
      </c>
      <c r="AK58" s="12" t="s">
        <v>2382</v>
      </c>
      <c r="AL58" s="43">
        <f t="shared" si="10"/>
        <v>39.56</v>
      </c>
      <c r="AM58" s="12" t="s">
        <v>1042</v>
      </c>
      <c r="AN58" s="12" t="s">
        <v>1159</v>
      </c>
      <c r="AO58" s="12" t="s">
        <v>2383</v>
      </c>
      <c r="AP58" s="12" t="s">
        <v>2384</v>
      </c>
      <c r="AQ58" s="12" t="s">
        <v>2385</v>
      </c>
      <c r="AR58" s="12" t="s">
        <v>2386</v>
      </c>
      <c r="AS58" s="12" t="s">
        <v>2329</v>
      </c>
      <c r="AT58" s="12" t="s">
        <v>95</v>
      </c>
      <c r="AU58" s="12" t="s">
        <v>2330</v>
      </c>
      <c r="AV58" s="12" t="s">
        <v>832</v>
      </c>
      <c r="AW58" s="12" t="s">
        <v>1164</v>
      </c>
      <c r="AX58" s="12" t="s">
        <v>2387</v>
      </c>
      <c r="AY58" s="12" t="s">
        <v>1081</v>
      </c>
      <c r="AZ58" s="12" t="s">
        <v>2388</v>
      </c>
      <c r="BA58" s="12" t="s">
        <v>2389</v>
      </c>
      <c r="BB58" s="12" t="s">
        <v>2390</v>
      </c>
      <c r="BC58" s="12" t="s">
        <v>866</v>
      </c>
      <c r="BD58" s="12" t="s">
        <v>867</v>
      </c>
      <c r="BE58" s="12" t="s">
        <v>868</v>
      </c>
      <c r="BF58" s="12" t="s">
        <v>869</v>
      </c>
      <c r="BG58" s="12" t="s">
        <v>870</v>
      </c>
      <c r="BH58" s="12" t="s">
        <v>841</v>
      </c>
      <c r="BI58" s="12" t="s">
        <v>871</v>
      </c>
      <c r="BJ58" s="12" t="s">
        <v>841</v>
      </c>
      <c r="BK58" s="12" t="s">
        <v>841</v>
      </c>
      <c r="BL58" s="12" t="s">
        <v>872</v>
      </c>
      <c r="BM58" s="12" t="s">
        <v>873</v>
      </c>
      <c r="BN58" s="12" t="s">
        <v>866</v>
      </c>
      <c r="BO58" s="12" t="s">
        <v>874</v>
      </c>
      <c r="BP58" s="12" t="s">
        <v>875</v>
      </c>
      <c r="BQ58" s="12" t="s">
        <v>876</v>
      </c>
      <c r="BR58" s="12" t="s">
        <v>869</v>
      </c>
      <c r="BS58" s="12" t="s">
        <v>869</v>
      </c>
      <c r="BT58" s="12" t="s">
        <v>877</v>
      </c>
      <c r="BU58" s="12" t="s">
        <v>877</v>
      </c>
      <c r="BV58" s="12" t="s">
        <v>877</v>
      </c>
      <c r="BW58" s="12" t="s">
        <v>841</v>
      </c>
      <c r="BX58" s="12" t="s">
        <v>878</v>
      </c>
      <c r="BY58" s="12" t="s">
        <v>841</v>
      </c>
      <c r="BZ58" s="12" t="s">
        <v>841</v>
      </c>
      <c r="CA58" s="12" t="s">
        <v>841</v>
      </c>
      <c r="CB58" s="12" t="s">
        <v>841</v>
      </c>
      <c r="CC58" s="12" t="s">
        <v>2391</v>
      </c>
      <c r="CD58" s="12" t="s">
        <v>2392</v>
      </c>
      <c r="CE58" s="12" t="s">
        <v>2393</v>
      </c>
      <c r="CF58" s="12" t="s">
        <v>2394</v>
      </c>
      <c r="CG58" s="12" t="s">
        <v>2395</v>
      </c>
      <c r="CH58" s="12" t="s">
        <v>2396</v>
      </c>
      <c r="CI58" s="12" t="s">
        <v>2397</v>
      </c>
      <c r="CJ58" s="12" t="s">
        <v>2398</v>
      </c>
      <c r="CK58" s="12" t="s">
        <v>2376</v>
      </c>
      <c r="CL58" s="12" t="s">
        <v>1119</v>
      </c>
      <c r="CM58" s="12" t="s">
        <v>888</v>
      </c>
      <c r="CN58" s="12" t="s">
        <v>841</v>
      </c>
      <c r="CO58" s="12" t="s">
        <v>847</v>
      </c>
      <c r="CP58" s="12" t="s">
        <v>889</v>
      </c>
      <c r="CQ58" s="12" t="s">
        <v>890</v>
      </c>
      <c r="CR58" s="12" t="s">
        <v>847</v>
      </c>
      <c r="CS58" s="12" t="s">
        <v>891</v>
      </c>
      <c r="CT58" s="12" t="s">
        <v>892</v>
      </c>
      <c r="CU58" s="12" t="s">
        <v>893</v>
      </c>
      <c r="CV58" s="12" t="s">
        <v>841</v>
      </c>
      <c r="CW58" s="12" t="s">
        <v>2375</v>
      </c>
      <c r="CX58" s="12" t="s">
        <v>894</v>
      </c>
      <c r="CY58" s="12" t="s">
        <v>895</v>
      </c>
      <c r="CZ58" s="12" t="s">
        <v>896</v>
      </c>
      <c r="DA58" s="12" t="s">
        <v>897</v>
      </c>
      <c r="DB58" s="12" t="s">
        <v>898</v>
      </c>
      <c r="DC58" s="12" t="s">
        <v>899</v>
      </c>
    </row>
    <row r="59">
      <c r="A59" s="12" t="s">
        <v>968</v>
      </c>
      <c r="B59" s="12" t="s">
        <v>308</v>
      </c>
      <c r="C59" s="12" t="s">
        <v>95</v>
      </c>
      <c r="D59" s="12" t="s">
        <v>833</v>
      </c>
      <c r="E59" s="12" t="s">
        <v>834</v>
      </c>
      <c r="F59" s="12"/>
      <c r="G59" s="12" t="s">
        <v>281</v>
      </c>
      <c r="H59" s="12" t="s">
        <v>307</v>
      </c>
      <c r="I59" s="12"/>
      <c r="J59" s="43">
        <f t="shared" si="1"/>
        <v>-0.05956267979</v>
      </c>
      <c r="K59" s="43">
        <f t="shared" si="2"/>
        <v>2.90981592</v>
      </c>
      <c r="L59" s="43">
        <f t="shared" si="3"/>
        <v>-0.06080738071</v>
      </c>
      <c r="M59" s="43">
        <f t="shared" si="4"/>
        <v>-3.133109037</v>
      </c>
      <c r="N59" s="12" t="s">
        <v>2399</v>
      </c>
      <c r="O59" s="12" t="s">
        <v>2400</v>
      </c>
      <c r="P59" s="43">
        <f t="shared" si="5"/>
        <v>6.335917185</v>
      </c>
      <c r="Q59" s="43">
        <f t="shared" si="6"/>
        <v>4.855870185</v>
      </c>
      <c r="R59" s="12" t="s">
        <v>2401</v>
      </c>
      <c r="S59" s="12" t="s">
        <v>2402</v>
      </c>
      <c r="T59" s="43">
        <f t="shared" si="7"/>
        <v>64.55340993</v>
      </c>
      <c r="U59" s="43">
        <f t="shared" si="8"/>
        <v>0.4417875</v>
      </c>
      <c r="V59" s="12" t="s">
        <v>839</v>
      </c>
      <c r="W59" s="12" t="s">
        <v>2403</v>
      </c>
      <c r="X59" s="12" t="s">
        <v>841</v>
      </c>
      <c r="Y59" s="12" t="s">
        <v>841</v>
      </c>
      <c r="Z59" s="12" t="s">
        <v>841</v>
      </c>
      <c r="AA59" s="12" t="s">
        <v>2404</v>
      </c>
      <c r="AB59" s="12" t="s">
        <v>2405</v>
      </c>
      <c r="AC59" s="12" t="s">
        <v>2406</v>
      </c>
      <c r="AD59" s="12" t="s">
        <v>845</v>
      </c>
      <c r="AE59" s="12" t="s">
        <v>846</v>
      </c>
      <c r="AF59" s="43">
        <f t="shared" si="9"/>
        <v>26.0963976</v>
      </c>
      <c r="AG59" s="12" t="s">
        <v>847</v>
      </c>
      <c r="AH59" s="12" t="s">
        <v>2407</v>
      </c>
      <c r="AI59" s="12" t="s">
        <v>2408</v>
      </c>
      <c r="AJ59" s="12" t="s">
        <v>2409</v>
      </c>
      <c r="AK59" s="12" t="s">
        <v>1806</v>
      </c>
      <c r="AL59" s="43">
        <f t="shared" si="10"/>
        <v>37.09</v>
      </c>
      <c r="AM59" s="12" t="s">
        <v>2410</v>
      </c>
      <c r="AN59" s="12" t="s">
        <v>914</v>
      </c>
      <c r="AO59" s="12" t="s">
        <v>2411</v>
      </c>
      <c r="AP59" s="12" t="s">
        <v>2412</v>
      </c>
      <c r="AQ59" s="12" t="s">
        <v>2413</v>
      </c>
      <c r="AR59" s="12" t="s">
        <v>2386</v>
      </c>
      <c r="AS59" s="12" t="s">
        <v>2329</v>
      </c>
      <c r="AT59" s="12" t="s">
        <v>95</v>
      </c>
      <c r="AU59" s="12" t="s">
        <v>2330</v>
      </c>
      <c r="AV59" s="12" t="s">
        <v>832</v>
      </c>
      <c r="AW59" s="12" t="s">
        <v>1226</v>
      </c>
      <c r="AX59" s="12" t="s">
        <v>1513</v>
      </c>
      <c r="AY59" s="12" t="s">
        <v>2414</v>
      </c>
      <c r="AZ59" s="12" t="s">
        <v>2415</v>
      </c>
      <c r="BA59" s="12" t="s">
        <v>2416</v>
      </c>
      <c r="BB59" s="12" t="s">
        <v>2417</v>
      </c>
      <c r="BC59" s="12" t="s">
        <v>866</v>
      </c>
      <c r="BD59" s="12" t="s">
        <v>867</v>
      </c>
      <c r="BE59" s="12" t="s">
        <v>868</v>
      </c>
      <c r="BF59" s="12" t="s">
        <v>869</v>
      </c>
      <c r="BG59" s="12" t="s">
        <v>870</v>
      </c>
      <c r="BH59" s="12" t="s">
        <v>841</v>
      </c>
      <c r="BI59" s="12" t="s">
        <v>871</v>
      </c>
      <c r="BJ59" s="12" t="s">
        <v>841</v>
      </c>
      <c r="BK59" s="12" t="s">
        <v>841</v>
      </c>
      <c r="BL59" s="12" t="s">
        <v>872</v>
      </c>
      <c r="BM59" s="12" t="s">
        <v>873</v>
      </c>
      <c r="BN59" s="12" t="s">
        <v>866</v>
      </c>
      <c r="BO59" s="12" t="s">
        <v>874</v>
      </c>
      <c r="BP59" s="12" t="s">
        <v>875</v>
      </c>
      <c r="BQ59" s="12" t="s">
        <v>876</v>
      </c>
      <c r="BR59" s="12" t="s">
        <v>869</v>
      </c>
      <c r="BS59" s="12" t="s">
        <v>869</v>
      </c>
      <c r="BT59" s="12" t="s">
        <v>877</v>
      </c>
      <c r="BU59" s="12" t="s">
        <v>877</v>
      </c>
      <c r="BV59" s="12" t="s">
        <v>877</v>
      </c>
      <c r="BW59" s="12" t="s">
        <v>841</v>
      </c>
      <c r="BX59" s="12" t="s">
        <v>878</v>
      </c>
      <c r="BY59" s="12" t="s">
        <v>841</v>
      </c>
      <c r="BZ59" s="12" t="s">
        <v>841</v>
      </c>
      <c r="CA59" s="12" t="s">
        <v>841</v>
      </c>
      <c r="CB59" s="12" t="s">
        <v>841</v>
      </c>
      <c r="CC59" s="12" t="s">
        <v>2418</v>
      </c>
      <c r="CD59" s="12" t="s">
        <v>2419</v>
      </c>
      <c r="CE59" s="12" t="s">
        <v>2420</v>
      </c>
      <c r="CF59" s="12" t="s">
        <v>2421</v>
      </c>
      <c r="CG59" s="12" t="s">
        <v>2422</v>
      </c>
      <c r="CH59" s="12" t="s">
        <v>2423</v>
      </c>
      <c r="CI59" s="12" t="s">
        <v>2424</v>
      </c>
      <c r="CJ59" s="12" t="s">
        <v>2425</v>
      </c>
      <c r="CK59" s="12" t="s">
        <v>2404</v>
      </c>
      <c r="CL59" s="12" t="s">
        <v>1208</v>
      </c>
      <c r="CM59" s="12" t="s">
        <v>888</v>
      </c>
      <c r="CN59" s="12" t="s">
        <v>841</v>
      </c>
      <c r="CO59" s="12" t="s">
        <v>847</v>
      </c>
      <c r="CP59" s="12" t="s">
        <v>889</v>
      </c>
      <c r="CQ59" s="12" t="s">
        <v>890</v>
      </c>
      <c r="CR59" s="12" t="s">
        <v>847</v>
      </c>
      <c r="CS59" s="12" t="s">
        <v>891</v>
      </c>
      <c r="CT59" s="12" t="s">
        <v>892</v>
      </c>
      <c r="CU59" s="12" t="s">
        <v>893</v>
      </c>
      <c r="CV59" s="12" t="s">
        <v>841</v>
      </c>
      <c r="CW59" s="12" t="s">
        <v>2403</v>
      </c>
      <c r="CX59" s="12" t="s">
        <v>894</v>
      </c>
      <c r="CY59" s="12" t="s">
        <v>895</v>
      </c>
      <c r="CZ59" s="12" t="s">
        <v>896</v>
      </c>
      <c r="DA59" s="12" t="s">
        <v>897</v>
      </c>
      <c r="DB59" s="12" t="s">
        <v>898</v>
      </c>
      <c r="DC59" s="12" t="s">
        <v>899</v>
      </c>
    </row>
    <row r="60">
      <c r="A60" s="12" t="s">
        <v>997</v>
      </c>
      <c r="B60" s="12" t="s">
        <v>310</v>
      </c>
      <c r="C60" s="12" t="s">
        <v>95</v>
      </c>
      <c r="D60" s="12" t="s">
        <v>833</v>
      </c>
      <c r="E60" s="12" t="s">
        <v>834</v>
      </c>
      <c r="F60" s="12"/>
      <c r="G60" s="12" t="s">
        <v>281</v>
      </c>
      <c r="H60" s="12" t="s">
        <v>307</v>
      </c>
      <c r="I60" s="12"/>
      <c r="J60" s="43">
        <f t="shared" si="1"/>
        <v>0.01228623364</v>
      </c>
      <c r="K60" s="43">
        <f t="shared" si="2"/>
        <v>2.91060848</v>
      </c>
      <c r="L60" s="43">
        <f t="shared" si="3"/>
        <v>0.01223458911</v>
      </c>
      <c r="M60" s="43">
        <f t="shared" si="4"/>
        <v>0.6367811848</v>
      </c>
      <c r="N60" s="12" t="s">
        <v>2426</v>
      </c>
      <c r="O60" s="12" t="s">
        <v>2427</v>
      </c>
      <c r="P60" s="43">
        <f t="shared" si="5"/>
        <v>6.429829877</v>
      </c>
      <c r="Q60" s="43">
        <f t="shared" si="6"/>
        <v>4.900794877</v>
      </c>
      <c r="R60" s="12" t="s">
        <v>2428</v>
      </c>
      <c r="S60" s="12" t="s">
        <v>2429</v>
      </c>
      <c r="T60" s="43">
        <f t="shared" si="7"/>
        <v>65.51691336</v>
      </c>
      <c r="U60" s="43">
        <f t="shared" si="8"/>
        <v>0.4417875</v>
      </c>
      <c r="V60" s="12" t="s">
        <v>839</v>
      </c>
      <c r="W60" s="12" t="s">
        <v>2430</v>
      </c>
      <c r="X60" s="12" t="s">
        <v>841</v>
      </c>
      <c r="Y60" s="12" t="s">
        <v>841</v>
      </c>
      <c r="Z60" s="12" t="s">
        <v>841</v>
      </c>
      <c r="AA60" s="12" t="s">
        <v>2431</v>
      </c>
      <c r="AB60" s="12" t="s">
        <v>2432</v>
      </c>
      <c r="AC60" s="12" t="s">
        <v>2433</v>
      </c>
      <c r="AD60" s="12" t="s">
        <v>845</v>
      </c>
      <c r="AE60" s="12" t="s">
        <v>846</v>
      </c>
      <c r="AF60" s="43">
        <f t="shared" si="9"/>
        <v>28.7815416</v>
      </c>
      <c r="AG60" s="12" t="s">
        <v>847</v>
      </c>
      <c r="AH60" s="12" t="s">
        <v>2434</v>
      </c>
      <c r="AI60" s="12" t="s">
        <v>1505</v>
      </c>
      <c r="AJ60" s="12" t="s">
        <v>2435</v>
      </c>
      <c r="AK60" s="12" t="s">
        <v>2436</v>
      </c>
      <c r="AL60" s="43">
        <f t="shared" si="10"/>
        <v>37.36</v>
      </c>
      <c r="AM60" s="12" t="s">
        <v>1071</v>
      </c>
      <c r="AN60" s="12" t="s">
        <v>1159</v>
      </c>
      <c r="AO60" s="12" t="s">
        <v>2437</v>
      </c>
      <c r="AP60" s="12" t="s">
        <v>2438</v>
      </c>
      <c r="AQ60" s="12" t="s">
        <v>2439</v>
      </c>
      <c r="AR60" s="12" t="s">
        <v>2386</v>
      </c>
      <c r="AS60" s="12" t="s">
        <v>2329</v>
      </c>
      <c r="AT60" s="12" t="s">
        <v>95</v>
      </c>
      <c r="AU60" s="12" t="s">
        <v>2330</v>
      </c>
      <c r="AV60" s="12" t="s">
        <v>832</v>
      </c>
      <c r="AW60" s="12" t="s">
        <v>1164</v>
      </c>
      <c r="AX60" s="12" t="s">
        <v>868</v>
      </c>
      <c r="AY60" s="12" t="s">
        <v>868</v>
      </c>
      <c r="AZ60" s="12" t="s">
        <v>2440</v>
      </c>
      <c r="BA60" s="12" t="s">
        <v>868</v>
      </c>
      <c r="BB60" s="12" t="s">
        <v>868</v>
      </c>
      <c r="BC60" s="12" t="s">
        <v>866</v>
      </c>
      <c r="BD60" s="12" t="s">
        <v>867</v>
      </c>
      <c r="BE60" s="12" t="s">
        <v>868</v>
      </c>
      <c r="BF60" s="12" t="s">
        <v>869</v>
      </c>
      <c r="BG60" s="12" t="s">
        <v>870</v>
      </c>
      <c r="BH60" s="12" t="s">
        <v>841</v>
      </c>
      <c r="BI60" s="12" t="s">
        <v>871</v>
      </c>
      <c r="BJ60" s="12" t="s">
        <v>841</v>
      </c>
      <c r="BK60" s="12" t="s">
        <v>841</v>
      </c>
      <c r="BL60" s="12" t="s">
        <v>872</v>
      </c>
      <c r="BM60" s="12" t="s">
        <v>873</v>
      </c>
      <c r="BN60" s="12" t="s">
        <v>866</v>
      </c>
      <c r="BO60" s="12" t="s">
        <v>874</v>
      </c>
      <c r="BP60" s="12" t="s">
        <v>875</v>
      </c>
      <c r="BQ60" s="12" t="s">
        <v>876</v>
      </c>
      <c r="BR60" s="12" t="s">
        <v>869</v>
      </c>
      <c r="BS60" s="12" t="s">
        <v>869</v>
      </c>
      <c r="BT60" s="12" t="s">
        <v>877</v>
      </c>
      <c r="BU60" s="12" t="s">
        <v>877</v>
      </c>
      <c r="BV60" s="12" t="s">
        <v>877</v>
      </c>
      <c r="BW60" s="12" t="s">
        <v>841</v>
      </c>
      <c r="BX60" s="12" t="s">
        <v>878</v>
      </c>
      <c r="BY60" s="12" t="s">
        <v>841</v>
      </c>
      <c r="BZ60" s="12" t="s">
        <v>841</v>
      </c>
      <c r="CA60" s="12" t="s">
        <v>841</v>
      </c>
      <c r="CB60" s="12" t="s">
        <v>841</v>
      </c>
      <c r="CC60" s="12" t="s">
        <v>2441</v>
      </c>
      <c r="CD60" s="12" t="s">
        <v>2442</v>
      </c>
      <c r="CE60" s="12" t="s">
        <v>2443</v>
      </c>
      <c r="CF60" s="12" t="s">
        <v>2444</v>
      </c>
      <c r="CG60" s="12" t="s">
        <v>2445</v>
      </c>
      <c r="CH60" s="12" t="s">
        <v>2446</v>
      </c>
      <c r="CI60" s="12" t="s">
        <v>2447</v>
      </c>
      <c r="CJ60" s="12" t="s">
        <v>2448</v>
      </c>
      <c r="CK60" s="12" t="s">
        <v>2449</v>
      </c>
      <c r="CL60" s="12" t="s">
        <v>1028</v>
      </c>
      <c r="CM60" s="12" t="s">
        <v>888</v>
      </c>
      <c r="CN60" s="12" t="s">
        <v>841</v>
      </c>
      <c r="CO60" s="12" t="s">
        <v>847</v>
      </c>
      <c r="CP60" s="12" t="s">
        <v>889</v>
      </c>
      <c r="CQ60" s="12" t="s">
        <v>890</v>
      </c>
      <c r="CR60" s="12" t="s">
        <v>847</v>
      </c>
      <c r="CS60" s="12" t="s">
        <v>891</v>
      </c>
      <c r="CT60" s="12" t="s">
        <v>892</v>
      </c>
      <c r="CU60" s="12" t="s">
        <v>893</v>
      </c>
      <c r="CV60" s="12" t="s">
        <v>841</v>
      </c>
      <c r="CW60" s="12" t="s">
        <v>2430</v>
      </c>
      <c r="CX60" s="12" t="s">
        <v>894</v>
      </c>
      <c r="CY60" s="12" t="s">
        <v>895</v>
      </c>
      <c r="CZ60" s="12" t="s">
        <v>896</v>
      </c>
      <c r="DA60" s="12" t="s">
        <v>897</v>
      </c>
      <c r="DB60" s="12" t="s">
        <v>898</v>
      </c>
      <c r="DC60" s="12" t="s">
        <v>899</v>
      </c>
    </row>
    <row r="61">
      <c r="A61" s="12" t="s">
        <v>1029</v>
      </c>
      <c r="B61" s="12" t="s">
        <v>311</v>
      </c>
      <c r="C61" s="12" t="s">
        <v>95</v>
      </c>
      <c r="D61" s="12" t="s">
        <v>833</v>
      </c>
      <c r="E61" s="12" t="s">
        <v>834</v>
      </c>
      <c r="F61" s="12"/>
      <c r="G61" s="12" t="s">
        <v>281</v>
      </c>
      <c r="H61" s="12" t="s">
        <v>307</v>
      </c>
      <c r="I61" s="12"/>
      <c r="J61" s="43">
        <f t="shared" si="1"/>
        <v>0.00873392104</v>
      </c>
      <c r="K61" s="43">
        <f t="shared" si="2"/>
        <v>2.90981592</v>
      </c>
      <c r="L61" s="43">
        <f t="shared" si="3"/>
        <v>0.008707784301</v>
      </c>
      <c r="M61" s="43">
        <f t="shared" si="4"/>
        <v>0.4579042999</v>
      </c>
      <c r="N61" s="12" t="s">
        <v>2450</v>
      </c>
      <c r="O61" s="12" t="s">
        <v>2451</v>
      </c>
      <c r="P61" s="43">
        <f t="shared" si="5"/>
        <v>6.478999289</v>
      </c>
      <c r="Q61" s="43">
        <f t="shared" si="6"/>
        <v>4.950144289</v>
      </c>
      <c r="R61" s="12" t="s">
        <v>2452</v>
      </c>
      <c r="S61" s="12" t="s">
        <v>2453</v>
      </c>
      <c r="T61" s="43">
        <f t="shared" si="7"/>
        <v>66.01792632</v>
      </c>
      <c r="U61" s="43">
        <f t="shared" si="8"/>
        <v>0.4417875</v>
      </c>
      <c r="V61" s="12" t="s">
        <v>839</v>
      </c>
      <c r="W61" s="12" t="s">
        <v>2454</v>
      </c>
      <c r="X61" s="12" t="s">
        <v>841</v>
      </c>
      <c r="Y61" s="12" t="s">
        <v>841</v>
      </c>
      <c r="Z61" s="12" t="s">
        <v>841</v>
      </c>
      <c r="AA61" s="12" t="s">
        <v>2455</v>
      </c>
      <c r="AB61" s="12" t="s">
        <v>2456</v>
      </c>
      <c r="AC61" s="12" t="s">
        <v>2457</v>
      </c>
      <c r="AD61" s="12" t="s">
        <v>845</v>
      </c>
      <c r="AE61" s="12" t="s">
        <v>846</v>
      </c>
      <c r="AF61" s="43">
        <f t="shared" si="9"/>
        <v>23.25602</v>
      </c>
      <c r="AG61" s="12" t="s">
        <v>847</v>
      </c>
      <c r="AH61" s="12" t="s">
        <v>2458</v>
      </c>
      <c r="AI61" s="12" t="s">
        <v>2459</v>
      </c>
      <c r="AJ61" s="12" t="s">
        <v>2460</v>
      </c>
      <c r="AK61" s="12" t="s">
        <v>2461</v>
      </c>
      <c r="AL61" s="43">
        <f t="shared" si="10"/>
        <v>37.5</v>
      </c>
      <c r="AM61" s="12" t="s">
        <v>1071</v>
      </c>
      <c r="AN61" s="12" t="s">
        <v>914</v>
      </c>
      <c r="AO61" s="12" t="s">
        <v>2462</v>
      </c>
      <c r="AP61" s="12" t="s">
        <v>2463</v>
      </c>
      <c r="AQ61" s="12" t="s">
        <v>2464</v>
      </c>
      <c r="AR61" s="12" t="s">
        <v>2465</v>
      </c>
      <c r="AS61" s="12" t="s">
        <v>2329</v>
      </c>
      <c r="AT61" s="12" t="s">
        <v>95</v>
      </c>
      <c r="AU61" s="12" t="s">
        <v>2330</v>
      </c>
      <c r="AV61" s="12" t="s">
        <v>832</v>
      </c>
      <c r="AW61" s="12" t="s">
        <v>1164</v>
      </c>
      <c r="AX61" s="12" t="s">
        <v>860</v>
      </c>
      <c r="AY61" s="12" t="s">
        <v>868</v>
      </c>
      <c r="AZ61" s="12" t="s">
        <v>2466</v>
      </c>
      <c r="BA61" s="12" t="s">
        <v>2467</v>
      </c>
      <c r="BB61" s="12" t="s">
        <v>868</v>
      </c>
      <c r="BC61" s="12" t="s">
        <v>866</v>
      </c>
      <c r="BD61" s="12" t="s">
        <v>867</v>
      </c>
      <c r="BE61" s="12" t="s">
        <v>868</v>
      </c>
      <c r="BF61" s="12" t="s">
        <v>869</v>
      </c>
      <c r="BG61" s="12" t="s">
        <v>870</v>
      </c>
      <c r="BH61" s="12" t="s">
        <v>841</v>
      </c>
      <c r="BI61" s="12" t="s">
        <v>871</v>
      </c>
      <c r="BJ61" s="12" t="s">
        <v>841</v>
      </c>
      <c r="BK61" s="12" t="s">
        <v>841</v>
      </c>
      <c r="BL61" s="12" t="s">
        <v>872</v>
      </c>
      <c r="BM61" s="12" t="s">
        <v>873</v>
      </c>
      <c r="BN61" s="12" t="s">
        <v>866</v>
      </c>
      <c r="BO61" s="12" t="s">
        <v>874</v>
      </c>
      <c r="BP61" s="12" t="s">
        <v>875</v>
      </c>
      <c r="BQ61" s="12" t="s">
        <v>876</v>
      </c>
      <c r="BR61" s="12" t="s">
        <v>869</v>
      </c>
      <c r="BS61" s="12" t="s">
        <v>869</v>
      </c>
      <c r="BT61" s="12" t="s">
        <v>877</v>
      </c>
      <c r="BU61" s="12" t="s">
        <v>877</v>
      </c>
      <c r="BV61" s="12" t="s">
        <v>877</v>
      </c>
      <c r="BW61" s="12" t="s">
        <v>841</v>
      </c>
      <c r="BX61" s="12" t="s">
        <v>878</v>
      </c>
      <c r="BY61" s="12" t="s">
        <v>841</v>
      </c>
      <c r="BZ61" s="12" t="s">
        <v>841</v>
      </c>
      <c r="CA61" s="12" t="s">
        <v>841</v>
      </c>
      <c r="CB61" s="12" t="s">
        <v>841</v>
      </c>
      <c r="CC61" s="12" t="s">
        <v>2468</v>
      </c>
      <c r="CD61" s="12" t="s">
        <v>2469</v>
      </c>
      <c r="CE61" s="12" t="s">
        <v>2470</v>
      </c>
      <c r="CF61" s="12" t="s">
        <v>2471</v>
      </c>
      <c r="CG61" s="12" t="s">
        <v>2472</v>
      </c>
      <c r="CH61" s="12" t="s">
        <v>2473</v>
      </c>
      <c r="CI61" s="12" t="s">
        <v>2474</v>
      </c>
      <c r="CJ61" s="12" t="s">
        <v>2475</v>
      </c>
      <c r="CK61" s="12" t="s">
        <v>2455</v>
      </c>
      <c r="CL61" s="12" t="s">
        <v>996</v>
      </c>
      <c r="CM61" s="12" t="s">
        <v>888</v>
      </c>
      <c r="CN61" s="12" t="s">
        <v>841</v>
      </c>
      <c r="CO61" s="12" t="s">
        <v>847</v>
      </c>
      <c r="CP61" s="12" t="s">
        <v>889</v>
      </c>
      <c r="CQ61" s="12" t="s">
        <v>890</v>
      </c>
      <c r="CR61" s="12" t="s">
        <v>847</v>
      </c>
      <c r="CS61" s="12" t="s">
        <v>891</v>
      </c>
      <c r="CT61" s="12" t="s">
        <v>892</v>
      </c>
      <c r="CU61" s="12" t="s">
        <v>893</v>
      </c>
      <c r="CV61" s="12" t="s">
        <v>841</v>
      </c>
      <c r="CW61" s="12" t="s">
        <v>2454</v>
      </c>
      <c r="CX61" s="12" t="s">
        <v>894</v>
      </c>
      <c r="CY61" s="12" t="s">
        <v>895</v>
      </c>
      <c r="CZ61" s="12" t="s">
        <v>896</v>
      </c>
      <c r="DA61" s="12" t="s">
        <v>897</v>
      </c>
      <c r="DB61" s="12" t="s">
        <v>898</v>
      </c>
      <c r="DC61" s="12" t="s">
        <v>899</v>
      </c>
    </row>
    <row r="62">
      <c r="A62" s="12" t="s">
        <v>1058</v>
      </c>
      <c r="B62" s="12" t="s">
        <v>312</v>
      </c>
      <c r="C62" s="12" t="s">
        <v>95</v>
      </c>
      <c r="D62" s="12" t="s">
        <v>833</v>
      </c>
      <c r="E62" s="12" t="s">
        <v>834</v>
      </c>
      <c r="F62" s="12"/>
      <c r="G62" s="12" t="s">
        <v>281</v>
      </c>
      <c r="H62" s="12" t="s">
        <v>307</v>
      </c>
      <c r="I62" s="12"/>
      <c r="J62" s="43">
        <f t="shared" si="1"/>
        <v>-0.02617939263</v>
      </c>
      <c r="K62" s="43">
        <f t="shared" si="2"/>
        <v>2.91060848</v>
      </c>
      <c r="L62" s="43">
        <f t="shared" si="3"/>
        <v>-0.02641699965</v>
      </c>
      <c r="M62" s="43">
        <f t="shared" si="4"/>
        <v>-1.395652889</v>
      </c>
      <c r="N62" s="12" t="s">
        <v>2476</v>
      </c>
      <c r="O62" s="12" t="s">
        <v>2477</v>
      </c>
      <c r="P62" s="43">
        <f t="shared" si="5"/>
        <v>6.454373943</v>
      </c>
      <c r="Q62" s="43">
        <f t="shared" si="6"/>
        <v>4.975926943</v>
      </c>
      <c r="R62" s="12" t="s">
        <v>2478</v>
      </c>
      <c r="S62" s="12" t="s">
        <v>2479</v>
      </c>
      <c r="T62" s="43">
        <f t="shared" si="7"/>
        <v>65.76030507</v>
      </c>
      <c r="U62" s="43">
        <f t="shared" si="8"/>
        <v>0.4417875</v>
      </c>
      <c r="V62" s="12" t="s">
        <v>839</v>
      </c>
      <c r="W62" s="12" t="s">
        <v>2480</v>
      </c>
      <c r="X62" s="12" t="s">
        <v>841</v>
      </c>
      <c r="Y62" s="12" t="s">
        <v>841</v>
      </c>
      <c r="Z62" s="12" t="s">
        <v>841</v>
      </c>
      <c r="AA62" s="12" t="s">
        <v>2481</v>
      </c>
      <c r="AB62" s="12" t="s">
        <v>2482</v>
      </c>
      <c r="AC62" s="12" t="s">
        <v>2483</v>
      </c>
      <c r="AD62" s="12" t="s">
        <v>845</v>
      </c>
      <c r="AE62" s="12" t="s">
        <v>846</v>
      </c>
      <c r="AF62" s="43">
        <f t="shared" si="9"/>
        <v>21.5508464</v>
      </c>
      <c r="AG62" s="12" t="s">
        <v>847</v>
      </c>
      <c r="AH62" s="12" t="s">
        <v>1394</v>
      </c>
      <c r="AI62" s="12" t="s">
        <v>2484</v>
      </c>
      <c r="AJ62" s="12" t="s">
        <v>2485</v>
      </c>
      <c r="AK62" s="12" t="s">
        <v>2486</v>
      </c>
      <c r="AL62" s="43">
        <f t="shared" si="10"/>
        <v>37.43</v>
      </c>
      <c r="AM62" s="12" t="s">
        <v>2410</v>
      </c>
      <c r="AN62" s="12" t="s">
        <v>1159</v>
      </c>
      <c r="AO62" s="12" t="s">
        <v>2487</v>
      </c>
      <c r="AP62" s="12" t="s">
        <v>2488</v>
      </c>
      <c r="AQ62" s="12" t="s">
        <v>2464</v>
      </c>
      <c r="AR62" s="12" t="s">
        <v>2465</v>
      </c>
      <c r="AS62" s="12" t="s">
        <v>2329</v>
      </c>
      <c r="AT62" s="12" t="s">
        <v>95</v>
      </c>
      <c r="AU62" s="12" t="s">
        <v>2330</v>
      </c>
      <c r="AV62" s="12" t="s">
        <v>832</v>
      </c>
      <c r="AW62" s="12" t="s">
        <v>1342</v>
      </c>
      <c r="AX62" s="12" t="s">
        <v>868</v>
      </c>
      <c r="AY62" s="12" t="s">
        <v>868</v>
      </c>
      <c r="AZ62" s="12" t="s">
        <v>2489</v>
      </c>
      <c r="BA62" s="12" t="s">
        <v>868</v>
      </c>
      <c r="BB62" s="12" t="s">
        <v>868</v>
      </c>
      <c r="BC62" s="12" t="s">
        <v>866</v>
      </c>
      <c r="BD62" s="12" t="s">
        <v>867</v>
      </c>
      <c r="BE62" s="12" t="s">
        <v>868</v>
      </c>
      <c r="BF62" s="12" t="s">
        <v>869</v>
      </c>
      <c r="BG62" s="12" t="s">
        <v>870</v>
      </c>
      <c r="BH62" s="12" t="s">
        <v>841</v>
      </c>
      <c r="BI62" s="12" t="s">
        <v>871</v>
      </c>
      <c r="BJ62" s="12" t="s">
        <v>841</v>
      </c>
      <c r="BK62" s="12" t="s">
        <v>841</v>
      </c>
      <c r="BL62" s="12" t="s">
        <v>872</v>
      </c>
      <c r="BM62" s="12" t="s">
        <v>873</v>
      </c>
      <c r="BN62" s="12" t="s">
        <v>866</v>
      </c>
      <c r="BO62" s="12" t="s">
        <v>874</v>
      </c>
      <c r="BP62" s="12" t="s">
        <v>875</v>
      </c>
      <c r="BQ62" s="12" t="s">
        <v>876</v>
      </c>
      <c r="BR62" s="12" t="s">
        <v>869</v>
      </c>
      <c r="BS62" s="12" t="s">
        <v>869</v>
      </c>
      <c r="BT62" s="12" t="s">
        <v>877</v>
      </c>
      <c r="BU62" s="12" t="s">
        <v>877</v>
      </c>
      <c r="BV62" s="12" t="s">
        <v>877</v>
      </c>
      <c r="BW62" s="12" t="s">
        <v>841</v>
      </c>
      <c r="BX62" s="12" t="s">
        <v>878</v>
      </c>
      <c r="BY62" s="12" t="s">
        <v>841</v>
      </c>
      <c r="BZ62" s="12" t="s">
        <v>841</v>
      </c>
      <c r="CA62" s="12" t="s">
        <v>841</v>
      </c>
      <c r="CB62" s="12" t="s">
        <v>841</v>
      </c>
      <c r="CC62" s="12" t="s">
        <v>2490</v>
      </c>
      <c r="CD62" s="12" t="s">
        <v>2491</v>
      </c>
      <c r="CE62" s="12" t="s">
        <v>2492</v>
      </c>
      <c r="CF62" s="12" t="s">
        <v>2493</v>
      </c>
      <c r="CG62" s="12" t="s">
        <v>2494</v>
      </c>
      <c r="CH62" s="12" t="s">
        <v>2495</v>
      </c>
      <c r="CI62" s="12" t="s">
        <v>2496</v>
      </c>
      <c r="CJ62" s="12" t="s">
        <v>2497</v>
      </c>
      <c r="CK62" s="12" t="s">
        <v>2481</v>
      </c>
      <c r="CL62" s="12" t="s">
        <v>1324</v>
      </c>
      <c r="CM62" s="12" t="s">
        <v>888</v>
      </c>
      <c r="CN62" s="12" t="s">
        <v>841</v>
      </c>
      <c r="CO62" s="12" t="s">
        <v>847</v>
      </c>
      <c r="CP62" s="12" t="s">
        <v>889</v>
      </c>
      <c r="CQ62" s="12" t="s">
        <v>890</v>
      </c>
      <c r="CR62" s="12" t="s">
        <v>847</v>
      </c>
      <c r="CS62" s="12" t="s">
        <v>891</v>
      </c>
      <c r="CT62" s="12" t="s">
        <v>892</v>
      </c>
      <c r="CU62" s="12" t="s">
        <v>893</v>
      </c>
      <c r="CV62" s="12" t="s">
        <v>841</v>
      </c>
      <c r="CW62" s="12" t="s">
        <v>2480</v>
      </c>
      <c r="CX62" s="12" t="s">
        <v>894</v>
      </c>
      <c r="CY62" s="12" t="s">
        <v>895</v>
      </c>
      <c r="CZ62" s="12" t="s">
        <v>896</v>
      </c>
      <c r="DA62" s="12" t="s">
        <v>897</v>
      </c>
      <c r="DB62" s="12" t="s">
        <v>898</v>
      </c>
      <c r="DC62" s="12" t="s">
        <v>899</v>
      </c>
    </row>
    <row r="63">
      <c r="A63" s="12" t="s">
        <v>1094</v>
      </c>
      <c r="B63" s="12" t="s">
        <v>313</v>
      </c>
      <c r="C63" s="12" t="s">
        <v>95</v>
      </c>
      <c r="D63" s="12" t="s">
        <v>833</v>
      </c>
      <c r="E63" s="12" t="s">
        <v>834</v>
      </c>
      <c r="F63" s="12"/>
      <c r="G63" s="12" t="s">
        <v>281</v>
      </c>
      <c r="H63" s="12" t="s">
        <v>307</v>
      </c>
      <c r="I63" s="12"/>
      <c r="J63" s="43">
        <f t="shared" si="1"/>
        <v>-0.03048533808</v>
      </c>
      <c r="K63" s="43">
        <f t="shared" si="2"/>
        <v>2.90981592</v>
      </c>
      <c r="L63" s="43">
        <f t="shared" si="3"/>
        <v>-0.0308081061</v>
      </c>
      <c r="M63" s="43">
        <f t="shared" si="4"/>
        <v>-1.506890347</v>
      </c>
      <c r="N63" s="12" t="s">
        <v>2498</v>
      </c>
      <c r="O63" s="12" t="s">
        <v>2499</v>
      </c>
      <c r="P63" s="43">
        <f t="shared" si="5"/>
        <v>6.198976595</v>
      </c>
      <c r="Q63" s="43">
        <f t="shared" si="6"/>
        <v>4.609736595</v>
      </c>
      <c r="R63" s="12" t="s">
        <v>2500</v>
      </c>
      <c r="S63" s="12" t="s">
        <v>2501</v>
      </c>
      <c r="T63" s="43">
        <f t="shared" si="7"/>
        <v>63.16462803</v>
      </c>
      <c r="U63" s="43">
        <f t="shared" si="8"/>
        <v>0.4417875</v>
      </c>
      <c r="V63" s="12" t="s">
        <v>839</v>
      </c>
      <c r="W63" s="12" t="s">
        <v>2502</v>
      </c>
      <c r="X63" s="12" t="s">
        <v>841</v>
      </c>
      <c r="Y63" s="12" t="s">
        <v>841</v>
      </c>
      <c r="Z63" s="12" t="s">
        <v>841</v>
      </c>
      <c r="AA63" s="12" t="s">
        <v>2503</v>
      </c>
      <c r="AB63" s="12" t="s">
        <v>2504</v>
      </c>
      <c r="AC63" s="12" t="s">
        <v>2505</v>
      </c>
      <c r="AD63" s="12" t="s">
        <v>845</v>
      </c>
      <c r="AE63" s="12" t="s">
        <v>846</v>
      </c>
      <c r="AF63" s="43">
        <f t="shared" si="9"/>
        <v>22.3787776</v>
      </c>
      <c r="AG63" s="12" t="s">
        <v>847</v>
      </c>
      <c r="AH63" s="12" t="s">
        <v>2506</v>
      </c>
      <c r="AI63" s="12" t="s">
        <v>2507</v>
      </c>
      <c r="AJ63" s="12" t="s">
        <v>2508</v>
      </c>
      <c r="AK63" s="12" t="s">
        <v>2509</v>
      </c>
      <c r="AL63" s="43">
        <f t="shared" si="10"/>
        <v>36.69</v>
      </c>
      <c r="AM63" s="12" t="s">
        <v>1071</v>
      </c>
      <c r="AN63" s="12" t="s">
        <v>914</v>
      </c>
      <c r="AO63" s="12" t="s">
        <v>2510</v>
      </c>
      <c r="AP63" s="12" t="s">
        <v>2511</v>
      </c>
      <c r="AQ63" s="12" t="s">
        <v>2512</v>
      </c>
      <c r="AR63" s="12" t="s">
        <v>2386</v>
      </c>
      <c r="AS63" s="12" t="s">
        <v>2329</v>
      </c>
      <c r="AT63" s="12" t="s">
        <v>95</v>
      </c>
      <c r="AU63" s="12" t="s">
        <v>2330</v>
      </c>
      <c r="AV63" s="12" t="s">
        <v>832</v>
      </c>
      <c r="AW63" s="12" t="s">
        <v>1542</v>
      </c>
      <c r="AX63" s="12" t="s">
        <v>868</v>
      </c>
      <c r="AY63" s="12" t="s">
        <v>868</v>
      </c>
      <c r="AZ63" s="12" t="s">
        <v>2513</v>
      </c>
      <c r="BA63" s="12" t="s">
        <v>868</v>
      </c>
      <c r="BB63" s="12" t="s">
        <v>868</v>
      </c>
      <c r="BC63" s="12" t="s">
        <v>866</v>
      </c>
      <c r="BD63" s="12" t="s">
        <v>867</v>
      </c>
      <c r="BE63" s="12" t="s">
        <v>868</v>
      </c>
      <c r="BF63" s="12" t="s">
        <v>869</v>
      </c>
      <c r="BG63" s="12" t="s">
        <v>870</v>
      </c>
      <c r="BH63" s="12" t="s">
        <v>841</v>
      </c>
      <c r="BI63" s="12" t="s">
        <v>871</v>
      </c>
      <c r="BJ63" s="12" t="s">
        <v>841</v>
      </c>
      <c r="BK63" s="12" t="s">
        <v>841</v>
      </c>
      <c r="BL63" s="12" t="s">
        <v>872</v>
      </c>
      <c r="BM63" s="12" t="s">
        <v>873</v>
      </c>
      <c r="BN63" s="12" t="s">
        <v>866</v>
      </c>
      <c r="BO63" s="12" t="s">
        <v>874</v>
      </c>
      <c r="BP63" s="12" t="s">
        <v>875</v>
      </c>
      <c r="BQ63" s="12" t="s">
        <v>876</v>
      </c>
      <c r="BR63" s="12" t="s">
        <v>869</v>
      </c>
      <c r="BS63" s="12" t="s">
        <v>869</v>
      </c>
      <c r="BT63" s="12" t="s">
        <v>877</v>
      </c>
      <c r="BU63" s="12" t="s">
        <v>877</v>
      </c>
      <c r="BV63" s="12" t="s">
        <v>877</v>
      </c>
      <c r="BW63" s="12" t="s">
        <v>841</v>
      </c>
      <c r="BX63" s="12" t="s">
        <v>878</v>
      </c>
      <c r="BY63" s="12" t="s">
        <v>841</v>
      </c>
      <c r="BZ63" s="12" t="s">
        <v>841</v>
      </c>
      <c r="CA63" s="12" t="s">
        <v>841</v>
      </c>
      <c r="CB63" s="12" t="s">
        <v>841</v>
      </c>
      <c r="CC63" s="12" t="s">
        <v>2514</v>
      </c>
      <c r="CD63" s="12" t="s">
        <v>2515</v>
      </c>
      <c r="CE63" s="12" t="s">
        <v>2516</v>
      </c>
      <c r="CF63" s="12" t="s">
        <v>2517</v>
      </c>
      <c r="CG63" s="12" t="s">
        <v>2518</v>
      </c>
      <c r="CH63" s="12" t="s">
        <v>2519</v>
      </c>
      <c r="CI63" s="12" t="s">
        <v>2520</v>
      </c>
      <c r="CJ63" s="12" t="s">
        <v>2521</v>
      </c>
      <c r="CK63" s="12" t="s">
        <v>2503</v>
      </c>
      <c r="CL63" s="12" t="s">
        <v>1093</v>
      </c>
      <c r="CM63" s="12" t="s">
        <v>888</v>
      </c>
      <c r="CN63" s="12" t="s">
        <v>841</v>
      </c>
      <c r="CO63" s="12" t="s">
        <v>847</v>
      </c>
      <c r="CP63" s="12" t="s">
        <v>889</v>
      </c>
      <c r="CQ63" s="12" t="s">
        <v>890</v>
      </c>
      <c r="CR63" s="12" t="s">
        <v>847</v>
      </c>
      <c r="CS63" s="12" t="s">
        <v>891</v>
      </c>
      <c r="CT63" s="12" t="s">
        <v>892</v>
      </c>
      <c r="CU63" s="12" t="s">
        <v>893</v>
      </c>
      <c r="CV63" s="12" t="s">
        <v>841</v>
      </c>
      <c r="CW63" s="12" t="s">
        <v>2502</v>
      </c>
      <c r="CX63" s="12" t="s">
        <v>894</v>
      </c>
      <c r="CY63" s="12" t="s">
        <v>895</v>
      </c>
      <c r="CZ63" s="12" t="s">
        <v>896</v>
      </c>
      <c r="DA63" s="12" t="s">
        <v>897</v>
      </c>
      <c r="DB63" s="12" t="s">
        <v>898</v>
      </c>
      <c r="DC63" s="12" t="s">
        <v>899</v>
      </c>
    </row>
    <row r="64">
      <c r="A64" s="12" t="s">
        <v>1120</v>
      </c>
      <c r="B64" s="12" t="s">
        <v>314</v>
      </c>
      <c r="C64" s="12" t="s">
        <v>95</v>
      </c>
      <c r="D64" s="12" t="s">
        <v>833</v>
      </c>
      <c r="E64" s="12" t="s">
        <v>834</v>
      </c>
      <c r="F64" s="12"/>
      <c r="G64" s="12" t="s">
        <v>281</v>
      </c>
      <c r="H64" s="12" t="s">
        <v>307</v>
      </c>
      <c r="I64" s="12"/>
      <c r="J64" s="43">
        <f t="shared" si="1"/>
        <v>-0.004872111022</v>
      </c>
      <c r="K64" s="43">
        <f t="shared" si="2"/>
        <v>2.91060848</v>
      </c>
      <c r="L64" s="43">
        <f t="shared" si="3"/>
        <v>-0.004880280196</v>
      </c>
      <c r="M64" s="43">
        <f t="shared" si="4"/>
        <v>-0.2384784928</v>
      </c>
      <c r="N64" s="12" t="s">
        <v>2522</v>
      </c>
      <c r="O64" s="12" t="s">
        <v>2523</v>
      </c>
      <c r="P64" s="43">
        <f t="shared" si="5"/>
        <v>6.236376587</v>
      </c>
      <c r="Q64" s="43">
        <f t="shared" si="6"/>
        <v>4.603354587</v>
      </c>
      <c r="R64" s="12" t="s">
        <v>2524</v>
      </c>
      <c r="S64" s="12" t="s">
        <v>2525</v>
      </c>
      <c r="T64" s="43">
        <f t="shared" si="7"/>
        <v>63.54571619</v>
      </c>
      <c r="U64" s="43">
        <f t="shared" si="8"/>
        <v>0.4417875</v>
      </c>
      <c r="V64" s="12" t="s">
        <v>839</v>
      </c>
      <c r="W64" s="12" t="s">
        <v>2526</v>
      </c>
      <c r="X64" s="12" t="s">
        <v>841</v>
      </c>
      <c r="Y64" s="12" t="s">
        <v>841</v>
      </c>
      <c r="Z64" s="12" t="s">
        <v>841</v>
      </c>
      <c r="AA64" s="12" t="s">
        <v>2527</v>
      </c>
      <c r="AB64" s="12" t="s">
        <v>2528</v>
      </c>
      <c r="AC64" s="12" t="s">
        <v>2529</v>
      </c>
      <c r="AD64" s="12" t="s">
        <v>845</v>
      </c>
      <c r="AE64" s="12" t="s">
        <v>846</v>
      </c>
      <c r="AF64" s="43">
        <f t="shared" si="9"/>
        <v>22.381788</v>
      </c>
      <c r="AG64" s="12" t="s">
        <v>847</v>
      </c>
      <c r="AH64" s="12" t="s">
        <v>2530</v>
      </c>
      <c r="AI64" s="12" t="s">
        <v>2531</v>
      </c>
      <c r="AJ64" s="12" t="s">
        <v>2532</v>
      </c>
      <c r="AK64" s="12" t="s">
        <v>2533</v>
      </c>
      <c r="AL64" s="43">
        <f t="shared" si="10"/>
        <v>36.8</v>
      </c>
      <c r="AM64" s="12" t="s">
        <v>1071</v>
      </c>
      <c r="AN64" s="12" t="s">
        <v>1159</v>
      </c>
      <c r="AO64" s="12" t="s">
        <v>2534</v>
      </c>
      <c r="AP64" s="12" t="s">
        <v>2535</v>
      </c>
      <c r="AQ64" s="12" t="s">
        <v>1224</v>
      </c>
      <c r="AR64" s="12" t="s">
        <v>2386</v>
      </c>
      <c r="AS64" s="12" t="s">
        <v>2329</v>
      </c>
      <c r="AT64" s="12" t="s">
        <v>95</v>
      </c>
      <c r="AU64" s="12" t="s">
        <v>2330</v>
      </c>
      <c r="AV64" s="12" t="s">
        <v>832</v>
      </c>
      <c r="AW64" s="12" t="s">
        <v>919</v>
      </c>
      <c r="AX64" s="12" t="s">
        <v>868</v>
      </c>
      <c r="AY64" s="12" t="s">
        <v>868</v>
      </c>
      <c r="AZ64" s="12" t="s">
        <v>2536</v>
      </c>
      <c r="BA64" s="12" t="s">
        <v>868</v>
      </c>
      <c r="BB64" s="12" t="s">
        <v>868</v>
      </c>
      <c r="BC64" s="12" t="s">
        <v>866</v>
      </c>
      <c r="BD64" s="12" t="s">
        <v>867</v>
      </c>
      <c r="BE64" s="12" t="s">
        <v>868</v>
      </c>
      <c r="BF64" s="12" t="s">
        <v>869</v>
      </c>
      <c r="BG64" s="12" t="s">
        <v>870</v>
      </c>
      <c r="BH64" s="12" t="s">
        <v>841</v>
      </c>
      <c r="BI64" s="12" t="s">
        <v>871</v>
      </c>
      <c r="BJ64" s="12" t="s">
        <v>841</v>
      </c>
      <c r="BK64" s="12" t="s">
        <v>841</v>
      </c>
      <c r="BL64" s="12" t="s">
        <v>872</v>
      </c>
      <c r="BM64" s="12" t="s">
        <v>873</v>
      </c>
      <c r="BN64" s="12" t="s">
        <v>866</v>
      </c>
      <c r="BO64" s="12" t="s">
        <v>874</v>
      </c>
      <c r="BP64" s="12" t="s">
        <v>875</v>
      </c>
      <c r="BQ64" s="12" t="s">
        <v>876</v>
      </c>
      <c r="BR64" s="12" t="s">
        <v>869</v>
      </c>
      <c r="BS64" s="12" t="s">
        <v>869</v>
      </c>
      <c r="BT64" s="12" t="s">
        <v>877</v>
      </c>
      <c r="BU64" s="12" t="s">
        <v>877</v>
      </c>
      <c r="BV64" s="12" t="s">
        <v>877</v>
      </c>
      <c r="BW64" s="12" t="s">
        <v>841</v>
      </c>
      <c r="BX64" s="12" t="s">
        <v>878</v>
      </c>
      <c r="BY64" s="12" t="s">
        <v>841</v>
      </c>
      <c r="BZ64" s="12" t="s">
        <v>841</v>
      </c>
      <c r="CA64" s="12" t="s">
        <v>841</v>
      </c>
      <c r="CB64" s="12" t="s">
        <v>841</v>
      </c>
      <c r="CC64" s="12" t="s">
        <v>2537</v>
      </c>
      <c r="CD64" s="12" t="s">
        <v>2538</v>
      </c>
      <c r="CE64" s="12" t="s">
        <v>2539</v>
      </c>
      <c r="CF64" s="12" t="s">
        <v>2540</v>
      </c>
      <c r="CG64" s="12" t="s">
        <v>2541</v>
      </c>
      <c r="CH64" s="12" t="s">
        <v>2542</v>
      </c>
      <c r="CI64" s="12" t="s">
        <v>2543</v>
      </c>
      <c r="CJ64" s="12" t="s">
        <v>2544</v>
      </c>
      <c r="CK64" s="12" t="s">
        <v>2527</v>
      </c>
      <c r="CL64" s="12" t="s">
        <v>1119</v>
      </c>
      <c r="CM64" s="12" t="s">
        <v>888</v>
      </c>
      <c r="CN64" s="12" t="s">
        <v>841</v>
      </c>
      <c r="CO64" s="12" t="s">
        <v>847</v>
      </c>
      <c r="CP64" s="12" t="s">
        <v>889</v>
      </c>
      <c r="CQ64" s="12" t="s">
        <v>890</v>
      </c>
      <c r="CR64" s="12" t="s">
        <v>847</v>
      </c>
      <c r="CS64" s="12" t="s">
        <v>891</v>
      </c>
      <c r="CT64" s="12" t="s">
        <v>892</v>
      </c>
      <c r="CU64" s="12" t="s">
        <v>893</v>
      </c>
      <c r="CV64" s="12" t="s">
        <v>841</v>
      </c>
      <c r="CW64" s="12" t="s">
        <v>2526</v>
      </c>
      <c r="CX64" s="12" t="s">
        <v>894</v>
      </c>
      <c r="CY64" s="12" t="s">
        <v>895</v>
      </c>
      <c r="CZ64" s="12" t="s">
        <v>896</v>
      </c>
      <c r="DA64" s="12" t="s">
        <v>897</v>
      </c>
      <c r="DB64" s="12" t="s">
        <v>898</v>
      </c>
      <c r="DC64" s="12" t="s">
        <v>899</v>
      </c>
    </row>
    <row r="65">
      <c r="A65" s="12" t="s">
        <v>1146</v>
      </c>
      <c r="B65" s="12" t="s">
        <v>316</v>
      </c>
      <c r="C65" s="12" t="s">
        <v>95</v>
      </c>
      <c r="D65" s="12" t="s">
        <v>833</v>
      </c>
      <c r="E65" s="12" t="s">
        <v>834</v>
      </c>
      <c r="F65" s="12"/>
      <c r="G65" s="12" t="s">
        <v>281</v>
      </c>
      <c r="H65" s="12" t="s">
        <v>307</v>
      </c>
      <c r="I65" s="12"/>
      <c r="J65" s="43">
        <f t="shared" si="1"/>
        <v>-0.04395144802</v>
      </c>
      <c r="K65" s="43">
        <f t="shared" si="2"/>
        <v>2.90981592</v>
      </c>
      <c r="L65" s="43">
        <f t="shared" si="3"/>
        <v>-0.04462549586</v>
      </c>
      <c r="M65" s="43">
        <f t="shared" si="4"/>
        <v>-2.251721284</v>
      </c>
      <c r="N65" s="12" t="s">
        <v>2545</v>
      </c>
      <c r="O65" s="12" t="s">
        <v>2546</v>
      </c>
      <c r="P65" s="43">
        <f t="shared" si="5"/>
        <v>6.391424309</v>
      </c>
      <c r="Q65" s="43">
        <f t="shared" si="6"/>
        <v>4.749875309</v>
      </c>
      <c r="R65" s="12" t="s">
        <v>2547</v>
      </c>
      <c r="S65" s="12" t="s">
        <v>2548</v>
      </c>
      <c r="T65" s="43">
        <f t="shared" si="7"/>
        <v>65.11894354</v>
      </c>
      <c r="U65" s="43">
        <f t="shared" si="8"/>
        <v>0.4417875</v>
      </c>
      <c r="V65" s="12" t="s">
        <v>839</v>
      </c>
      <c r="W65" s="12" t="s">
        <v>2549</v>
      </c>
      <c r="X65" s="12" t="s">
        <v>841</v>
      </c>
      <c r="Y65" s="12" t="s">
        <v>841</v>
      </c>
      <c r="Z65" s="12" t="s">
        <v>841</v>
      </c>
      <c r="AA65" s="12" t="s">
        <v>2550</v>
      </c>
      <c r="AB65" s="12" t="s">
        <v>2551</v>
      </c>
      <c r="AC65" s="12" t="s">
        <v>2552</v>
      </c>
      <c r="AD65" s="12" t="s">
        <v>845</v>
      </c>
      <c r="AE65" s="12" t="s">
        <v>846</v>
      </c>
      <c r="AF65" s="43">
        <f t="shared" si="9"/>
        <v>23.766792</v>
      </c>
      <c r="AG65" s="12" t="s">
        <v>847</v>
      </c>
      <c r="AH65" s="12" t="s">
        <v>2531</v>
      </c>
      <c r="AI65" s="12" t="s">
        <v>1979</v>
      </c>
      <c r="AJ65" s="12" t="s">
        <v>2553</v>
      </c>
      <c r="AK65" s="12" t="s">
        <v>2554</v>
      </c>
      <c r="AL65" s="43">
        <f t="shared" si="10"/>
        <v>37.25</v>
      </c>
      <c r="AM65" s="12" t="s">
        <v>2410</v>
      </c>
      <c r="AN65" s="12" t="s">
        <v>914</v>
      </c>
      <c r="AO65" s="12" t="s">
        <v>2555</v>
      </c>
      <c r="AP65" s="12" t="s">
        <v>2556</v>
      </c>
      <c r="AQ65" s="12" t="s">
        <v>1192</v>
      </c>
      <c r="AR65" s="12" t="s">
        <v>2386</v>
      </c>
      <c r="AS65" s="12" t="s">
        <v>2329</v>
      </c>
      <c r="AT65" s="12" t="s">
        <v>95</v>
      </c>
      <c r="AU65" s="12" t="s">
        <v>2330</v>
      </c>
      <c r="AV65" s="12" t="s">
        <v>832</v>
      </c>
      <c r="AW65" s="12" t="s">
        <v>1342</v>
      </c>
      <c r="AX65" s="12" t="s">
        <v>868</v>
      </c>
      <c r="AY65" s="12" t="s">
        <v>868</v>
      </c>
      <c r="AZ65" s="12" t="s">
        <v>2557</v>
      </c>
      <c r="BA65" s="12" t="s">
        <v>868</v>
      </c>
      <c r="BB65" s="12" t="s">
        <v>868</v>
      </c>
      <c r="BC65" s="12" t="s">
        <v>866</v>
      </c>
      <c r="BD65" s="12" t="s">
        <v>867</v>
      </c>
      <c r="BE65" s="12" t="s">
        <v>868</v>
      </c>
      <c r="BF65" s="12" t="s">
        <v>869</v>
      </c>
      <c r="BG65" s="12" t="s">
        <v>870</v>
      </c>
      <c r="BH65" s="12" t="s">
        <v>841</v>
      </c>
      <c r="BI65" s="12" t="s">
        <v>871</v>
      </c>
      <c r="BJ65" s="12" t="s">
        <v>841</v>
      </c>
      <c r="BK65" s="12" t="s">
        <v>841</v>
      </c>
      <c r="BL65" s="12" t="s">
        <v>872</v>
      </c>
      <c r="BM65" s="12" t="s">
        <v>873</v>
      </c>
      <c r="BN65" s="12" t="s">
        <v>866</v>
      </c>
      <c r="BO65" s="12" t="s">
        <v>874</v>
      </c>
      <c r="BP65" s="12" t="s">
        <v>875</v>
      </c>
      <c r="BQ65" s="12" t="s">
        <v>876</v>
      </c>
      <c r="BR65" s="12" t="s">
        <v>869</v>
      </c>
      <c r="BS65" s="12" t="s">
        <v>869</v>
      </c>
      <c r="BT65" s="12" t="s">
        <v>877</v>
      </c>
      <c r="BU65" s="12" t="s">
        <v>877</v>
      </c>
      <c r="BV65" s="12" t="s">
        <v>877</v>
      </c>
      <c r="BW65" s="12" t="s">
        <v>841</v>
      </c>
      <c r="BX65" s="12" t="s">
        <v>878</v>
      </c>
      <c r="BY65" s="12" t="s">
        <v>841</v>
      </c>
      <c r="BZ65" s="12" t="s">
        <v>841</v>
      </c>
      <c r="CA65" s="12" t="s">
        <v>841</v>
      </c>
      <c r="CB65" s="12" t="s">
        <v>841</v>
      </c>
      <c r="CC65" s="12" t="s">
        <v>2558</v>
      </c>
      <c r="CD65" s="12" t="s">
        <v>2559</v>
      </c>
      <c r="CE65" s="12" t="s">
        <v>2560</v>
      </c>
      <c r="CF65" s="12" t="s">
        <v>2561</v>
      </c>
      <c r="CG65" s="12" t="s">
        <v>2562</v>
      </c>
      <c r="CH65" s="12" t="s">
        <v>2563</v>
      </c>
      <c r="CI65" s="12" t="s">
        <v>2564</v>
      </c>
      <c r="CJ65" s="12" t="s">
        <v>2565</v>
      </c>
      <c r="CK65" s="12" t="s">
        <v>2550</v>
      </c>
      <c r="CL65" s="12" t="s">
        <v>1893</v>
      </c>
      <c r="CM65" s="12" t="s">
        <v>888</v>
      </c>
      <c r="CN65" s="12" t="s">
        <v>841</v>
      </c>
      <c r="CO65" s="12" t="s">
        <v>847</v>
      </c>
      <c r="CP65" s="12" t="s">
        <v>889</v>
      </c>
      <c r="CQ65" s="12" t="s">
        <v>890</v>
      </c>
      <c r="CR65" s="12" t="s">
        <v>847</v>
      </c>
      <c r="CS65" s="12" t="s">
        <v>891</v>
      </c>
      <c r="CT65" s="12" t="s">
        <v>892</v>
      </c>
      <c r="CU65" s="12" t="s">
        <v>893</v>
      </c>
      <c r="CV65" s="12" t="s">
        <v>841</v>
      </c>
      <c r="CW65" s="12" t="s">
        <v>2549</v>
      </c>
      <c r="CX65" s="12" t="s">
        <v>894</v>
      </c>
      <c r="CY65" s="12" t="s">
        <v>895</v>
      </c>
      <c r="CZ65" s="12" t="s">
        <v>896</v>
      </c>
      <c r="DA65" s="12" t="s">
        <v>897</v>
      </c>
      <c r="DB65" s="12" t="s">
        <v>898</v>
      </c>
      <c r="DC65" s="12" t="s">
        <v>899</v>
      </c>
    </row>
    <row r="66">
      <c r="A66" s="12" t="s">
        <v>1177</v>
      </c>
      <c r="B66" s="12" t="s">
        <v>317</v>
      </c>
      <c r="C66" s="12" t="s">
        <v>95</v>
      </c>
      <c r="D66" s="12" t="s">
        <v>833</v>
      </c>
      <c r="E66" s="12" t="s">
        <v>834</v>
      </c>
      <c r="F66" s="12"/>
      <c r="G66" s="12" t="s">
        <v>281</v>
      </c>
      <c r="H66" s="12" t="s">
        <v>307</v>
      </c>
      <c r="I66" s="12"/>
      <c r="J66" s="43">
        <f t="shared" si="1"/>
        <v>-0.03071692349</v>
      </c>
      <c r="K66" s="43">
        <f t="shared" si="2"/>
        <v>2.91060848</v>
      </c>
      <c r="L66" s="43">
        <f t="shared" si="3"/>
        <v>-0.0310445502</v>
      </c>
      <c r="M66" s="43">
        <f t="shared" si="4"/>
        <v>-1.525029003</v>
      </c>
      <c r="N66" s="12" t="s">
        <v>2566</v>
      </c>
      <c r="O66" s="12" t="s">
        <v>2567</v>
      </c>
      <c r="P66" s="43">
        <f t="shared" si="5"/>
        <v>6.23978628</v>
      </c>
      <c r="Q66" s="43">
        <f t="shared" si="6"/>
        <v>4.62817228</v>
      </c>
      <c r="R66" s="12" t="s">
        <v>2568</v>
      </c>
      <c r="S66" s="12" t="s">
        <v>2569</v>
      </c>
      <c r="T66" s="43">
        <f t="shared" si="7"/>
        <v>63.58045935</v>
      </c>
      <c r="U66" s="43">
        <f t="shared" si="8"/>
        <v>0.4417875</v>
      </c>
      <c r="V66" s="12" t="s">
        <v>839</v>
      </c>
      <c r="W66" s="12" t="s">
        <v>2570</v>
      </c>
      <c r="X66" s="12" t="s">
        <v>841</v>
      </c>
      <c r="Y66" s="12" t="s">
        <v>841</v>
      </c>
      <c r="Z66" s="12" t="s">
        <v>841</v>
      </c>
      <c r="AA66" s="12" t="s">
        <v>2571</v>
      </c>
      <c r="AB66" s="12" t="s">
        <v>2572</v>
      </c>
      <c r="AC66" s="12" t="s">
        <v>2573</v>
      </c>
      <c r="AD66" s="12" t="s">
        <v>845</v>
      </c>
      <c r="AE66" s="12" t="s">
        <v>846</v>
      </c>
      <c r="AF66" s="43">
        <f t="shared" si="9"/>
        <v>16.5306032</v>
      </c>
      <c r="AG66" s="12" t="s">
        <v>847</v>
      </c>
      <c r="AH66" s="12" t="s">
        <v>2031</v>
      </c>
      <c r="AI66" s="12" t="s">
        <v>2574</v>
      </c>
      <c r="AJ66" s="12" t="s">
        <v>2575</v>
      </c>
      <c r="AK66" s="12" t="s">
        <v>2576</v>
      </c>
      <c r="AL66" s="43">
        <f t="shared" si="10"/>
        <v>36.81</v>
      </c>
      <c r="AM66" s="12" t="s">
        <v>1071</v>
      </c>
      <c r="AN66" s="12" t="s">
        <v>1159</v>
      </c>
      <c r="AO66" s="12" t="s">
        <v>2577</v>
      </c>
      <c r="AP66" s="12" t="s">
        <v>2578</v>
      </c>
      <c r="AQ66" s="12" t="s">
        <v>2579</v>
      </c>
      <c r="AR66" s="12" t="s">
        <v>2465</v>
      </c>
      <c r="AS66" s="12" t="s">
        <v>2329</v>
      </c>
      <c r="AT66" s="12" t="s">
        <v>95</v>
      </c>
      <c r="AU66" s="12" t="s">
        <v>2330</v>
      </c>
      <c r="AV66" s="12" t="s">
        <v>832</v>
      </c>
      <c r="AW66" s="12" t="s">
        <v>1542</v>
      </c>
      <c r="AX66" s="12" t="s">
        <v>868</v>
      </c>
      <c r="AY66" s="12" t="s">
        <v>868</v>
      </c>
      <c r="AZ66" s="12" t="s">
        <v>2580</v>
      </c>
      <c r="BA66" s="12" t="s">
        <v>868</v>
      </c>
      <c r="BB66" s="12" t="s">
        <v>868</v>
      </c>
      <c r="BC66" s="12" t="s">
        <v>866</v>
      </c>
      <c r="BD66" s="12" t="s">
        <v>867</v>
      </c>
      <c r="BE66" s="12" t="s">
        <v>868</v>
      </c>
      <c r="BF66" s="12" t="s">
        <v>869</v>
      </c>
      <c r="BG66" s="12" t="s">
        <v>870</v>
      </c>
      <c r="BH66" s="12" t="s">
        <v>841</v>
      </c>
      <c r="BI66" s="12" t="s">
        <v>871</v>
      </c>
      <c r="BJ66" s="12" t="s">
        <v>841</v>
      </c>
      <c r="BK66" s="12" t="s">
        <v>841</v>
      </c>
      <c r="BL66" s="12" t="s">
        <v>872</v>
      </c>
      <c r="BM66" s="12" t="s">
        <v>873</v>
      </c>
      <c r="BN66" s="12" t="s">
        <v>866</v>
      </c>
      <c r="BO66" s="12" t="s">
        <v>874</v>
      </c>
      <c r="BP66" s="12" t="s">
        <v>875</v>
      </c>
      <c r="BQ66" s="12" t="s">
        <v>876</v>
      </c>
      <c r="BR66" s="12" t="s">
        <v>869</v>
      </c>
      <c r="BS66" s="12" t="s">
        <v>869</v>
      </c>
      <c r="BT66" s="12" t="s">
        <v>877</v>
      </c>
      <c r="BU66" s="12" t="s">
        <v>877</v>
      </c>
      <c r="BV66" s="12" t="s">
        <v>877</v>
      </c>
      <c r="BW66" s="12" t="s">
        <v>841</v>
      </c>
      <c r="BX66" s="12" t="s">
        <v>878</v>
      </c>
      <c r="BY66" s="12" t="s">
        <v>841</v>
      </c>
      <c r="BZ66" s="12" t="s">
        <v>841</v>
      </c>
      <c r="CA66" s="12" t="s">
        <v>841</v>
      </c>
      <c r="CB66" s="12" t="s">
        <v>841</v>
      </c>
      <c r="CC66" s="12" t="s">
        <v>2581</v>
      </c>
      <c r="CD66" s="12" t="s">
        <v>2582</v>
      </c>
      <c r="CE66" s="12" t="s">
        <v>2583</v>
      </c>
      <c r="CF66" s="12" t="s">
        <v>2584</v>
      </c>
      <c r="CG66" s="12" t="s">
        <v>2585</v>
      </c>
      <c r="CH66" s="12" t="s">
        <v>2586</v>
      </c>
      <c r="CI66" s="12" t="s">
        <v>2587</v>
      </c>
      <c r="CJ66" s="12" t="s">
        <v>2588</v>
      </c>
      <c r="CK66" s="12" t="s">
        <v>2571</v>
      </c>
      <c r="CL66" s="12" t="s">
        <v>1997</v>
      </c>
      <c r="CM66" s="12" t="s">
        <v>888</v>
      </c>
      <c r="CN66" s="12" t="s">
        <v>841</v>
      </c>
      <c r="CO66" s="12" t="s">
        <v>847</v>
      </c>
      <c r="CP66" s="12" t="s">
        <v>889</v>
      </c>
      <c r="CQ66" s="12" t="s">
        <v>890</v>
      </c>
      <c r="CR66" s="12" t="s">
        <v>847</v>
      </c>
      <c r="CS66" s="12" t="s">
        <v>891</v>
      </c>
      <c r="CT66" s="12" t="s">
        <v>892</v>
      </c>
      <c r="CU66" s="12" t="s">
        <v>893</v>
      </c>
      <c r="CV66" s="12" t="s">
        <v>841</v>
      </c>
      <c r="CW66" s="12" t="s">
        <v>2570</v>
      </c>
      <c r="CX66" s="12" t="s">
        <v>894</v>
      </c>
      <c r="CY66" s="12" t="s">
        <v>895</v>
      </c>
      <c r="CZ66" s="12" t="s">
        <v>896</v>
      </c>
      <c r="DA66" s="12" t="s">
        <v>897</v>
      </c>
      <c r="DB66" s="12" t="s">
        <v>898</v>
      </c>
      <c r="DC66" s="12" t="s">
        <v>899</v>
      </c>
    </row>
    <row r="67">
      <c r="A67" s="12" t="s">
        <v>1209</v>
      </c>
      <c r="B67" s="12" t="s">
        <v>318</v>
      </c>
      <c r="C67" s="12" t="s">
        <v>95</v>
      </c>
      <c r="D67" s="12" t="s">
        <v>833</v>
      </c>
      <c r="E67" s="12" t="s">
        <v>834</v>
      </c>
      <c r="F67" s="12"/>
      <c r="G67" s="12" t="s">
        <v>281</v>
      </c>
      <c r="H67" s="12" t="s">
        <v>307</v>
      </c>
      <c r="I67" s="12"/>
      <c r="J67" s="43">
        <f t="shared" si="1"/>
        <v>-0.01490012885</v>
      </c>
      <c r="K67" s="43">
        <f t="shared" si="2"/>
        <v>2.91060848</v>
      </c>
      <c r="L67" s="43">
        <f t="shared" si="3"/>
        <v>-0.0149767988</v>
      </c>
      <c r="M67" s="43">
        <f t="shared" si="4"/>
        <v>-0.7668061666</v>
      </c>
      <c r="N67" s="12" t="s">
        <v>2589</v>
      </c>
      <c r="O67" s="12" t="s">
        <v>2590</v>
      </c>
      <c r="P67" s="43">
        <f t="shared" si="5"/>
        <v>6.415841103</v>
      </c>
      <c r="Q67" s="43">
        <f t="shared" si="6"/>
        <v>4.819557103</v>
      </c>
      <c r="R67" s="12" t="s">
        <v>2591</v>
      </c>
      <c r="S67" s="12" t="s">
        <v>2592</v>
      </c>
      <c r="T67" s="43">
        <f t="shared" si="7"/>
        <v>65.37437439</v>
      </c>
      <c r="U67" s="43">
        <f t="shared" si="8"/>
        <v>0.4417875</v>
      </c>
      <c r="V67" s="12" t="s">
        <v>839</v>
      </c>
      <c r="W67" s="12" t="s">
        <v>2593</v>
      </c>
      <c r="X67" s="12" t="s">
        <v>841</v>
      </c>
      <c r="Y67" s="12" t="s">
        <v>841</v>
      </c>
      <c r="Z67" s="12" t="s">
        <v>841</v>
      </c>
      <c r="AA67" s="12" t="s">
        <v>2594</v>
      </c>
      <c r="AB67" s="12" t="s">
        <v>2595</v>
      </c>
      <c r="AC67" s="12" t="s">
        <v>2596</v>
      </c>
      <c r="AD67" s="12" t="s">
        <v>845</v>
      </c>
      <c r="AE67" s="12" t="s">
        <v>846</v>
      </c>
      <c r="AF67" s="43">
        <f t="shared" si="9"/>
        <v>28.3780992</v>
      </c>
      <c r="AG67" s="12" t="s">
        <v>847</v>
      </c>
      <c r="AH67" s="12" t="s">
        <v>2597</v>
      </c>
      <c r="AI67" s="12" t="s">
        <v>2598</v>
      </c>
      <c r="AJ67" s="12" t="s">
        <v>2599</v>
      </c>
      <c r="AK67" s="12" t="s">
        <v>2600</v>
      </c>
      <c r="AL67" s="43">
        <f t="shared" si="10"/>
        <v>37.32</v>
      </c>
      <c r="AM67" s="12" t="s">
        <v>1071</v>
      </c>
      <c r="AN67" s="12" t="s">
        <v>1159</v>
      </c>
      <c r="AO67" s="12" t="s">
        <v>2601</v>
      </c>
      <c r="AP67" s="12" t="s">
        <v>2602</v>
      </c>
      <c r="AQ67" s="12" t="s">
        <v>2603</v>
      </c>
      <c r="AR67" s="12" t="s">
        <v>2604</v>
      </c>
      <c r="AS67" s="12" t="s">
        <v>2329</v>
      </c>
      <c r="AT67" s="12" t="s">
        <v>95</v>
      </c>
      <c r="AU67" s="12" t="s">
        <v>2330</v>
      </c>
      <c r="AV67" s="12" t="s">
        <v>832</v>
      </c>
      <c r="AW67" s="12" t="s">
        <v>1286</v>
      </c>
      <c r="AX67" s="12" t="s">
        <v>923</v>
      </c>
      <c r="AY67" s="12" t="s">
        <v>868</v>
      </c>
      <c r="AZ67" s="12" t="s">
        <v>2605</v>
      </c>
      <c r="BA67" s="12" t="s">
        <v>2606</v>
      </c>
      <c r="BB67" s="12" t="s">
        <v>868</v>
      </c>
      <c r="BC67" s="12" t="s">
        <v>866</v>
      </c>
      <c r="BD67" s="12" t="s">
        <v>867</v>
      </c>
      <c r="BE67" s="12" t="s">
        <v>868</v>
      </c>
      <c r="BF67" s="12" t="s">
        <v>869</v>
      </c>
      <c r="BG67" s="12" t="s">
        <v>870</v>
      </c>
      <c r="BH67" s="12" t="s">
        <v>841</v>
      </c>
      <c r="BI67" s="12" t="s">
        <v>871</v>
      </c>
      <c r="BJ67" s="12" t="s">
        <v>841</v>
      </c>
      <c r="BK67" s="12" t="s">
        <v>841</v>
      </c>
      <c r="BL67" s="12" t="s">
        <v>872</v>
      </c>
      <c r="BM67" s="12" t="s">
        <v>873</v>
      </c>
      <c r="BN67" s="12" t="s">
        <v>866</v>
      </c>
      <c r="BO67" s="12" t="s">
        <v>874</v>
      </c>
      <c r="BP67" s="12" t="s">
        <v>875</v>
      </c>
      <c r="BQ67" s="12" t="s">
        <v>876</v>
      </c>
      <c r="BR67" s="12" t="s">
        <v>869</v>
      </c>
      <c r="BS67" s="12" t="s">
        <v>869</v>
      </c>
      <c r="BT67" s="12" t="s">
        <v>877</v>
      </c>
      <c r="BU67" s="12" t="s">
        <v>877</v>
      </c>
      <c r="BV67" s="12" t="s">
        <v>877</v>
      </c>
      <c r="BW67" s="12" t="s">
        <v>841</v>
      </c>
      <c r="BX67" s="12" t="s">
        <v>878</v>
      </c>
      <c r="BY67" s="12" t="s">
        <v>841</v>
      </c>
      <c r="BZ67" s="12" t="s">
        <v>841</v>
      </c>
      <c r="CA67" s="12" t="s">
        <v>841</v>
      </c>
      <c r="CB67" s="12" t="s">
        <v>841</v>
      </c>
      <c r="CC67" s="12" t="s">
        <v>2607</v>
      </c>
      <c r="CD67" s="12" t="s">
        <v>2608</v>
      </c>
      <c r="CE67" s="12" t="s">
        <v>2609</v>
      </c>
      <c r="CF67" s="12" t="s">
        <v>2610</v>
      </c>
      <c r="CG67" s="12" t="s">
        <v>2611</v>
      </c>
      <c r="CH67" s="12" t="s">
        <v>2612</v>
      </c>
      <c r="CI67" s="12" t="s">
        <v>2613</v>
      </c>
      <c r="CJ67" s="12" t="s">
        <v>2614</v>
      </c>
      <c r="CK67" s="12" t="s">
        <v>2594</v>
      </c>
      <c r="CL67" s="12" t="s">
        <v>1742</v>
      </c>
      <c r="CM67" s="12" t="s">
        <v>888</v>
      </c>
      <c r="CN67" s="12" t="s">
        <v>841</v>
      </c>
      <c r="CO67" s="12" t="s">
        <v>847</v>
      </c>
      <c r="CP67" s="12" t="s">
        <v>889</v>
      </c>
      <c r="CQ67" s="12" t="s">
        <v>890</v>
      </c>
      <c r="CR67" s="12" t="s">
        <v>847</v>
      </c>
      <c r="CS67" s="12" t="s">
        <v>891</v>
      </c>
      <c r="CT67" s="12" t="s">
        <v>892</v>
      </c>
      <c r="CU67" s="12" t="s">
        <v>893</v>
      </c>
      <c r="CV67" s="12" t="s">
        <v>841</v>
      </c>
      <c r="CW67" s="12" t="s">
        <v>2593</v>
      </c>
      <c r="CX67" s="12" t="s">
        <v>894</v>
      </c>
      <c r="CY67" s="12" t="s">
        <v>895</v>
      </c>
      <c r="CZ67" s="12" t="s">
        <v>896</v>
      </c>
      <c r="DA67" s="12" t="s">
        <v>897</v>
      </c>
      <c r="DB67" s="12" t="s">
        <v>898</v>
      </c>
      <c r="DC67" s="12" t="s">
        <v>899</v>
      </c>
    </row>
    <row r="68">
      <c r="A68" s="12" t="s">
        <v>1237</v>
      </c>
      <c r="B68" s="12" t="s">
        <v>321</v>
      </c>
      <c r="C68" s="12" t="s">
        <v>95</v>
      </c>
      <c r="D68" s="12" t="s">
        <v>833</v>
      </c>
      <c r="E68" s="12" t="s">
        <v>834</v>
      </c>
      <c r="F68" s="12"/>
      <c r="G68" s="12" t="s">
        <v>227</v>
      </c>
      <c r="H68" s="12" t="s">
        <v>320</v>
      </c>
      <c r="I68" s="12"/>
      <c r="J68" s="43">
        <f t="shared" si="1"/>
        <v>0.02244489985</v>
      </c>
      <c r="K68" s="43">
        <f t="shared" si="2"/>
        <v>2.90981592</v>
      </c>
      <c r="L68" s="43">
        <f t="shared" si="3"/>
        <v>0.02227309605</v>
      </c>
      <c r="M68" s="43">
        <f t="shared" si="4"/>
        <v>1.111211659</v>
      </c>
      <c r="N68" s="12" t="s">
        <v>2615</v>
      </c>
      <c r="O68" s="12" t="s">
        <v>2616</v>
      </c>
      <c r="P68" s="43">
        <f t="shared" si="5"/>
        <v>6.151658391</v>
      </c>
      <c r="Q68" s="43">
        <f t="shared" si="6"/>
        <v>4.703177391</v>
      </c>
      <c r="R68" s="12" t="s">
        <v>2617</v>
      </c>
      <c r="S68" s="12" t="s">
        <v>2618</v>
      </c>
      <c r="T68" s="43">
        <f t="shared" si="7"/>
        <v>62.72721924</v>
      </c>
      <c r="U68" s="43">
        <f t="shared" si="8"/>
        <v>0.4417875</v>
      </c>
      <c r="V68" s="12" t="s">
        <v>839</v>
      </c>
      <c r="W68" s="12" t="s">
        <v>2619</v>
      </c>
      <c r="X68" s="12" t="s">
        <v>841</v>
      </c>
      <c r="Y68" s="12" t="s">
        <v>841</v>
      </c>
      <c r="Z68" s="12" t="s">
        <v>841</v>
      </c>
      <c r="AA68" s="12" t="s">
        <v>2620</v>
      </c>
      <c r="AB68" s="12" t="s">
        <v>2621</v>
      </c>
      <c r="AC68" s="12" t="s">
        <v>2622</v>
      </c>
      <c r="AD68" s="12" t="s">
        <v>845</v>
      </c>
      <c r="AE68" s="12" t="s">
        <v>846</v>
      </c>
      <c r="AF68" s="43">
        <f t="shared" si="9"/>
        <v>9.864976</v>
      </c>
      <c r="AG68" s="12" t="s">
        <v>847</v>
      </c>
      <c r="AH68" s="12" t="s">
        <v>2623</v>
      </c>
      <c r="AI68" s="12" t="s">
        <v>2165</v>
      </c>
      <c r="AJ68" s="12" t="s">
        <v>2624</v>
      </c>
      <c r="AK68" s="12" t="s">
        <v>2625</v>
      </c>
      <c r="AL68" s="43">
        <f t="shared" si="10"/>
        <v>36.55</v>
      </c>
      <c r="AM68" s="12" t="s">
        <v>2626</v>
      </c>
      <c r="AN68" s="12" t="s">
        <v>914</v>
      </c>
      <c r="AO68" s="12" t="s">
        <v>2627</v>
      </c>
      <c r="AP68" s="12" t="s">
        <v>2628</v>
      </c>
      <c r="AQ68" s="12" t="s">
        <v>2629</v>
      </c>
      <c r="AR68" s="12" t="s">
        <v>2630</v>
      </c>
      <c r="AS68" s="12" t="s">
        <v>2631</v>
      </c>
      <c r="AT68" s="12" t="s">
        <v>95</v>
      </c>
      <c r="AU68" s="12" t="s">
        <v>2632</v>
      </c>
      <c r="AV68" s="12" t="s">
        <v>832</v>
      </c>
      <c r="AW68" s="12" t="s">
        <v>1542</v>
      </c>
      <c r="AX68" s="12" t="s">
        <v>1286</v>
      </c>
      <c r="AY68" s="12" t="s">
        <v>1598</v>
      </c>
      <c r="AZ68" s="12" t="s">
        <v>2633</v>
      </c>
      <c r="BA68" s="12" t="s">
        <v>2634</v>
      </c>
      <c r="BB68" s="12" t="s">
        <v>2635</v>
      </c>
      <c r="BC68" s="12" t="s">
        <v>866</v>
      </c>
      <c r="BD68" s="12" t="s">
        <v>867</v>
      </c>
      <c r="BE68" s="12" t="s">
        <v>868</v>
      </c>
      <c r="BF68" s="12" t="s">
        <v>869</v>
      </c>
      <c r="BG68" s="12" t="s">
        <v>870</v>
      </c>
      <c r="BH68" s="12" t="s">
        <v>841</v>
      </c>
      <c r="BI68" s="12" t="s">
        <v>871</v>
      </c>
      <c r="BJ68" s="12" t="s">
        <v>841</v>
      </c>
      <c r="BK68" s="12" t="s">
        <v>841</v>
      </c>
      <c r="BL68" s="12" t="s">
        <v>872</v>
      </c>
      <c r="BM68" s="12" t="s">
        <v>873</v>
      </c>
      <c r="BN68" s="12" t="s">
        <v>866</v>
      </c>
      <c r="BO68" s="12" t="s">
        <v>874</v>
      </c>
      <c r="BP68" s="12" t="s">
        <v>875</v>
      </c>
      <c r="BQ68" s="12" t="s">
        <v>876</v>
      </c>
      <c r="BR68" s="12" t="s">
        <v>869</v>
      </c>
      <c r="BS68" s="12" t="s">
        <v>869</v>
      </c>
      <c r="BT68" s="12" t="s">
        <v>877</v>
      </c>
      <c r="BU68" s="12" t="s">
        <v>877</v>
      </c>
      <c r="BV68" s="12" t="s">
        <v>877</v>
      </c>
      <c r="BW68" s="12" t="s">
        <v>841</v>
      </c>
      <c r="BX68" s="12" t="s">
        <v>878</v>
      </c>
      <c r="BY68" s="12" t="s">
        <v>841</v>
      </c>
      <c r="BZ68" s="12" t="s">
        <v>841</v>
      </c>
      <c r="CA68" s="12" t="s">
        <v>841</v>
      </c>
      <c r="CB68" s="12" t="s">
        <v>841</v>
      </c>
      <c r="CC68" s="12" t="s">
        <v>2636</v>
      </c>
      <c r="CD68" s="12" t="s">
        <v>2637</v>
      </c>
      <c r="CE68" s="12" t="s">
        <v>2638</v>
      </c>
      <c r="CF68" s="12" t="s">
        <v>2639</v>
      </c>
      <c r="CG68" s="12" t="s">
        <v>2640</v>
      </c>
      <c r="CH68" s="12" t="s">
        <v>2641</v>
      </c>
      <c r="CI68" s="12" t="s">
        <v>2642</v>
      </c>
      <c r="CJ68" s="12" t="s">
        <v>2643</v>
      </c>
      <c r="CK68" s="12" t="s">
        <v>2620</v>
      </c>
      <c r="CL68" s="12" t="s">
        <v>1384</v>
      </c>
      <c r="CM68" s="12" t="s">
        <v>888</v>
      </c>
      <c r="CN68" s="12" t="s">
        <v>841</v>
      </c>
      <c r="CO68" s="12" t="s">
        <v>847</v>
      </c>
      <c r="CP68" s="12" t="s">
        <v>889</v>
      </c>
      <c r="CQ68" s="12" t="s">
        <v>890</v>
      </c>
      <c r="CR68" s="12" t="s">
        <v>847</v>
      </c>
      <c r="CS68" s="12" t="s">
        <v>891</v>
      </c>
      <c r="CT68" s="12" t="s">
        <v>892</v>
      </c>
      <c r="CU68" s="12" t="s">
        <v>893</v>
      </c>
      <c r="CV68" s="12" t="s">
        <v>841</v>
      </c>
      <c r="CW68" s="12" t="s">
        <v>2619</v>
      </c>
      <c r="CX68" s="12" t="s">
        <v>894</v>
      </c>
      <c r="CY68" s="12" t="s">
        <v>895</v>
      </c>
      <c r="CZ68" s="12" t="s">
        <v>896</v>
      </c>
      <c r="DA68" s="12" t="s">
        <v>897</v>
      </c>
      <c r="DB68" s="12" t="s">
        <v>898</v>
      </c>
      <c r="DC68" s="12" t="s">
        <v>899</v>
      </c>
    </row>
    <row r="69">
      <c r="A69" s="12" t="s">
        <v>1636</v>
      </c>
      <c r="B69" s="12" t="s">
        <v>322</v>
      </c>
      <c r="C69" s="12" t="s">
        <v>95</v>
      </c>
      <c r="D69" s="12" t="s">
        <v>833</v>
      </c>
      <c r="E69" s="12" t="s">
        <v>834</v>
      </c>
      <c r="F69" s="12"/>
      <c r="G69" s="12" t="s">
        <v>227</v>
      </c>
      <c r="H69" s="12" t="s">
        <v>320</v>
      </c>
      <c r="I69" s="12"/>
      <c r="J69" s="43">
        <f t="shared" si="1"/>
        <v>-0.001858160203</v>
      </c>
      <c r="K69" s="43">
        <f t="shared" si="2"/>
        <v>2.91060848</v>
      </c>
      <c r="L69" s="43">
        <f t="shared" si="3"/>
        <v>-0.001859347228</v>
      </c>
      <c r="M69" s="43">
        <f t="shared" si="4"/>
        <v>-0.09063316725</v>
      </c>
      <c r="N69" s="12" t="s">
        <v>2644</v>
      </c>
      <c r="O69" s="12" t="s">
        <v>2645</v>
      </c>
      <c r="P69" s="43">
        <f t="shared" si="5"/>
        <v>6.001681966</v>
      </c>
      <c r="Q69" s="43">
        <f t="shared" si="6"/>
        <v>4.599410966</v>
      </c>
      <c r="R69" s="12" t="s">
        <v>2646</v>
      </c>
      <c r="S69" s="12" t="s">
        <v>2647</v>
      </c>
      <c r="T69" s="43">
        <f t="shared" si="7"/>
        <v>61.20418077</v>
      </c>
      <c r="U69" s="43">
        <f t="shared" si="8"/>
        <v>0.4417875</v>
      </c>
      <c r="V69" s="12" t="s">
        <v>839</v>
      </c>
      <c r="W69" s="12" t="s">
        <v>2648</v>
      </c>
      <c r="X69" s="12" t="s">
        <v>841</v>
      </c>
      <c r="Y69" s="12" t="s">
        <v>841</v>
      </c>
      <c r="Z69" s="12" t="s">
        <v>841</v>
      </c>
      <c r="AA69" s="12" t="s">
        <v>2649</v>
      </c>
      <c r="AB69" s="12" t="s">
        <v>2650</v>
      </c>
      <c r="AC69" s="12" t="s">
        <v>2651</v>
      </c>
      <c r="AD69" s="12" t="s">
        <v>845</v>
      </c>
      <c r="AE69" s="12" t="s">
        <v>846</v>
      </c>
      <c r="AF69" s="43">
        <f t="shared" si="9"/>
        <v>9.01313</v>
      </c>
      <c r="AG69" s="12" t="s">
        <v>847</v>
      </c>
      <c r="AH69" s="12" t="s">
        <v>2652</v>
      </c>
      <c r="AI69" s="12" t="s">
        <v>2653</v>
      </c>
      <c r="AJ69" s="12" t="s">
        <v>2654</v>
      </c>
      <c r="AK69" s="12" t="s">
        <v>2655</v>
      </c>
      <c r="AL69" s="43">
        <f t="shared" si="10"/>
        <v>36.1</v>
      </c>
      <c r="AM69" s="12" t="s">
        <v>1396</v>
      </c>
      <c r="AN69" s="12" t="s">
        <v>1159</v>
      </c>
      <c r="AO69" s="12" t="s">
        <v>2656</v>
      </c>
      <c r="AP69" s="12" t="s">
        <v>2657</v>
      </c>
      <c r="AQ69" s="12" t="s">
        <v>1860</v>
      </c>
      <c r="AR69" s="12" t="s">
        <v>2630</v>
      </c>
      <c r="AS69" s="12" t="s">
        <v>2631</v>
      </c>
      <c r="AT69" s="12" t="s">
        <v>95</v>
      </c>
      <c r="AU69" s="12" t="s">
        <v>2632</v>
      </c>
      <c r="AV69" s="12" t="s">
        <v>832</v>
      </c>
      <c r="AW69" s="12" t="s">
        <v>1543</v>
      </c>
      <c r="AX69" s="12" t="s">
        <v>868</v>
      </c>
      <c r="AY69" s="12" t="s">
        <v>868</v>
      </c>
      <c r="AZ69" s="12" t="s">
        <v>2658</v>
      </c>
      <c r="BA69" s="12" t="s">
        <v>868</v>
      </c>
      <c r="BB69" s="12" t="s">
        <v>868</v>
      </c>
      <c r="BC69" s="12" t="s">
        <v>866</v>
      </c>
      <c r="BD69" s="12" t="s">
        <v>867</v>
      </c>
      <c r="BE69" s="12" t="s">
        <v>868</v>
      </c>
      <c r="BF69" s="12" t="s">
        <v>869</v>
      </c>
      <c r="BG69" s="12" t="s">
        <v>870</v>
      </c>
      <c r="BH69" s="12" t="s">
        <v>841</v>
      </c>
      <c r="BI69" s="12" t="s">
        <v>871</v>
      </c>
      <c r="BJ69" s="12" t="s">
        <v>841</v>
      </c>
      <c r="BK69" s="12" t="s">
        <v>841</v>
      </c>
      <c r="BL69" s="12" t="s">
        <v>872</v>
      </c>
      <c r="BM69" s="12" t="s">
        <v>873</v>
      </c>
      <c r="BN69" s="12" t="s">
        <v>866</v>
      </c>
      <c r="BO69" s="12" t="s">
        <v>874</v>
      </c>
      <c r="BP69" s="12" t="s">
        <v>875</v>
      </c>
      <c r="BQ69" s="12" t="s">
        <v>876</v>
      </c>
      <c r="BR69" s="12" t="s">
        <v>869</v>
      </c>
      <c r="BS69" s="12" t="s">
        <v>869</v>
      </c>
      <c r="BT69" s="12" t="s">
        <v>877</v>
      </c>
      <c r="BU69" s="12" t="s">
        <v>877</v>
      </c>
      <c r="BV69" s="12" t="s">
        <v>877</v>
      </c>
      <c r="BW69" s="12" t="s">
        <v>841</v>
      </c>
      <c r="BX69" s="12" t="s">
        <v>878</v>
      </c>
      <c r="BY69" s="12" t="s">
        <v>841</v>
      </c>
      <c r="BZ69" s="12" t="s">
        <v>841</v>
      </c>
      <c r="CA69" s="12" t="s">
        <v>841</v>
      </c>
      <c r="CB69" s="12" t="s">
        <v>841</v>
      </c>
      <c r="CC69" s="12" t="s">
        <v>2659</v>
      </c>
      <c r="CD69" s="12" t="s">
        <v>2660</v>
      </c>
      <c r="CE69" s="12" t="s">
        <v>2661</v>
      </c>
      <c r="CF69" s="12" t="s">
        <v>2662</v>
      </c>
      <c r="CG69" s="12" t="s">
        <v>2663</v>
      </c>
      <c r="CH69" s="12" t="s">
        <v>2664</v>
      </c>
      <c r="CI69" s="12" t="s">
        <v>2665</v>
      </c>
      <c r="CJ69" s="12" t="s">
        <v>2666</v>
      </c>
      <c r="CK69" s="12" t="s">
        <v>2649</v>
      </c>
      <c r="CL69" s="12" t="s">
        <v>1208</v>
      </c>
      <c r="CM69" s="12" t="s">
        <v>888</v>
      </c>
      <c r="CN69" s="12" t="s">
        <v>841</v>
      </c>
      <c r="CO69" s="12" t="s">
        <v>847</v>
      </c>
      <c r="CP69" s="12" t="s">
        <v>889</v>
      </c>
      <c r="CQ69" s="12" t="s">
        <v>890</v>
      </c>
      <c r="CR69" s="12" t="s">
        <v>847</v>
      </c>
      <c r="CS69" s="12" t="s">
        <v>891</v>
      </c>
      <c r="CT69" s="12" t="s">
        <v>892</v>
      </c>
      <c r="CU69" s="12" t="s">
        <v>893</v>
      </c>
      <c r="CV69" s="12" t="s">
        <v>841</v>
      </c>
      <c r="CW69" s="12" t="s">
        <v>2648</v>
      </c>
      <c r="CX69" s="12" t="s">
        <v>894</v>
      </c>
      <c r="CY69" s="12" t="s">
        <v>895</v>
      </c>
      <c r="CZ69" s="12" t="s">
        <v>896</v>
      </c>
      <c r="DA69" s="12" t="s">
        <v>897</v>
      </c>
      <c r="DB69" s="12" t="s">
        <v>898</v>
      </c>
      <c r="DC69" s="12" t="s">
        <v>899</v>
      </c>
    </row>
    <row r="70">
      <c r="A70" s="12" t="s">
        <v>1661</v>
      </c>
      <c r="B70" s="12" t="s">
        <v>323</v>
      </c>
      <c r="C70" s="12" t="s">
        <v>95</v>
      </c>
      <c r="D70" s="12" t="s">
        <v>833</v>
      </c>
      <c r="E70" s="12" t="s">
        <v>834</v>
      </c>
      <c r="F70" s="12"/>
      <c r="G70" s="12" t="s">
        <v>227</v>
      </c>
      <c r="H70" s="12" t="s">
        <v>320</v>
      </c>
      <c r="I70" s="12"/>
      <c r="J70" s="43">
        <f t="shared" si="1"/>
        <v>0.002536660787</v>
      </c>
      <c r="K70" s="43">
        <f t="shared" si="2"/>
        <v>2.90822672</v>
      </c>
      <c r="L70" s="43">
        <f t="shared" si="3"/>
        <v>0.002534450148</v>
      </c>
      <c r="M70" s="43">
        <f t="shared" si="4"/>
        <v>0.1232727517</v>
      </c>
      <c r="N70" s="12" t="s">
        <v>2667</v>
      </c>
      <c r="O70" s="12" t="s">
        <v>2668</v>
      </c>
      <c r="P70" s="43">
        <f t="shared" si="5"/>
        <v>5.981927095</v>
      </c>
      <c r="Q70" s="43">
        <f t="shared" si="6"/>
        <v>4.590217095</v>
      </c>
      <c r="R70" s="12" t="s">
        <v>2669</v>
      </c>
      <c r="S70" s="12" t="s">
        <v>2670</v>
      </c>
      <c r="T70" s="43">
        <f t="shared" si="7"/>
        <v>61.00272379</v>
      </c>
      <c r="U70" s="43">
        <f t="shared" si="8"/>
        <v>0.4417875</v>
      </c>
      <c r="V70" s="12" t="s">
        <v>839</v>
      </c>
      <c r="W70" s="12" t="s">
        <v>2671</v>
      </c>
      <c r="X70" s="12" t="s">
        <v>841</v>
      </c>
      <c r="Y70" s="12" t="s">
        <v>841</v>
      </c>
      <c r="Z70" s="12" t="s">
        <v>841</v>
      </c>
      <c r="AA70" s="12" t="s">
        <v>2672</v>
      </c>
      <c r="AB70" s="12" t="s">
        <v>2673</v>
      </c>
      <c r="AC70" s="12" t="s">
        <v>2674</v>
      </c>
      <c r="AD70" s="12" t="s">
        <v>845</v>
      </c>
      <c r="AE70" s="12" t="s">
        <v>846</v>
      </c>
      <c r="AF70" s="43">
        <f t="shared" si="9"/>
        <v>9.383332</v>
      </c>
      <c r="AG70" s="12" t="s">
        <v>847</v>
      </c>
      <c r="AH70" s="12" t="s">
        <v>2675</v>
      </c>
      <c r="AI70" s="12" t="s">
        <v>2676</v>
      </c>
      <c r="AJ70" s="12" t="s">
        <v>2677</v>
      </c>
      <c r="AK70" s="12" t="s">
        <v>2678</v>
      </c>
      <c r="AL70" s="43">
        <f t="shared" si="10"/>
        <v>36.04</v>
      </c>
      <c r="AM70" s="12" t="s">
        <v>1396</v>
      </c>
      <c r="AN70" s="12" t="s">
        <v>853</v>
      </c>
      <c r="AO70" s="12" t="s">
        <v>2679</v>
      </c>
      <c r="AP70" s="12" t="s">
        <v>2680</v>
      </c>
      <c r="AQ70" s="12" t="s">
        <v>1860</v>
      </c>
      <c r="AR70" s="12" t="s">
        <v>2681</v>
      </c>
      <c r="AS70" s="12" t="s">
        <v>2631</v>
      </c>
      <c r="AT70" s="12" t="s">
        <v>95</v>
      </c>
      <c r="AU70" s="12" t="s">
        <v>2632</v>
      </c>
      <c r="AV70" s="12" t="s">
        <v>832</v>
      </c>
      <c r="AW70" s="12" t="s">
        <v>1543</v>
      </c>
      <c r="AX70" s="12" t="s">
        <v>868</v>
      </c>
      <c r="AY70" s="12" t="s">
        <v>868</v>
      </c>
      <c r="AZ70" s="12" t="s">
        <v>2682</v>
      </c>
      <c r="BA70" s="12" t="s">
        <v>868</v>
      </c>
      <c r="BB70" s="12" t="s">
        <v>868</v>
      </c>
      <c r="BC70" s="12" t="s">
        <v>866</v>
      </c>
      <c r="BD70" s="12" t="s">
        <v>867</v>
      </c>
      <c r="BE70" s="12" t="s">
        <v>868</v>
      </c>
      <c r="BF70" s="12" t="s">
        <v>869</v>
      </c>
      <c r="BG70" s="12" t="s">
        <v>870</v>
      </c>
      <c r="BH70" s="12" t="s">
        <v>841</v>
      </c>
      <c r="BI70" s="12" t="s">
        <v>871</v>
      </c>
      <c r="BJ70" s="12" t="s">
        <v>841</v>
      </c>
      <c r="BK70" s="12" t="s">
        <v>841</v>
      </c>
      <c r="BL70" s="12" t="s">
        <v>872</v>
      </c>
      <c r="BM70" s="12" t="s">
        <v>873</v>
      </c>
      <c r="BN70" s="12" t="s">
        <v>866</v>
      </c>
      <c r="BO70" s="12" t="s">
        <v>874</v>
      </c>
      <c r="BP70" s="12" t="s">
        <v>875</v>
      </c>
      <c r="BQ70" s="12" t="s">
        <v>876</v>
      </c>
      <c r="BR70" s="12" t="s">
        <v>869</v>
      </c>
      <c r="BS70" s="12" t="s">
        <v>869</v>
      </c>
      <c r="BT70" s="12" t="s">
        <v>877</v>
      </c>
      <c r="BU70" s="12" t="s">
        <v>877</v>
      </c>
      <c r="BV70" s="12" t="s">
        <v>877</v>
      </c>
      <c r="BW70" s="12" t="s">
        <v>841</v>
      </c>
      <c r="BX70" s="12" t="s">
        <v>878</v>
      </c>
      <c r="BY70" s="12" t="s">
        <v>841</v>
      </c>
      <c r="BZ70" s="12" t="s">
        <v>841</v>
      </c>
      <c r="CA70" s="12" t="s">
        <v>841</v>
      </c>
      <c r="CB70" s="12" t="s">
        <v>841</v>
      </c>
      <c r="CC70" s="12" t="s">
        <v>2683</v>
      </c>
      <c r="CD70" s="12" t="s">
        <v>2684</v>
      </c>
      <c r="CE70" s="12" t="s">
        <v>2685</v>
      </c>
      <c r="CF70" s="12" t="s">
        <v>2686</v>
      </c>
      <c r="CG70" s="12" t="s">
        <v>2687</v>
      </c>
      <c r="CH70" s="12" t="s">
        <v>2688</v>
      </c>
      <c r="CI70" s="12" t="s">
        <v>2689</v>
      </c>
      <c r="CJ70" s="12" t="s">
        <v>2690</v>
      </c>
      <c r="CK70" s="12" t="s">
        <v>2672</v>
      </c>
      <c r="CL70" s="12" t="s">
        <v>2205</v>
      </c>
      <c r="CM70" s="12" t="s">
        <v>888</v>
      </c>
      <c r="CN70" s="12" t="s">
        <v>841</v>
      </c>
      <c r="CO70" s="12" t="s">
        <v>847</v>
      </c>
      <c r="CP70" s="12" t="s">
        <v>889</v>
      </c>
      <c r="CQ70" s="12" t="s">
        <v>890</v>
      </c>
      <c r="CR70" s="12" t="s">
        <v>847</v>
      </c>
      <c r="CS70" s="12" t="s">
        <v>891</v>
      </c>
      <c r="CT70" s="12" t="s">
        <v>892</v>
      </c>
      <c r="CU70" s="12" t="s">
        <v>893</v>
      </c>
      <c r="CV70" s="12" t="s">
        <v>841</v>
      </c>
      <c r="CW70" s="12" t="s">
        <v>2671</v>
      </c>
      <c r="CX70" s="12" t="s">
        <v>894</v>
      </c>
      <c r="CY70" s="12" t="s">
        <v>895</v>
      </c>
      <c r="CZ70" s="12" t="s">
        <v>896</v>
      </c>
      <c r="DA70" s="12" t="s">
        <v>897</v>
      </c>
      <c r="DB70" s="12" t="s">
        <v>898</v>
      </c>
      <c r="DC70" s="12" t="s">
        <v>899</v>
      </c>
    </row>
    <row r="71">
      <c r="A71" s="12" t="s">
        <v>1687</v>
      </c>
      <c r="B71" s="12" t="s">
        <v>325</v>
      </c>
      <c r="C71" s="12" t="s">
        <v>95</v>
      </c>
      <c r="D71" s="12" t="s">
        <v>833</v>
      </c>
      <c r="E71" s="12" t="s">
        <v>834</v>
      </c>
      <c r="F71" s="12"/>
      <c r="G71" s="12" t="s">
        <v>227</v>
      </c>
      <c r="H71" s="12" t="s">
        <v>324</v>
      </c>
      <c r="I71" s="12"/>
      <c r="J71" s="43">
        <f t="shared" si="1"/>
        <v>0.03893010012</v>
      </c>
      <c r="K71" s="43">
        <f t="shared" si="2"/>
        <v>2.90981592</v>
      </c>
      <c r="L71" s="43">
        <f t="shared" si="3"/>
        <v>0.03841613497</v>
      </c>
      <c r="M71" s="43">
        <f t="shared" si="4"/>
        <v>1.82430277</v>
      </c>
      <c r="N71" s="12" t="s">
        <v>2691</v>
      </c>
      <c r="O71" s="12" t="s">
        <v>2692</v>
      </c>
      <c r="P71" s="43">
        <f t="shared" si="5"/>
        <v>5.998385558</v>
      </c>
      <c r="Q71" s="43">
        <f t="shared" si="6"/>
        <v>4.478163558</v>
      </c>
      <c r="R71" s="12" t="s">
        <v>2693</v>
      </c>
      <c r="S71" s="12" t="s">
        <v>2694</v>
      </c>
      <c r="T71" s="43">
        <f t="shared" si="7"/>
        <v>61.17056453</v>
      </c>
      <c r="U71" s="43">
        <f t="shared" si="8"/>
        <v>0.4417875</v>
      </c>
      <c r="V71" s="12" t="s">
        <v>839</v>
      </c>
      <c r="W71" s="12" t="s">
        <v>2695</v>
      </c>
      <c r="X71" s="12" t="s">
        <v>841</v>
      </c>
      <c r="Y71" s="12" t="s">
        <v>841</v>
      </c>
      <c r="Z71" s="12" t="s">
        <v>841</v>
      </c>
      <c r="AA71" s="12" t="s">
        <v>2696</v>
      </c>
      <c r="AB71" s="12" t="s">
        <v>2697</v>
      </c>
      <c r="AC71" s="12" t="s">
        <v>2698</v>
      </c>
      <c r="AD71" s="12" t="s">
        <v>845</v>
      </c>
      <c r="AE71" s="12" t="s">
        <v>846</v>
      </c>
      <c r="AF71" s="43">
        <f t="shared" si="9"/>
        <v>8.155966</v>
      </c>
      <c r="AG71" s="12" t="s">
        <v>847</v>
      </c>
      <c r="AH71" s="12" t="s">
        <v>2699</v>
      </c>
      <c r="AI71" s="12" t="s">
        <v>2700</v>
      </c>
      <c r="AJ71" s="12" t="s">
        <v>2701</v>
      </c>
      <c r="AK71" s="12" t="s">
        <v>1754</v>
      </c>
      <c r="AL71" s="43">
        <f t="shared" si="10"/>
        <v>36.09</v>
      </c>
      <c r="AM71" s="12" t="s">
        <v>1396</v>
      </c>
      <c r="AN71" s="12" t="s">
        <v>914</v>
      </c>
      <c r="AO71" s="12" t="s">
        <v>2702</v>
      </c>
      <c r="AP71" s="12" t="s">
        <v>2356</v>
      </c>
      <c r="AQ71" s="12" t="s">
        <v>2703</v>
      </c>
      <c r="AR71" s="12" t="s">
        <v>2704</v>
      </c>
      <c r="AS71" s="12" t="s">
        <v>2631</v>
      </c>
      <c r="AT71" s="12" t="s">
        <v>95</v>
      </c>
      <c r="AU71" s="12" t="s">
        <v>2632</v>
      </c>
      <c r="AV71" s="12" t="s">
        <v>832</v>
      </c>
      <c r="AW71" s="12" t="s">
        <v>1598</v>
      </c>
      <c r="AX71" s="12" t="s">
        <v>2705</v>
      </c>
      <c r="AY71" s="12" t="s">
        <v>868</v>
      </c>
      <c r="AZ71" s="12" t="s">
        <v>2706</v>
      </c>
      <c r="BA71" s="12" t="s">
        <v>2707</v>
      </c>
      <c r="BB71" s="12" t="s">
        <v>868</v>
      </c>
      <c r="BC71" s="12" t="s">
        <v>866</v>
      </c>
      <c r="BD71" s="12" t="s">
        <v>867</v>
      </c>
      <c r="BE71" s="12" t="s">
        <v>868</v>
      </c>
      <c r="BF71" s="12" t="s">
        <v>869</v>
      </c>
      <c r="BG71" s="12" t="s">
        <v>870</v>
      </c>
      <c r="BH71" s="12" t="s">
        <v>841</v>
      </c>
      <c r="BI71" s="12" t="s">
        <v>871</v>
      </c>
      <c r="BJ71" s="12" t="s">
        <v>841</v>
      </c>
      <c r="BK71" s="12" t="s">
        <v>841</v>
      </c>
      <c r="BL71" s="12" t="s">
        <v>872</v>
      </c>
      <c r="BM71" s="12" t="s">
        <v>873</v>
      </c>
      <c r="BN71" s="12" t="s">
        <v>866</v>
      </c>
      <c r="BO71" s="12" t="s">
        <v>874</v>
      </c>
      <c r="BP71" s="12" t="s">
        <v>875</v>
      </c>
      <c r="BQ71" s="12" t="s">
        <v>876</v>
      </c>
      <c r="BR71" s="12" t="s">
        <v>869</v>
      </c>
      <c r="BS71" s="12" t="s">
        <v>869</v>
      </c>
      <c r="BT71" s="12" t="s">
        <v>877</v>
      </c>
      <c r="BU71" s="12" t="s">
        <v>877</v>
      </c>
      <c r="BV71" s="12" t="s">
        <v>877</v>
      </c>
      <c r="BW71" s="12" t="s">
        <v>841</v>
      </c>
      <c r="BX71" s="12" t="s">
        <v>878</v>
      </c>
      <c r="BY71" s="12" t="s">
        <v>841</v>
      </c>
      <c r="BZ71" s="12" t="s">
        <v>841</v>
      </c>
      <c r="CA71" s="12" t="s">
        <v>841</v>
      </c>
      <c r="CB71" s="12" t="s">
        <v>841</v>
      </c>
      <c r="CC71" s="12" t="s">
        <v>2708</v>
      </c>
      <c r="CD71" s="12" t="s">
        <v>2709</v>
      </c>
      <c r="CE71" s="12" t="s">
        <v>2710</v>
      </c>
      <c r="CF71" s="12" t="s">
        <v>2711</v>
      </c>
      <c r="CG71" s="12" t="s">
        <v>2712</v>
      </c>
      <c r="CH71" s="12" t="s">
        <v>2713</v>
      </c>
      <c r="CI71" s="12" t="s">
        <v>2714</v>
      </c>
      <c r="CJ71" s="12" t="s">
        <v>2715</v>
      </c>
      <c r="CK71" s="12" t="s">
        <v>2696</v>
      </c>
      <c r="CL71" s="12" t="s">
        <v>1415</v>
      </c>
      <c r="CM71" s="12" t="s">
        <v>888</v>
      </c>
      <c r="CN71" s="12" t="s">
        <v>841</v>
      </c>
      <c r="CO71" s="12" t="s">
        <v>847</v>
      </c>
      <c r="CP71" s="12" t="s">
        <v>889</v>
      </c>
      <c r="CQ71" s="12" t="s">
        <v>890</v>
      </c>
      <c r="CR71" s="12" t="s">
        <v>847</v>
      </c>
      <c r="CS71" s="12" t="s">
        <v>891</v>
      </c>
      <c r="CT71" s="12" t="s">
        <v>892</v>
      </c>
      <c r="CU71" s="12" t="s">
        <v>893</v>
      </c>
      <c r="CV71" s="12" t="s">
        <v>841</v>
      </c>
      <c r="CW71" s="12" t="s">
        <v>2695</v>
      </c>
      <c r="CX71" s="12" t="s">
        <v>894</v>
      </c>
      <c r="CY71" s="12" t="s">
        <v>895</v>
      </c>
      <c r="CZ71" s="12" t="s">
        <v>896</v>
      </c>
      <c r="DA71" s="12" t="s">
        <v>897</v>
      </c>
      <c r="DB71" s="12" t="s">
        <v>898</v>
      </c>
      <c r="DC71" s="12" t="s">
        <v>899</v>
      </c>
    </row>
    <row r="72">
      <c r="A72" s="12" t="s">
        <v>1713</v>
      </c>
      <c r="B72" s="12" t="s">
        <v>328</v>
      </c>
      <c r="C72" s="12" t="s">
        <v>95</v>
      </c>
      <c r="D72" s="12" t="s">
        <v>833</v>
      </c>
      <c r="E72" s="12" t="s">
        <v>834</v>
      </c>
      <c r="F72" s="12"/>
      <c r="G72" s="12" t="s">
        <v>227</v>
      </c>
      <c r="H72" s="12" t="s">
        <v>324</v>
      </c>
      <c r="I72" s="12"/>
      <c r="J72" s="43">
        <f t="shared" si="1"/>
        <v>0.04478054848</v>
      </c>
      <c r="K72" s="43">
        <f t="shared" si="2"/>
        <v>2.90981592</v>
      </c>
      <c r="L72" s="43">
        <f t="shared" si="3"/>
        <v>0.04410184412</v>
      </c>
      <c r="M72" s="43">
        <f t="shared" si="4"/>
        <v>2.05035242</v>
      </c>
      <c r="N72" s="12" t="s">
        <v>2716</v>
      </c>
      <c r="O72" s="12" t="s">
        <v>2717</v>
      </c>
      <c r="P72" s="43">
        <f t="shared" si="5"/>
        <v>5.871046206</v>
      </c>
      <c r="Q72" s="43">
        <f t="shared" si="6"/>
        <v>4.387964206</v>
      </c>
      <c r="R72" s="12" t="s">
        <v>2718</v>
      </c>
      <c r="S72" s="12" t="s">
        <v>2719</v>
      </c>
      <c r="T72" s="43">
        <f t="shared" si="7"/>
        <v>59.87197844</v>
      </c>
      <c r="U72" s="43">
        <f t="shared" si="8"/>
        <v>0.4417875</v>
      </c>
      <c r="V72" s="12" t="s">
        <v>839</v>
      </c>
      <c r="W72" s="12" t="s">
        <v>2720</v>
      </c>
      <c r="X72" s="12" t="s">
        <v>841</v>
      </c>
      <c r="Y72" s="12" t="s">
        <v>841</v>
      </c>
      <c r="Z72" s="12" t="s">
        <v>841</v>
      </c>
      <c r="AA72" s="12" t="s">
        <v>2721</v>
      </c>
      <c r="AB72" s="12" t="s">
        <v>2722</v>
      </c>
      <c r="AC72" s="12" t="s">
        <v>2723</v>
      </c>
      <c r="AD72" s="12" t="s">
        <v>845</v>
      </c>
      <c r="AE72" s="12" t="s">
        <v>846</v>
      </c>
      <c r="AF72" s="43">
        <f t="shared" si="9"/>
        <v>9.0066624</v>
      </c>
      <c r="AG72" s="12" t="s">
        <v>847</v>
      </c>
      <c r="AH72" s="12" t="s">
        <v>2724</v>
      </c>
      <c r="AI72" s="12" t="s">
        <v>2725</v>
      </c>
      <c r="AJ72" s="12" t="s">
        <v>2726</v>
      </c>
      <c r="AK72" s="12" t="s">
        <v>2727</v>
      </c>
      <c r="AL72" s="43">
        <f t="shared" si="10"/>
        <v>35.7</v>
      </c>
      <c r="AM72" s="12" t="s">
        <v>1396</v>
      </c>
      <c r="AN72" s="12" t="s">
        <v>914</v>
      </c>
      <c r="AO72" s="12" t="s">
        <v>2728</v>
      </c>
      <c r="AP72" s="12" t="s">
        <v>1074</v>
      </c>
      <c r="AQ72" s="12" t="s">
        <v>2195</v>
      </c>
      <c r="AR72" s="12" t="s">
        <v>2729</v>
      </c>
      <c r="AS72" s="12" t="s">
        <v>2631</v>
      </c>
      <c r="AT72" s="12" t="s">
        <v>95</v>
      </c>
      <c r="AU72" s="12" t="s">
        <v>2632</v>
      </c>
      <c r="AV72" s="12" t="s">
        <v>832</v>
      </c>
      <c r="AW72" s="12" t="s">
        <v>1543</v>
      </c>
      <c r="AX72" s="12" t="s">
        <v>868</v>
      </c>
      <c r="AY72" s="12" t="s">
        <v>868</v>
      </c>
      <c r="AZ72" s="12" t="s">
        <v>2730</v>
      </c>
      <c r="BA72" s="12" t="s">
        <v>868</v>
      </c>
      <c r="BB72" s="12" t="s">
        <v>868</v>
      </c>
      <c r="BC72" s="12" t="s">
        <v>866</v>
      </c>
      <c r="BD72" s="12" t="s">
        <v>867</v>
      </c>
      <c r="BE72" s="12" t="s">
        <v>868</v>
      </c>
      <c r="BF72" s="12" t="s">
        <v>869</v>
      </c>
      <c r="BG72" s="12" t="s">
        <v>870</v>
      </c>
      <c r="BH72" s="12" t="s">
        <v>841</v>
      </c>
      <c r="BI72" s="12" t="s">
        <v>871</v>
      </c>
      <c r="BJ72" s="12" t="s">
        <v>841</v>
      </c>
      <c r="BK72" s="12" t="s">
        <v>841</v>
      </c>
      <c r="BL72" s="12" t="s">
        <v>872</v>
      </c>
      <c r="BM72" s="12" t="s">
        <v>873</v>
      </c>
      <c r="BN72" s="12" t="s">
        <v>866</v>
      </c>
      <c r="BO72" s="12" t="s">
        <v>874</v>
      </c>
      <c r="BP72" s="12" t="s">
        <v>875</v>
      </c>
      <c r="BQ72" s="12" t="s">
        <v>876</v>
      </c>
      <c r="BR72" s="12" t="s">
        <v>869</v>
      </c>
      <c r="BS72" s="12" t="s">
        <v>869</v>
      </c>
      <c r="BT72" s="12" t="s">
        <v>877</v>
      </c>
      <c r="BU72" s="12" t="s">
        <v>877</v>
      </c>
      <c r="BV72" s="12" t="s">
        <v>877</v>
      </c>
      <c r="BW72" s="12" t="s">
        <v>841</v>
      </c>
      <c r="BX72" s="12" t="s">
        <v>878</v>
      </c>
      <c r="BY72" s="12" t="s">
        <v>841</v>
      </c>
      <c r="BZ72" s="12" t="s">
        <v>841</v>
      </c>
      <c r="CA72" s="12" t="s">
        <v>841</v>
      </c>
      <c r="CB72" s="12" t="s">
        <v>841</v>
      </c>
      <c r="CC72" s="12" t="s">
        <v>2731</v>
      </c>
      <c r="CD72" s="12" t="s">
        <v>2732</v>
      </c>
      <c r="CE72" s="12" t="s">
        <v>2710</v>
      </c>
      <c r="CF72" s="12" t="s">
        <v>2733</v>
      </c>
      <c r="CG72" s="12" t="s">
        <v>2734</v>
      </c>
      <c r="CH72" s="12" t="s">
        <v>2735</v>
      </c>
      <c r="CI72" s="12" t="s">
        <v>2736</v>
      </c>
      <c r="CJ72" s="12" t="s">
        <v>2737</v>
      </c>
      <c r="CK72" s="12" t="s">
        <v>2721</v>
      </c>
      <c r="CL72" s="12" t="s">
        <v>1119</v>
      </c>
      <c r="CM72" s="12" t="s">
        <v>888</v>
      </c>
      <c r="CN72" s="12" t="s">
        <v>841</v>
      </c>
      <c r="CO72" s="12" t="s">
        <v>847</v>
      </c>
      <c r="CP72" s="12" t="s">
        <v>889</v>
      </c>
      <c r="CQ72" s="12" t="s">
        <v>890</v>
      </c>
      <c r="CR72" s="12" t="s">
        <v>847</v>
      </c>
      <c r="CS72" s="12" t="s">
        <v>891</v>
      </c>
      <c r="CT72" s="12" t="s">
        <v>892</v>
      </c>
      <c r="CU72" s="12" t="s">
        <v>893</v>
      </c>
      <c r="CV72" s="12" t="s">
        <v>841</v>
      </c>
      <c r="CW72" s="12" t="s">
        <v>2720</v>
      </c>
      <c r="CX72" s="12" t="s">
        <v>894</v>
      </c>
      <c r="CY72" s="12" t="s">
        <v>895</v>
      </c>
      <c r="CZ72" s="12" t="s">
        <v>896</v>
      </c>
      <c r="DA72" s="12" t="s">
        <v>897</v>
      </c>
      <c r="DB72" s="12" t="s">
        <v>898</v>
      </c>
      <c r="DC72" s="12" t="s">
        <v>899</v>
      </c>
    </row>
    <row r="73">
      <c r="A73" s="12" t="s">
        <v>1743</v>
      </c>
      <c r="B73" s="12" t="s">
        <v>334</v>
      </c>
      <c r="C73" s="12" t="s">
        <v>95</v>
      </c>
      <c r="D73" s="12" t="s">
        <v>833</v>
      </c>
      <c r="E73" s="12" t="s">
        <v>834</v>
      </c>
      <c r="F73" s="12"/>
      <c r="G73" s="12" t="s">
        <v>227</v>
      </c>
      <c r="H73" s="12" t="s">
        <v>324</v>
      </c>
      <c r="I73" s="12"/>
      <c r="J73" s="43">
        <f t="shared" si="1"/>
        <v>0.01112669407</v>
      </c>
      <c r="K73" s="43">
        <f t="shared" si="2"/>
        <v>2.909022</v>
      </c>
      <c r="L73" s="43">
        <f t="shared" si="3"/>
        <v>0.01108429784</v>
      </c>
      <c r="M73" s="43">
        <f t="shared" si="4"/>
        <v>0.5220379776</v>
      </c>
      <c r="N73" s="12" t="s">
        <v>2738</v>
      </c>
      <c r="O73" s="12" t="s">
        <v>2739</v>
      </c>
      <c r="P73" s="43">
        <f t="shared" si="5"/>
        <v>5.851665497</v>
      </c>
      <c r="Q73" s="43">
        <f t="shared" si="6"/>
        <v>4.447999497</v>
      </c>
      <c r="R73" s="12" t="s">
        <v>2740</v>
      </c>
      <c r="S73" s="12" t="s">
        <v>2741</v>
      </c>
      <c r="T73" s="43">
        <f t="shared" si="7"/>
        <v>59.66825224</v>
      </c>
      <c r="U73" s="43">
        <f t="shared" si="8"/>
        <v>0.4417875</v>
      </c>
      <c r="V73" s="12" t="s">
        <v>839</v>
      </c>
      <c r="W73" s="12" t="s">
        <v>2742</v>
      </c>
      <c r="X73" s="12" t="s">
        <v>841</v>
      </c>
      <c r="Y73" s="12" t="s">
        <v>841</v>
      </c>
      <c r="Z73" s="12" t="s">
        <v>841</v>
      </c>
      <c r="AA73" s="12" t="s">
        <v>2743</v>
      </c>
      <c r="AB73" s="12" t="s">
        <v>2744</v>
      </c>
      <c r="AC73" s="12" t="s">
        <v>2745</v>
      </c>
      <c r="AD73" s="12" t="s">
        <v>845</v>
      </c>
      <c r="AE73" s="12" t="s">
        <v>846</v>
      </c>
      <c r="AF73" s="43">
        <f t="shared" si="9"/>
        <v>8.10263</v>
      </c>
      <c r="AG73" s="12" t="s">
        <v>847</v>
      </c>
      <c r="AH73" s="12" t="s">
        <v>2746</v>
      </c>
      <c r="AI73" s="12" t="s">
        <v>2747</v>
      </c>
      <c r="AJ73" s="12" t="s">
        <v>2748</v>
      </c>
      <c r="AK73" s="12" t="s">
        <v>2749</v>
      </c>
      <c r="AL73" s="43">
        <f t="shared" si="10"/>
        <v>35.64</v>
      </c>
      <c r="AM73" s="12" t="s">
        <v>2626</v>
      </c>
      <c r="AN73" s="12" t="s">
        <v>1072</v>
      </c>
      <c r="AO73" s="12" t="s">
        <v>2750</v>
      </c>
      <c r="AP73" s="12" t="s">
        <v>2751</v>
      </c>
      <c r="AQ73" s="12" t="s">
        <v>2232</v>
      </c>
      <c r="AR73" s="12" t="s">
        <v>2752</v>
      </c>
      <c r="AS73" s="12" t="s">
        <v>2631</v>
      </c>
      <c r="AT73" s="12" t="s">
        <v>95</v>
      </c>
      <c r="AU73" s="12" t="s">
        <v>2632</v>
      </c>
      <c r="AV73" s="12" t="s">
        <v>832</v>
      </c>
      <c r="AW73" s="12" t="s">
        <v>1164</v>
      </c>
      <c r="AX73" s="12" t="s">
        <v>868</v>
      </c>
      <c r="AY73" s="12" t="s">
        <v>868</v>
      </c>
      <c r="AZ73" s="12" t="s">
        <v>2753</v>
      </c>
      <c r="BA73" s="12" t="s">
        <v>868</v>
      </c>
      <c r="BB73" s="12" t="s">
        <v>868</v>
      </c>
      <c r="BC73" s="12" t="s">
        <v>866</v>
      </c>
      <c r="BD73" s="12" t="s">
        <v>867</v>
      </c>
      <c r="BE73" s="12" t="s">
        <v>868</v>
      </c>
      <c r="BF73" s="12" t="s">
        <v>869</v>
      </c>
      <c r="BG73" s="12" t="s">
        <v>870</v>
      </c>
      <c r="BH73" s="12" t="s">
        <v>841</v>
      </c>
      <c r="BI73" s="12" t="s">
        <v>871</v>
      </c>
      <c r="BJ73" s="12" t="s">
        <v>841</v>
      </c>
      <c r="BK73" s="12" t="s">
        <v>841</v>
      </c>
      <c r="BL73" s="12" t="s">
        <v>872</v>
      </c>
      <c r="BM73" s="12" t="s">
        <v>873</v>
      </c>
      <c r="BN73" s="12" t="s">
        <v>866</v>
      </c>
      <c r="BO73" s="12" t="s">
        <v>874</v>
      </c>
      <c r="BP73" s="12" t="s">
        <v>875</v>
      </c>
      <c r="BQ73" s="12" t="s">
        <v>876</v>
      </c>
      <c r="BR73" s="12" t="s">
        <v>869</v>
      </c>
      <c r="BS73" s="12" t="s">
        <v>869</v>
      </c>
      <c r="BT73" s="12" t="s">
        <v>877</v>
      </c>
      <c r="BU73" s="12" t="s">
        <v>877</v>
      </c>
      <c r="BV73" s="12" t="s">
        <v>877</v>
      </c>
      <c r="BW73" s="12" t="s">
        <v>841</v>
      </c>
      <c r="BX73" s="12" t="s">
        <v>878</v>
      </c>
      <c r="BY73" s="12" t="s">
        <v>841</v>
      </c>
      <c r="BZ73" s="12" t="s">
        <v>841</v>
      </c>
      <c r="CA73" s="12" t="s">
        <v>841</v>
      </c>
      <c r="CB73" s="12" t="s">
        <v>841</v>
      </c>
      <c r="CC73" s="12" t="s">
        <v>2754</v>
      </c>
      <c r="CD73" s="12" t="s">
        <v>2755</v>
      </c>
      <c r="CE73" s="12" t="s">
        <v>2756</v>
      </c>
      <c r="CF73" s="12" t="s">
        <v>2757</v>
      </c>
      <c r="CG73" s="12" t="s">
        <v>2758</v>
      </c>
      <c r="CH73" s="12" t="s">
        <v>2759</v>
      </c>
      <c r="CI73" s="12" t="s">
        <v>2760</v>
      </c>
      <c r="CJ73" s="12" t="s">
        <v>2761</v>
      </c>
      <c r="CK73" s="12" t="s">
        <v>2743</v>
      </c>
      <c r="CL73" s="12" t="s">
        <v>2762</v>
      </c>
      <c r="CM73" s="12" t="s">
        <v>888</v>
      </c>
      <c r="CN73" s="12" t="s">
        <v>841</v>
      </c>
      <c r="CO73" s="12" t="s">
        <v>847</v>
      </c>
      <c r="CP73" s="12" t="s">
        <v>889</v>
      </c>
      <c r="CQ73" s="12" t="s">
        <v>890</v>
      </c>
      <c r="CR73" s="12" t="s">
        <v>847</v>
      </c>
      <c r="CS73" s="12" t="s">
        <v>891</v>
      </c>
      <c r="CT73" s="12" t="s">
        <v>892</v>
      </c>
      <c r="CU73" s="12" t="s">
        <v>893</v>
      </c>
      <c r="CV73" s="12" t="s">
        <v>841</v>
      </c>
      <c r="CW73" s="12" t="s">
        <v>2742</v>
      </c>
      <c r="CX73" s="12" t="s">
        <v>894</v>
      </c>
      <c r="CY73" s="12" t="s">
        <v>895</v>
      </c>
      <c r="CZ73" s="12" t="s">
        <v>896</v>
      </c>
      <c r="DA73" s="12" t="s">
        <v>897</v>
      </c>
      <c r="DB73" s="12" t="s">
        <v>898</v>
      </c>
      <c r="DC73" s="12" t="s">
        <v>899</v>
      </c>
    </row>
    <row r="74">
      <c r="A74" s="12" t="s">
        <v>1767</v>
      </c>
      <c r="B74" s="12" t="s">
        <v>341</v>
      </c>
      <c r="C74" s="12" t="s">
        <v>95</v>
      </c>
      <c r="D74" s="12" t="s">
        <v>833</v>
      </c>
      <c r="E74" s="12" t="s">
        <v>834</v>
      </c>
      <c r="F74" s="12"/>
      <c r="G74" s="12" t="s">
        <v>227</v>
      </c>
      <c r="H74" s="12" t="s">
        <v>228</v>
      </c>
      <c r="I74" s="12"/>
      <c r="J74" s="43">
        <f t="shared" si="1"/>
        <v>0.01464244232</v>
      </c>
      <c r="K74" s="43">
        <f t="shared" si="2"/>
        <v>2.91060848</v>
      </c>
      <c r="L74" s="43">
        <f t="shared" si="3"/>
        <v>0.01456914908</v>
      </c>
      <c r="M74" s="43">
        <f t="shared" si="4"/>
        <v>0.7119618937</v>
      </c>
      <c r="N74" s="12" t="s">
        <v>2763</v>
      </c>
      <c r="O74" s="12" t="s">
        <v>2764</v>
      </c>
      <c r="P74" s="43">
        <f t="shared" si="5"/>
        <v>6.064613389</v>
      </c>
      <c r="Q74" s="43">
        <f t="shared" si="6"/>
        <v>4.607163389</v>
      </c>
      <c r="R74" s="12" t="s">
        <v>2765</v>
      </c>
      <c r="S74" s="12" t="s">
        <v>2766</v>
      </c>
      <c r="T74" s="43">
        <f t="shared" si="7"/>
        <v>61.8585617</v>
      </c>
      <c r="U74" s="43">
        <f t="shared" si="8"/>
        <v>0.4417875</v>
      </c>
      <c r="V74" s="12" t="s">
        <v>839</v>
      </c>
      <c r="W74" s="12" t="s">
        <v>2767</v>
      </c>
      <c r="X74" s="12" t="s">
        <v>841</v>
      </c>
      <c r="Y74" s="12" t="s">
        <v>841</v>
      </c>
      <c r="Z74" s="12" t="s">
        <v>841</v>
      </c>
      <c r="AA74" s="12" t="s">
        <v>2768</v>
      </c>
      <c r="AB74" s="12" t="s">
        <v>2769</v>
      </c>
      <c r="AC74" s="12" t="s">
        <v>2770</v>
      </c>
      <c r="AD74" s="12" t="s">
        <v>845</v>
      </c>
      <c r="AE74" s="12" t="s">
        <v>846</v>
      </c>
      <c r="AF74" s="43">
        <f t="shared" si="9"/>
        <v>18.266144</v>
      </c>
      <c r="AG74" s="12" t="s">
        <v>847</v>
      </c>
      <c r="AH74" s="12" t="s">
        <v>2771</v>
      </c>
      <c r="AI74" s="12" t="s">
        <v>2772</v>
      </c>
      <c r="AJ74" s="12" t="s">
        <v>1930</v>
      </c>
      <c r="AK74" s="12" t="s">
        <v>2773</v>
      </c>
      <c r="AL74" s="43">
        <f t="shared" si="10"/>
        <v>36.29</v>
      </c>
      <c r="AM74" s="12" t="s">
        <v>2774</v>
      </c>
      <c r="AN74" s="12" t="s">
        <v>1159</v>
      </c>
      <c r="AO74" s="12" t="s">
        <v>2775</v>
      </c>
      <c r="AP74" s="12" t="s">
        <v>2776</v>
      </c>
      <c r="AQ74" s="12" t="s">
        <v>2777</v>
      </c>
      <c r="AR74" s="12" t="s">
        <v>2778</v>
      </c>
      <c r="AS74" s="12" t="s">
        <v>2779</v>
      </c>
      <c r="AT74" s="12" t="s">
        <v>95</v>
      </c>
      <c r="AU74" s="12" t="s">
        <v>1285</v>
      </c>
      <c r="AV74" s="12" t="s">
        <v>832</v>
      </c>
      <c r="AW74" s="12" t="s">
        <v>1287</v>
      </c>
      <c r="AX74" s="12" t="s">
        <v>1287</v>
      </c>
      <c r="AY74" s="12" t="s">
        <v>1164</v>
      </c>
      <c r="AZ74" s="12" t="s">
        <v>2780</v>
      </c>
      <c r="BA74" s="12" t="s">
        <v>2781</v>
      </c>
      <c r="BB74" s="12" t="s">
        <v>2782</v>
      </c>
      <c r="BC74" s="12" t="s">
        <v>866</v>
      </c>
      <c r="BD74" s="12" t="s">
        <v>867</v>
      </c>
      <c r="BE74" s="12" t="s">
        <v>868</v>
      </c>
      <c r="BF74" s="12" t="s">
        <v>869</v>
      </c>
      <c r="BG74" s="12" t="s">
        <v>870</v>
      </c>
      <c r="BH74" s="12" t="s">
        <v>841</v>
      </c>
      <c r="BI74" s="12" t="s">
        <v>871</v>
      </c>
      <c r="BJ74" s="12" t="s">
        <v>841</v>
      </c>
      <c r="BK74" s="12" t="s">
        <v>841</v>
      </c>
      <c r="BL74" s="12" t="s">
        <v>872</v>
      </c>
      <c r="BM74" s="12" t="s">
        <v>873</v>
      </c>
      <c r="BN74" s="12" t="s">
        <v>866</v>
      </c>
      <c r="BO74" s="12" t="s">
        <v>874</v>
      </c>
      <c r="BP74" s="12" t="s">
        <v>875</v>
      </c>
      <c r="BQ74" s="12" t="s">
        <v>876</v>
      </c>
      <c r="BR74" s="12" t="s">
        <v>869</v>
      </c>
      <c r="BS74" s="12" t="s">
        <v>869</v>
      </c>
      <c r="BT74" s="12" t="s">
        <v>877</v>
      </c>
      <c r="BU74" s="12" t="s">
        <v>877</v>
      </c>
      <c r="BV74" s="12" t="s">
        <v>877</v>
      </c>
      <c r="BW74" s="12" t="s">
        <v>841</v>
      </c>
      <c r="BX74" s="12" t="s">
        <v>878</v>
      </c>
      <c r="BY74" s="12" t="s">
        <v>841</v>
      </c>
      <c r="BZ74" s="12" t="s">
        <v>841</v>
      </c>
      <c r="CA74" s="12" t="s">
        <v>841</v>
      </c>
      <c r="CB74" s="12" t="s">
        <v>841</v>
      </c>
      <c r="CC74" s="12" t="s">
        <v>2783</v>
      </c>
      <c r="CD74" s="12" t="s">
        <v>2784</v>
      </c>
      <c r="CE74" s="12" t="s">
        <v>2785</v>
      </c>
      <c r="CF74" s="12" t="s">
        <v>2786</v>
      </c>
      <c r="CG74" s="12" t="s">
        <v>2787</v>
      </c>
      <c r="CH74" s="12" t="s">
        <v>2788</v>
      </c>
      <c r="CI74" s="12" t="s">
        <v>2789</v>
      </c>
      <c r="CJ74" s="12" t="s">
        <v>2790</v>
      </c>
      <c r="CK74" s="12" t="s">
        <v>2768</v>
      </c>
      <c r="CL74" s="12" t="s">
        <v>1119</v>
      </c>
      <c r="CM74" s="12" t="s">
        <v>888</v>
      </c>
      <c r="CN74" s="12" t="s">
        <v>841</v>
      </c>
      <c r="CO74" s="12" t="s">
        <v>847</v>
      </c>
      <c r="CP74" s="12" t="s">
        <v>889</v>
      </c>
      <c r="CQ74" s="12" t="s">
        <v>890</v>
      </c>
      <c r="CR74" s="12" t="s">
        <v>847</v>
      </c>
      <c r="CS74" s="12" t="s">
        <v>891</v>
      </c>
      <c r="CT74" s="12" t="s">
        <v>892</v>
      </c>
      <c r="CU74" s="12" t="s">
        <v>893</v>
      </c>
      <c r="CV74" s="12" t="s">
        <v>841</v>
      </c>
      <c r="CW74" s="12" t="s">
        <v>2767</v>
      </c>
      <c r="CX74" s="12" t="s">
        <v>894</v>
      </c>
      <c r="CY74" s="12" t="s">
        <v>895</v>
      </c>
      <c r="CZ74" s="12" t="s">
        <v>896</v>
      </c>
      <c r="DA74" s="12" t="s">
        <v>897</v>
      </c>
      <c r="DB74" s="12" t="s">
        <v>898</v>
      </c>
      <c r="DC74" s="12" t="s">
        <v>899</v>
      </c>
    </row>
    <row r="75">
      <c r="A75" s="12" t="s">
        <v>1727</v>
      </c>
      <c r="B75" s="12" t="s">
        <v>346</v>
      </c>
      <c r="C75" s="12" t="s">
        <v>95</v>
      </c>
      <c r="D75" s="12" t="s">
        <v>833</v>
      </c>
      <c r="E75" s="12" t="s">
        <v>834</v>
      </c>
      <c r="F75" s="12"/>
      <c r="G75" s="12" t="s">
        <v>227</v>
      </c>
      <c r="H75" s="12" t="s">
        <v>228</v>
      </c>
      <c r="I75" s="12"/>
      <c r="J75" s="43">
        <f t="shared" si="1"/>
        <v>0.03625220061</v>
      </c>
      <c r="K75" s="43">
        <f t="shared" si="2"/>
        <v>2.91139968</v>
      </c>
      <c r="L75" s="43">
        <f t="shared" si="3"/>
        <v>0.03580634672</v>
      </c>
      <c r="M75" s="43">
        <f t="shared" si="4"/>
        <v>1.698216768</v>
      </c>
      <c r="N75" s="12" t="s">
        <v>2791</v>
      </c>
      <c r="O75" s="12" t="s">
        <v>2792</v>
      </c>
      <c r="P75" s="43">
        <f t="shared" si="5"/>
        <v>5.998385558</v>
      </c>
      <c r="Q75" s="43">
        <f t="shared" si="6"/>
        <v>4.471925558</v>
      </c>
      <c r="R75" s="12" t="s">
        <v>2793</v>
      </c>
      <c r="S75" s="12" t="s">
        <v>2794</v>
      </c>
      <c r="T75" s="43">
        <f t="shared" si="7"/>
        <v>61.17680324</v>
      </c>
      <c r="U75" s="43">
        <f t="shared" si="8"/>
        <v>0.4417875</v>
      </c>
      <c r="V75" s="12" t="s">
        <v>839</v>
      </c>
      <c r="W75" s="12" t="s">
        <v>2795</v>
      </c>
      <c r="X75" s="12" t="s">
        <v>841</v>
      </c>
      <c r="Y75" s="12" t="s">
        <v>841</v>
      </c>
      <c r="Z75" s="12" t="s">
        <v>841</v>
      </c>
      <c r="AA75" s="12" t="s">
        <v>2796</v>
      </c>
      <c r="AB75" s="12" t="s">
        <v>2797</v>
      </c>
      <c r="AC75" s="12" t="s">
        <v>2798</v>
      </c>
      <c r="AD75" s="12" t="s">
        <v>845</v>
      </c>
      <c r="AE75" s="12" t="s">
        <v>846</v>
      </c>
      <c r="AF75" s="43">
        <f t="shared" si="9"/>
        <v>13.02966</v>
      </c>
      <c r="AG75" s="12" t="s">
        <v>847</v>
      </c>
      <c r="AH75" s="12" t="s">
        <v>1618</v>
      </c>
      <c r="AI75" s="12" t="s">
        <v>2799</v>
      </c>
      <c r="AJ75" s="12" t="s">
        <v>2800</v>
      </c>
      <c r="AK75" s="12" t="s">
        <v>1754</v>
      </c>
      <c r="AL75" s="43">
        <f t="shared" si="10"/>
        <v>36.09</v>
      </c>
      <c r="AM75" s="12" t="s">
        <v>2801</v>
      </c>
      <c r="AN75" s="12" t="s">
        <v>1337</v>
      </c>
      <c r="AO75" s="12" t="s">
        <v>2802</v>
      </c>
      <c r="AP75" s="12" t="s">
        <v>2803</v>
      </c>
      <c r="AQ75" s="12" t="s">
        <v>2218</v>
      </c>
      <c r="AR75" s="12" t="s">
        <v>2804</v>
      </c>
      <c r="AS75" s="12" t="s">
        <v>2779</v>
      </c>
      <c r="AT75" s="12" t="s">
        <v>95</v>
      </c>
      <c r="AU75" s="12" t="s">
        <v>1285</v>
      </c>
      <c r="AV75" s="12" t="s">
        <v>832</v>
      </c>
      <c r="AW75" s="12" t="s">
        <v>1014</v>
      </c>
      <c r="AX75" s="12" t="s">
        <v>868</v>
      </c>
      <c r="AY75" s="12" t="s">
        <v>868</v>
      </c>
      <c r="AZ75" s="12" t="s">
        <v>2805</v>
      </c>
      <c r="BA75" s="12" t="s">
        <v>868</v>
      </c>
      <c r="BB75" s="12" t="s">
        <v>868</v>
      </c>
      <c r="BC75" s="12" t="s">
        <v>866</v>
      </c>
      <c r="BD75" s="12" t="s">
        <v>867</v>
      </c>
      <c r="BE75" s="12" t="s">
        <v>868</v>
      </c>
      <c r="BF75" s="12" t="s">
        <v>869</v>
      </c>
      <c r="BG75" s="12" t="s">
        <v>870</v>
      </c>
      <c r="BH75" s="12" t="s">
        <v>841</v>
      </c>
      <c r="BI75" s="12" t="s">
        <v>871</v>
      </c>
      <c r="BJ75" s="12" t="s">
        <v>841</v>
      </c>
      <c r="BK75" s="12" t="s">
        <v>841</v>
      </c>
      <c r="BL75" s="12" t="s">
        <v>872</v>
      </c>
      <c r="BM75" s="12" t="s">
        <v>873</v>
      </c>
      <c r="BN75" s="12" t="s">
        <v>866</v>
      </c>
      <c r="BO75" s="12" t="s">
        <v>874</v>
      </c>
      <c r="BP75" s="12" t="s">
        <v>875</v>
      </c>
      <c r="BQ75" s="12" t="s">
        <v>876</v>
      </c>
      <c r="BR75" s="12" t="s">
        <v>869</v>
      </c>
      <c r="BS75" s="12" t="s">
        <v>869</v>
      </c>
      <c r="BT75" s="12" t="s">
        <v>877</v>
      </c>
      <c r="BU75" s="12" t="s">
        <v>877</v>
      </c>
      <c r="BV75" s="12" t="s">
        <v>877</v>
      </c>
      <c r="BW75" s="12" t="s">
        <v>841</v>
      </c>
      <c r="BX75" s="12" t="s">
        <v>878</v>
      </c>
      <c r="BY75" s="12" t="s">
        <v>841</v>
      </c>
      <c r="BZ75" s="12" t="s">
        <v>841</v>
      </c>
      <c r="CA75" s="12" t="s">
        <v>841</v>
      </c>
      <c r="CB75" s="12" t="s">
        <v>841</v>
      </c>
      <c r="CC75" s="12" t="s">
        <v>2806</v>
      </c>
      <c r="CD75" s="12" t="s">
        <v>2807</v>
      </c>
      <c r="CE75" s="12" t="s">
        <v>2808</v>
      </c>
      <c r="CF75" s="12" t="s">
        <v>2809</v>
      </c>
      <c r="CG75" s="12" t="s">
        <v>2810</v>
      </c>
      <c r="CH75" s="12" t="s">
        <v>2811</v>
      </c>
      <c r="CI75" s="12" t="s">
        <v>2812</v>
      </c>
      <c r="CJ75" s="12" t="s">
        <v>2813</v>
      </c>
      <c r="CK75" s="12" t="s">
        <v>2796</v>
      </c>
      <c r="CL75" s="12" t="s">
        <v>2814</v>
      </c>
      <c r="CM75" s="12" t="s">
        <v>888</v>
      </c>
      <c r="CN75" s="12" t="s">
        <v>841</v>
      </c>
      <c r="CO75" s="12" t="s">
        <v>847</v>
      </c>
      <c r="CP75" s="12" t="s">
        <v>889</v>
      </c>
      <c r="CQ75" s="12" t="s">
        <v>890</v>
      </c>
      <c r="CR75" s="12" t="s">
        <v>847</v>
      </c>
      <c r="CS75" s="12" t="s">
        <v>891</v>
      </c>
      <c r="CT75" s="12" t="s">
        <v>892</v>
      </c>
      <c r="CU75" s="12" t="s">
        <v>893</v>
      </c>
      <c r="CV75" s="12" t="s">
        <v>841</v>
      </c>
      <c r="CW75" s="12" t="s">
        <v>2795</v>
      </c>
      <c r="CX75" s="12" t="s">
        <v>894</v>
      </c>
      <c r="CY75" s="12" t="s">
        <v>895</v>
      </c>
      <c r="CZ75" s="12" t="s">
        <v>896</v>
      </c>
      <c r="DA75" s="12" t="s">
        <v>897</v>
      </c>
      <c r="DB75" s="12" t="s">
        <v>898</v>
      </c>
      <c r="DC75" s="12" t="s">
        <v>899</v>
      </c>
    </row>
    <row r="76">
      <c r="A76" s="12" t="s">
        <v>1821</v>
      </c>
      <c r="B76" s="12" t="s">
        <v>347</v>
      </c>
      <c r="C76" s="12" t="s">
        <v>95</v>
      </c>
      <c r="D76" s="12" t="s">
        <v>833</v>
      </c>
      <c r="E76" s="12" t="s">
        <v>834</v>
      </c>
      <c r="F76" s="12"/>
      <c r="G76" s="12" t="s">
        <v>227</v>
      </c>
      <c r="H76" s="12" t="s">
        <v>228</v>
      </c>
      <c r="I76" s="12"/>
      <c r="J76" s="43">
        <f t="shared" si="1"/>
        <v>0.01909842111</v>
      </c>
      <c r="K76" s="43">
        <f t="shared" si="2"/>
        <v>2.90981592</v>
      </c>
      <c r="L76" s="43">
        <f t="shared" si="3"/>
        <v>0.01897388701</v>
      </c>
      <c r="M76" s="43">
        <f t="shared" si="4"/>
        <v>0.9140885787</v>
      </c>
      <c r="N76" s="12" t="s">
        <v>2815</v>
      </c>
      <c r="O76" s="12" t="s">
        <v>2816</v>
      </c>
      <c r="P76" s="43">
        <f t="shared" si="5"/>
        <v>6.104654159</v>
      </c>
      <c r="Q76" s="43">
        <f t="shared" si="6"/>
        <v>4.537846159</v>
      </c>
      <c r="R76" s="12" t="s">
        <v>2817</v>
      </c>
      <c r="S76" s="12" t="s">
        <v>2818</v>
      </c>
      <c r="T76" s="43">
        <f t="shared" si="7"/>
        <v>62.27332611</v>
      </c>
      <c r="U76" s="43">
        <f t="shared" si="8"/>
        <v>0.4417875</v>
      </c>
      <c r="V76" s="12" t="s">
        <v>839</v>
      </c>
      <c r="W76" s="12" t="s">
        <v>2819</v>
      </c>
      <c r="X76" s="12" t="s">
        <v>841</v>
      </c>
      <c r="Y76" s="12" t="s">
        <v>841</v>
      </c>
      <c r="Z76" s="12" t="s">
        <v>841</v>
      </c>
      <c r="AA76" s="12" t="s">
        <v>2820</v>
      </c>
      <c r="AB76" s="12" t="s">
        <v>2821</v>
      </c>
      <c r="AC76" s="12" t="s">
        <v>2822</v>
      </c>
      <c r="AD76" s="12" t="s">
        <v>845</v>
      </c>
      <c r="AE76" s="12" t="s">
        <v>846</v>
      </c>
      <c r="AF76" s="43">
        <f t="shared" si="9"/>
        <v>4.43805</v>
      </c>
      <c r="AG76" s="12" t="s">
        <v>847</v>
      </c>
      <c r="AH76" s="12" t="s">
        <v>2823</v>
      </c>
      <c r="AI76" s="12" t="s">
        <v>2824</v>
      </c>
      <c r="AJ76" s="12" t="s">
        <v>1189</v>
      </c>
      <c r="AK76" s="12" t="s">
        <v>1508</v>
      </c>
      <c r="AL76" s="43">
        <f t="shared" si="10"/>
        <v>36.41</v>
      </c>
      <c r="AM76" s="12" t="s">
        <v>2825</v>
      </c>
      <c r="AN76" s="12" t="s">
        <v>914</v>
      </c>
      <c r="AO76" s="12" t="s">
        <v>2826</v>
      </c>
      <c r="AP76" s="12" t="s">
        <v>2827</v>
      </c>
      <c r="AQ76" s="12" t="s">
        <v>1661</v>
      </c>
      <c r="AR76" s="12" t="s">
        <v>2828</v>
      </c>
      <c r="AS76" s="12" t="s">
        <v>2779</v>
      </c>
      <c r="AT76" s="12" t="s">
        <v>95</v>
      </c>
      <c r="AU76" s="12" t="s">
        <v>1285</v>
      </c>
      <c r="AV76" s="12" t="s">
        <v>832</v>
      </c>
      <c r="AW76" s="12" t="s">
        <v>1226</v>
      </c>
      <c r="AX76" s="12" t="s">
        <v>1195</v>
      </c>
      <c r="AY76" s="12" t="s">
        <v>868</v>
      </c>
      <c r="AZ76" s="12" t="s">
        <v>2829</v>
      </c>
      <c r="BA76" s="12" t="s">
        <v>2830</v>
      </c>
      <c r="BB76" s="12" t="s">
        <v>868</v>
      </c>
      <c r="BC76" s="12" t="s">
        <v>866</v>
      </c>
      <c r="BD76" s="12" t="s">
        <v>867</v>
      </c>
      <c r="BE76" s="12" t="s">
        <v>868</v>
      </c>
      <c r="BF76" s="12" t="s">
        <v>869</v>
      </c>
      <c r="BG76" s="12" t="s">
        <v>870</v>
      </c>
      <c r="BH76" s="12" t="s">
        <v>841</v>
      </c>
      <c r="BI76" s="12" t="s">
        <v>871</v>
      </c>
      <c r="BJ76" s="12" t="s">
        <v>841</v>
      </c>
      <c r="BK76" s="12" t="s">
        <v>841</v>
      </c>
      <c r="BL76" s="12" t="s">
        <v>872</v>
      </c>
      <c r="BM76" s="12" t="s">
        <v>873</v>
      </c>
      <c r="BN76" s="12" t="s">
        <v>866</v>
      </c>
      <c r="BO76" s="12" t="s">
        <v>874</v>
      </c>
      <c r="BP76" s="12" t="s">
        <v>875</v>
      </c>
      <c r="BQ76" s="12" t="s">
        <v>876</v>
      </c>
      <c r="BR76" s="12" t="s">
        <v>869</v>
      </c>
      <c r="BS76" s="12" t="s">
        <v>869</v>
      </c>
      <c r="BT76" s="12" t="s">
        <v>877</v>
      </c>
      <c r="BU76" s="12" t="s">
        <v>877</v>
      </c>
      <c r="BV76" s="12" t="s">
        <v>877</v>
      </c>
      <c r="BW76" s="12" t="s">
        <v>841</v>
      </c>
      <c r="BX76" s="12" t="s">
        <v>878</v>
      </c>
      <c r="BY76" s="12" t="s">
        <v>841</v>
      </c>
      <c r="BZ76" s="12" t="s">
        <v>841</v>
      </c>
      <c r="CA76" s="12" t="s">
        <v>841</v>
      </c>
      <c r="CB76" s="12" t="s">
        <v>841</v>
      </c>
      <c r="CC76" s="12" t="s">
        <v>2831</v>
      </c>
      <c r="CD76" s="12" t="s">
        <v>2832</v>
      </c>
      <c r="CE76" s="12" t="s">
        <v>2833</v>
      </c>
      <c r="CF76" s="12" t="s">
        <v>2834</v>
      </c>
      <c r="CG76" s="12" t="s">
        <v>2835</v>
      </c>
      <c r="CH76" s="12" t="s">
        <v>2836</v>
      </c>
      <c r="CI76" s="12" t="s">
        <v>2837</v>
      </c>
      <c r="CJ76" s="12" t="s">
        <v>2838</v>
      </c>
      <c r="CK76" s="12" t="s">
        <v>2820</v>
      </c>
      <c r="CL76" s="12" t="s">
        <v>1893</v>
      </c>
      <c r="CM76" s="12" t="s">
        <v>888</v>
      </c>
      <c r="CN76" s="12" t="s">
        <v>841</v>
      </c>
      <c r="CO76" s="12" t="s">
        <v>847</v>
      </c>
      <c r="CP76" s="12" t="s">
        <v>889</v>
      </c>
      <c r="CQ76" s="12" t="s">
        <v>890</v>
      </c>
      <c r="CR76" s="12" t="s">
        <v>847</v>
      </c>
      <c r="CS76" s="12" t="s">
        <v>891</v>
      </c>
      <c r="CT76" s="12" t="s">
        <v>892</v>
      </c>
      <c r="CU76" s="12" t="s">
        <v>893</v>
      </c>
      <c r="CV76" s="12" t="s">
        <v>841</v>
      </c>
      <c r="CW76" s="12" t="s">
        <v>2819</v>
      </c>
      <c r="CX76" s="12" t="s">
        <v>894</v>
      </c>
      <c r="CY76" s="12" t="s">
        <v>895</v>
      </c>
      <c r="CZ76" s="12" t="s">
        <v>896</v>
      </c>
      <c r="DA76" s="12" t="s">
        <v>897</v>
      </c>
      <c r="DB76" s="12" t="s">
        <v>898</v>
      </c>
      <c r="DC76" s="12" t="s">
        <v>899</v>
      </c>
    </row>
    <row r="77">
      <c r="A77" s="12" t="s">
        <v>1399</v>
      </c>
      <c r="B77" s="12" t="s">
        <v>349</v>
      </c>
      <c r="C77" s="12" t="s">
        <v>95</v>
      </c>
      <c r="D77" s="12" t="s">
        <v>833</v>
      </c>
      <c r="E77" s="12" t="s">
        <v>834</v>
      </c>
      <c r="F77" s="12"/>
      <c r="G77" s="12" t="s">
        <v>227</v>
      </c>
      <c r="H77" s="12" t="s">
        <v>228</v>
      </c>
      <c r="I77" s="12"/>
      <c r="J77" s="43">
        <f t="shared" si="1"/>
        <v>0.04209294406</v>
      </c>
      <c r="K77" s="43">
        <f t="shared" si="2"/>
        <v>2.91139968</v>
      </c>
      <c r="L77" s="43">
        <f t="shared" si="3"/>
        <v>0.04149303874</v>
      </c>
      <c r="M77" s="43">
        <f t="shared" si="4"/>
        <v>2.001443802</v>
      </c>
      <c r="N77" s="12" t="s">
        <v>2839</v>
      </c>
      <c r="O77" s="12" t="s">
        <v>2840</v>
      </c>
      <c r="P77" s="43">
        <f t="shared" si="5"/>
        <v>6.151658391</v>
      </c>
      <c r="Q77" s="43">
        <f t="shared" si="6"/>
        <v>4.541322391</v>
      </c>
      <c r="R77" s="12" t="s">
        <v>2841</v>
      </c>
      <c r="S77" s="12" t="s">
        <v>2842</v>
      </c>
      <c r="T77" s="43">
        <f t="shared" si="7"/>
        <v>62.75281435</v>
      </c>
      <c r="U77" s="43">
        <f t="shared" si="8"/>
        <v>0.4417875</v>
      </c>
      <c r="V77" s="12" t="s">
        <v>839</v>
      </c>
      <c r="W77" s="12" t="s">
        <v>2843</v>
      </c>
      <c r="X77" s="12" t="s">
        <v>841</v>
      </c>
      <c r="Y77" s="12" t="s">
        <v>841</v>
      </c>
      <c r="Z77" s="12" t="s">
        <v>841</v>
      </c>
      <c r="AA77" s="12" t="s">
        <v>2844</v>
      </c>
      <c r="AB77" s="12" t="s">
        <v>2845</v>
      </c>
      <c r="AC77" s="12" t="s">
        <v>2846</v>
      </c>
      <c r="AD77" s="12" t="s">
        <v>845</v>
      </c>
      <c r="AE77" s="12" t="s">
        <v>846</v>
      </c>
      <c r="AF77" s="43">
        <f t="shared" si="9"/>
        <v>-0.054414</v>
      </c>
      <c r="AG77" s="12" t="s">
        <v>847</v>
      </c>
      <c r="AH77" s="12" t="s">
        <v>2847</v>
      </c>
      <c r="AI77" s="12" t="s">
        <v>2848</v>
      </c>
      <c r="AJ77" s="12" t="s">
        <v>2800</v>
      </c>
      <c r="AK77" s="12" t="s">
        <v>2625</v>
      </c>
      <c r="AL77" s="43">
        <f t="shared" si="10"/>
        <v>36.55</v>
      </c>
      <c r="AM77" s="12" t="s">
        <v>2825</v>
      </c>
      <c r="AN77" s="12" t="s">
        <v>1337</v>
      </c>
      <c r="AO77" s="12" t="s">
        <v>2849</v>
      </c>
      <c r="AP77" s="12" t="s">
        <v>2850</v>
      </c>
      <c r="AQ77" s="12" t="s">
        <v>1661</v>
      </c>
      <c r="AR77" s="12" t="s">
        <v>2851</v>
      </c>
      <c r="AS77" s="12" t="s">
        <v>2779</v>
      </c>
      <c r="AT77" s="12" t="s">
        <v>95</v>
      </c>
      <c r="AU77" s="12" t="s">
        <v>1285</v>
      </c>
      <c r="AV77" s="12" t="s">
        <v>832</v>
      </c>
      <c r="AW77" s="12" t="s">
        <v>1543</v>
      </c>
      <c r="AX77" s="12" t="s">
        <v>868</v>
      </c>
      <c r="AY77" s="12" t="s">
        <v>868</v>
      </c>
      <c r="AZ77" s="12" t="s">
        <v>2852</v>
      </c>
      <c r="BA77" s="12" t="s">
        <v>868</v>
      </c>
      <c r="BB77" s="12" t="s">
        <v>868</v>
      </c>
      <c r="BC77" s="12" t="s">
        <v>866</v>
      </c>
      <c r="BD77" s="12" t="s">
        <v>867</v>
      </c>
      <c r="BE77" s="12" t="s">
        <v>868</v>
      </c>
      <c r="BF77" s="12" t="s">
        <v>869</v>
      </c>
      <c r="BG77" s="12" t="s">
        <v>870</v>
      </c>
      <c r="BH77" s="12" t="s">
        <v>841</v>
      </c>
      <c r="BI77" s="12" t="s">
        <v>871</v>
      </c>
      <c r="BJ77" s="12" t="s">
        <v>841</v>
      </c>
      <c r="BK77" s="12" t="s">
        <v>841</v>
      </c>
      <c r="BL77" s="12" t="s">
        <v>872</v>
      </c>
      <c r="BM77" s="12" t="s">
        <v>873</v>
      </c>
      <c r="BN77" s="12" t="s">
        <v>866</v>
      </c>
      <c r="BO77" s="12" t="s">
        <v>874</v>
      </c>
      <c r="BP77" s="12" t="s">
        <v>875</v>
      </c>
      <c r="BQ77" s="12" t="s">
        <v>876</v>
      </c>
      <c r="BR77" s="12" t="s">
        <v>869</v>
      </c>
      <c r="BS77" s="12" t="s">
        <v>869</v>
      </c>
      <c r="BT77" s="12" t="s">
        <v>877</v>
      </c>
      <c r="BU77" s="12" t="s">
        <v>877</v>
      </c>
      <c r="BV77" s="12" t="s">
        <v>877</v>
      </c>
      <c r="BW77" s="12" t="s">
        <v>841</v>
      </c>
      <c r="BX77" s="12" t="s">
        <v>878</v>
      </c>
      <c r="BY77" s="12" t="s">
        <v>841</v>
      </c>
      <c r="BZ77" s="12" t="s">
        <v>841</v>
      </c>
      <c r="CA77" s="12" t="s">
        <v>841</v>
      </c>
      <c r="CB77" s="12" t="s">
        <v>841</v>
      </c>
      <c r="CC77" s="12" t="s">
        <v>2853</v>
      </c>
      <c r="CD77" s="12" t="s">
        <v>2854</v>
      </c>
      <c r="CE77" s="12" t="s">
        <v>2855</v>
      </c>
      <c r="CF77" s="12" t="s">
        <v>2856</v>
      </c>
      <c r="CG77" s="12" t="s">
        <v>2857</v>
      </c>
      <c r="CH77" s="12" t="s">
        <v>2858</v>
      </c>
      <c r="CI77" s="12" t="s">
        <v>2859</v>
      </c>
      <c r="CJ77" s="12" t="s">
        <v>2860</v>
      </c>
      <c r="CK77" s="12" t="s">
        <v>2844</v>
      </c>
      <c r="CL77" s="12" t="s">
        <v>2861</v>
      </c>
      <c r="CM77" s="12" t="s">
        <v>888</v>
      </c>
      <c r="CN77" s="12" t="s">
        <v>841</v>
      </c>
      <c r="CO77" s="12" t="s">
        <v>847</v>
      </c>
      <c r="CP77" s="12" t="s">
        <v>889</v>
      </c>
      <c r="CQ77" s="12" t="s">
        <v>890</v>
      </c>
      <c r="CR77" s="12" t="s">
        <v>847</v>
      </c>
      <c r="CS77" s="12" t="s">
        <v>891</v>
      </c>
      <c r="CT77" s="12" t="s">
        <v>892</v>
      </c>
      <c r="CU77" s="12" t="s">
        <v>893</v>
      </c>
      <c r="CV77" s="12" t="s">
        <v>841</v>
      </c>
      <c r="CW77" s="12" t="s">
        <v>2843</v>
      </c>
      <c r="CX77" s="12" t="s">
        <v>894</v>
      </c>
      <c r="CY77" s="12" t="s">
        <v>895</v>
      </c>
      <c r="CZ77" s="12" t="s">
        <v>896</v>
      </c>
      <c r="DA77" s="12" t="s">
        <v>897</v>
      </c>
      <c r="DB77" s="12" t="s">
        <v>898</v>
      </c>
      <c r="DC77" s="12" t="s">
        <v>899</v>
      </c>
    </row>
    <row r="78">
      <c r="A78" s="12" t="s">
        <v>1870</v>
      </c>
      <c r="B78" s="12" t="s">
        <v>352</v>
      </c>
      <c r="C78" s="12" t="s">
        <v>95</v>
      </c>
      <c r="D78" s="12" t="s">
        <v>833</v>
      </c>
      <c r="E78" s="12" t="s">
        <v>834</v>
      </c>
      <c r="F78" s="12"/>
      <c r="G78" s="12" t="s">
        <v>227</v>
      </c>
      <c r="H78" s="12" t="s">
        <v>228</v>
      </c>
      <c r="I78" s="12"/>
      <c r="J78" s="43">
        <f t="shared" si="1"/>
        <v>-0.007568026249</v>
      </c>
      <c r="K78" s="43">
        <f t="shared" si="2"/>
        <v>2.90981592</v>
      </c>
      <c r="L78" s="43">
        <f t="shared" si="3"/>
        <v>-0.007587760959</v>
      </c>
      <c r="M78" s="43">
        <f t="shared" si="4"/>
        <v>-0.3670866142</v>
      </c>
      <c r="N78" s="12" t="s">
        <v>2862</v>
      </c>
      <c r="O78" s="12" t="s">
        <v>2863</v>
      </c>
      <c r="P78" s="43">
        <f t="shared" si="5"/>
        <v>6.168521616</v>
      </c>
      <c r="Q78" s="43">
        <f t="shared" si="6"/>
        <v>4.554881616</v>
      </c>
      <c r="R78" s="12" t="s">
        <v>2864</v>
      </c>
      <c r="S78" s="12" t="s">
        <v>2865</v>
      </c>
      <c r="T78" s="43">
        <f t="shared" si="7"/>
        <v>62.91841714</v>
      </c>
      <c r="U78" s="43">
        <f t="shared" si="8"/>
        <v>0.4417875</v>
      </c>
      <c r="V78" s="12" t="s">
        <v>839</v>
      </c>
      <c r="W78" s="12" t="s">
        <v>2866</v>
      </c>
      <c r="X78" s="12" t="s">
        <v>841</v>
      </c>
      <c r="Y78" s="12" t="s">
        <v>841</v>
      </c>
      <c r="Z78" s="12" t="s">
        <v>841</v>
      </c>
      <c r="AA78" s="12" t="s">
        <v>2867</v>
      </c>
      <c r="AB78" s="12" t="s">
        <v>2868</v>
      </c>
      <c r="AC78" s="12" t="s">
        <v>2869</v>
      </c>
      <c r="AD78" s="12" t="s">
        <v>845</v>
      </c>
      <c r="AE78" s="12" t="s">
        <v>846</v>
      </c>
      <c r="AF78" s="43">
        <f t="shared" si="9"/>
        <v>-0.0293436</v>
      </c>
      <c r="AG78" s="12" t="s">
        <v>847</v>
      </c>
      <c r="AH78" s="12" t="s">
        <v>2870</v>
      </c>
      <c r="AI78" s="12" t="s">
        <v>2871</v>
      </c>
      <c r="AJ78" s="12" t="s">
        <v>2800</v>
      </c>
      <c r="AK78" s="12" t="s">
        <v>2872</v>
      </c>
      <c r="AL78" s="43">
        <f t="shared" si="10"/>
        <v>36.6</v>
      </c>
      <c r="AM78" s="12" t="s">
        <v>2774</v>
      </c>
      <c r="AN78" s="12" t="s">
        <v>914</v>
      </c>
      <c r="AO78" s="12" t="s">
        <v>2873</v>
      </c>
      <c r="AP78" s="12" t="s">
        <v>1312</v>
      </c>
      <c r="AQ78" s="12" t="s">
        <v>1237</v>
      </c>
      <c r="AR78" s="12" t="s">
        <v>2874</v>
      </c>
      <c r="AS78" s="12" t="s">
        <v>2779</v>
      </c>
      <c r="AT78" s="12" t="s">
        <v>95</v>
      </c>
      <c r="AU78" s="12" t="s">
        <v>1285</v>
      </c>
      <c r="AV78" s="12" t="s">
        <v>832</v>
      </c>
      <c r="AW78" s="12" t="s">
        <v>1542</v>
      </c>
      <c r="AX78" s="12" t="s">
        <v>868</v>
      </c>
      <c r="AY78" s="12" t="s">
        <v>868</v>
      </c>
      <c r="AZ78" s="12" t="s">
        <v>2875</v>
      </c>
      <c r="BA78" s="12" t="s">
        <v>868</v>
      </c>
      <c r="BB78" s="12" t="s">
        <v>868</v>
      </c>
      <c r="BC78" s="12" t="s">
        <v>866</v>
      </c>
      <c r="BD78" s="12" t="s">
        <v>867</v>
      </c>
      <c r="BE78" s="12" t="s">
        <v>868</v>
      </c>
      <c r="BF78" s="12" t="s">
        <v>869</v>
      </c>
      <c r="BG78" s="12" t="s">
        <v>870</v>
      </c>
      <c r="BH78" s="12" t="s">
        <v>841</v>
      </c>
      <c r="BI78" s="12" t="s">
        <v>871</v>
      </c>
      <c r="BJ78" s="12" t="s">
        <v>841</v>
      </c>
      <c r="BK78" s="12" t="s">
        <v>841</v>
      </c>
      <c r="BL78" s="12" t="s">
        <v>872</v>
      </c>
      <c r="BM78" s="12" t="s">
        <v>873</v>
      </c>
      <c r="BN78" s="12" t="s">
        <v>866</v>
      </c>
      <c r="BO78" s="12" t="s">
        <v>874</v>
      </c>
      <c r="BP78" s="12" t="s">
        <v>875</v>
      </c>
      <c r="BQ78" s="12" t="s">
        <v>876</v>
      </c>
      <c r="BR78" s="12" t="s">
        <v>869</v>
      </c>
      <c r="BS78" s="12" t="s">
        <v>869</v>
      </c>
      <c r="BT78" s="12" t="s">
        <v>877</v>
      </c>
      <c r="BU78" s="12" t="s">
        <v>877</v>
      </c>
      <c r="BV78" s="12" t="s">
        <v>877</v>
      </c>
      <c r="BW78" s="12" t="s">
        <v>841</v>
      </c>
      <c r="BX78" s="12" t="s">
        <v>878</v>
      </c>
      <c r="BY78" s="12" t="s">
        <v>841</v>
      </c>
      <c r="BZ78" s="12" t="s">
        <v>841</v>
      </c>
      <c r="CA78" s="12" t="s">
        <v>841</v>
      </c>
      <c r="CB78" s="12" t="s">
        <v>841</v>
      </c>
      <c r="CC78" s="12" t="s">
        <v>2876</v>
      </c>
      <c r="CD78" s="12" t="s">
        <v>2877</v>
      </c>
      <c r="CE78" s="12" t="s">
        <v>2099</v>
      </c>
      <c r="CF78" s="12" t="s">
        <v>2878</v>
      </c>
      <c r="CG78" s="12" t="s">
        <v>2879</v>
      </c>
      <c r="CH78" s="12" t="s">
        <v>2880</v>
      </c>
      <c r="CI78" s="12" t="s">
        <v>2881</v>
      </c>
      <c r="CJ78" s="12" t="s">
        <v>2882</v>
      </c>
      <c r="CK78" s="12" t="s">
        <v>2867</v>
      </c>
      <c r="CL78" s="12" t="s">
        <v>1415</v>
      </c>
      <c r="CM78" s="12" t="s">
        <v>888</v>
      </c>
      <c r="CN78" s="12" t="s">
        <v>841</v>
      </c>
      <c r="CO78" s="12" t="s">
        <v>847</v>
      </c>
      <c r="CP78" s="12" t="s">
        <v>889</v>
      </c>
      <c r="CQ78" s="12" t="s">
        <v>890</v>
      </c>
      <c r="CR78" s="12" t="s">
        <v>847</v>
      </c>
      <c r="CS78" s="12" t="s">
        <v>891</v>
      </c>
      <c r="CT78" s="12" t="s">
        <v>892</v>
      </c>
      <c r="CU78" s="12" t="s">
        <v>893</v>
      </c>
      <c r="CV78" s="12" t="s">
        <v>841</v>
      </c>
      <c r="CW78" s="12" t="s">
        <v>2866</v>
      </c>
      <c r="CX78" s="12" t="s">
        <v>894</v>
      </c>
      <c r="CY78" s="12" t="s">
        <v>895</v>
      </c>
      <c r="CZ78" s="12" t="s">
        <v>896</v>
      </c>
      <c r="DA78" s="12" t="s">
        <v>897</v>
      </c>
      <c r="DB78" s="12" t="s">
        <v>898</v>
      </c>
      <c r="DC78" s="12" t="s">
        <v>899</v>
      </c>
    </row>
    <row r="79">
      <c r="A79" s="12" t="s">
        <v>1894</v>
      </c>
      <c r="B79" s="12" t="s">
        <v>355</v>
      </c>
      <c r="C79" s="12" t="s">
        <v>95</v>
      </c>
      <c r="D79" s="12" t="s">
        <v>833</v>
      </c>
      <c r="E79" s="12" t="s">
        <v>834</v>
      </c>
      <c r="F79" s="12"/>
      <c r="G79" s="12" t="s">
        <v>227</v>
      </c>
      <c r="H79" s="12" t="s">
        <v>239</v>
      </c>
      <c r="I79" s="12"/>
      <c r="J79" s="43">
        <f t="shared" si="1"/>
        <v>-0.008687622682</v>
      </c>
      <c r="K79" s="43">
        <f t="shared" si="2"/>
        <v>2.91060848</v>
      </c>
      <c r="L79" s="43">
        <f t="shared" si="3"/>
        <v>-0.008713631244</v>
      </c>
      <c r="M79" s="43">
        <f t="shared" si="4"/>
        <v>-0.4323866859</v>
      </c>
      <c r="N79" s="12" t="s">
        <v>2883</v>
      </c>
      <c r="O79" s="12" t="s">
        <v>2884</v>
      </c>
      <c r="P79" s="43">
        <f t="shared" si="5"/>
        <v>6.232968511</v>
      </c>
      <c r="Q79" s="43">
        <f t="shared" si="6"/>
        <v>4.672118511</v>
      </c>
      <c r="R79" s="12" t="s">
        <v>2885</v>
      </c>
      <c r="S79" s="12" t="s">
        <v>2886</v>
      </c>
      <c r="T79" s="43">
        <f t="shared" si="7"/>
        <v>63.56928619</v>
      </c>
      <c r="U79" s="43">
        <f t="shared" si="8"/>
        <v>0.4417875</v>
      </c>
      <c r="V79" s="12" t="s">
        <v>839</v>
      </c>
      <c r="W79" s="12" t="s">
        <v>2887</v>
      </c>
      <c r="X79" s="12" t="s">
        <v>841</v>
      </c>
      <c r="Y79" s="12" t="s">
        <v>841</v>
      </c>
      <c r="Z79" s="12" t="s">
        <v>841</v>
      </c>
      <c r="AA79" s="12" t="s">
        <v>2888</v>
      </c>
      <c r="AB79" s="12" t="s">
        <v>2889</v>
      </c>
      <c r="AC79" s="12" t="s">
        <v>2890</v>
      </c>
      <c r="AD79" s="12" t="s">
        <v>845</v>
      </c>
      <c r="AE79" s="12" t="s">
        <v>846</v>
      </c>
      <c r="AF79" s="43">
        <f t="shared" si="9"/>
        <v>17.6513952</v>
      </c>
      <c r="AG79" s="12" t="s">
        <v>847</v>
      </c>
      <c r="AH79" s="12" t="s">
        <v>2891</v>
      </c>
      <c r="AI79" s="12" t="s">
        <v>2892</v>
      </c>
      <c r="AJ79" s="12" t="s">
        <v>2893</v>
      </c>
      <c r="AK79" s="12" t="s">
        <v>1507</v>
      </c>
      <c r="AL79" s="43">
        <f t="shared" si="10"/>
        <v>36.79</v>
      </c>
      <c r="AM79" s="12" t="s">
        <v>2801</v>
      </c>
      <c r="AN79" s="12" t="s">
        <v>1159</v>
      </c>
      <c r="AO79" s="12" t="s">
        <v>2894</v>
      </c>
      <c r="AP79" s="12" t="s">
        <v>2895</v>
      </c>
      <c r="AQ79" s="12" t="s">
        <v>2512</v>
      </c>
      <c r="AR79" s="12" t="s">
        <v>2874</v>
      </c>
      <c r="AS79" s="12" t="s">
        <v>2779</v>
      </c>
      <c r="AT79" s="12" t="s">
        <v>95</v>
      </c>
      <c r="AU79" s="12" t="s">
        <v>1285</v>
      </c>
      <c r="AV79" s="12" t="s">
        <v>832</v>
      </c>
      <c r="AW79" s="12" t="s">
        <v>1403</v>
      </c>
      <c r="AX79" s="12" t="s">
        <v>1784</v>
      </c>
      <c r="AY79" s="12" t="s">
        <v>2896</v>
      </c>
      <c r="AZ79" s="12" t="s">
        <v>2897</v>
      </c>
      <c r="BA79" s="12" t="s">
        <v>2898</v>
      </c>
      <c r="BB79" s="12" t="s">
        <v>2899</v>
      </c>
      <c r="BC79" s="12" t="s">
        <v>866</v>
      </c>
      <c r="BD79" s="12" t="s">
        <v>867</v>
      </c>
      <c r="BE79" s="12" t="s">
        <v>868</v>
      </c>
      <c r="BF79" s="12" t="s">
        <v>869</v>
      </c>
      <c r="BG79" s="12" t="s">
        <v>870</v>
      </c>
      <c r="BH79" s="12" t="s">
        <v>841</v>
      </c>
      <c r="BI79" s="12" t="s">
        <v>871</v>
      </c>
      <c r="BJ79" s="12" t="s">
        <v>841</v>
      </c>
      <c r="BK79" s="12" t="s">
        <v>841</v>
      </c>
      <c r="BL79" s="12" t="s">
        <v>872</v>
      </c>
      <c r="BM79" s="12" t="s">
        <v>873</v>
      </c>
      <c r="BN79" s="12" t="s">
        <v>866</v>
      </c>
      <c r="BO79" s="12" t="s">
        <v>874</v>
      </c>
      <c r="BP79" s="12" t="s">
        <v>875</v>
      </c>
      <c r="BQ79" s="12" t="s">
        <v>876</v>
      </c>
      <c r="BR79" s="12" t="s">
        <v>869</v>
      </c>
      <c r="BS79" s="12" t="s">
        <v>869</v>
      </c>
      <c r="BT79" s="12" t="s">
        <v>877</v>
      </c>
      <c r="BU79" s="12" t="s">
        <v>877</v>
      </c>
      <c r="BV79" s="12" t="s">
        <v>877</v>
      </c>
      <c r="BW79" s="12" t="s">
        <v>841</v>
      </c>
      <c r="BX79" s="12" t="s">
        <v>878</v>
      </c>
      <c r="BY79" s="12" t="s">
        <v>841</v>
      </c>
      <c r="BZ79" s="12" t="s">
        <v>841</v>
      </c>
      <c r="CA79" s="12" t="s">
        <v>841</v>
      </c>
      <c r="CB79" s="12" t="s">
        <v>841</v>
      </c>
      <c r="CC79" s="12" t="s">
        <v>2900</v>
      </c>
      <c r="CD79" s="12" t="s">
        <v>2901</v>
      </c>
      <c r="CE79" s="12" t="s">
        <v>2902</v>
      </c>
      <c r="CF79" s="12" t="s">
        <v>2903</v>
      </c>
      <c r="CG79" s="12" t="s">
        <v>2904</v>
      </c>
      <c r="CH79" s="12" t="s">
        <v>2905</v>
      </c>
      <c r="CI79" s="12" t="s">
        <v>2906</v>
      </c>
      <c r="CJ79" s="12" t="s">
        <v>2907</v>
      </c>
      <c r="CK79" s="12" t="s">
        <v>2888</v>
      </c>
      <c r="CL79" s="12" t="s">
        <v>2205</v>
      </c>
      <c r="CM79" s="12" t="s">
        <v>888</v>
      </c>
      <c r="CN79" s="12" t="s">
        <v>841</v>
      </c>
      <c r="CO79" s="12" t="s">
        <v>847</v>
      </c>
      <c r="CP79" s="12" t="s">
        <v>889</v>
      </c>
      <c r="CQ79" s="12" t="s">
        <v>890</v>
      </c>
      <c r="CR79" s="12" t="s">
        <v>847</v>
      </c>
      <c r="CS79" s="12" t="s">
        <v>891</v>
      </c>
      <c r="CT79" s="12" t="s">
        <v>892</v>
      </c>
      <c r="CU79" s="12" t="s">
        <v>893</v>
      </c>
      <c r="CV79" s="12" t="s">
        <v>841</v>
      </c>
      <c r="CW79" s="12" t="s">
        <v>2887</v>
      </c>
      <c r="CX79" s="12" t="s">
        <v>894</v>
      </c>
      <c r="CY79" s="12" t="s">
        <v>895</v>
      </c>
      <c r="CZ79" s="12" t="s">
        <v>896</v>
      </c>
      <c r="DA79" s="12" t="s">
        <v>897</v>
      </c>
      <c r="DB79" s="12" t="s">
        <v>898</v>
      </c>
      <c r="DC79" s="12" t="s">
        <v>899</v>
      </c>
    </row>
    <row r="80">
      <c r="A80" s="12" t="s">
        <v>1919</v>
      </c>
      <c r="B80" s="12" t="s">
        <v>357</v>
      </c>
      <c r="C80" s="12" t="s">
        <v>95</v>
      </c>
      <c r="D80" s="12" t="s">
        <v>833</v>
      </c>
      <c r="E80" s="12" t="s">
        <v>834</v>
      </c>
      <c r="F80" s="12"/>
      <c r="G80" s="12" t="s">
        <v>227</v>
      </c>
      <c r="H80" s="12" t="s">
        <v>239</v>
      </c>
      <c r="I80" s="12"/>
      <c r="J80" s="43">
        <f t="shared" si="1"/>
        <v>0.01734765855</v>
      </c>
      <c r="K80" s="43">
        <f t="shared" si="2"/>
        <v>2.90981592</v>
      </c>
      <c r="L80" s="43">
        <f t="shared" si="3"/>
        <v>0.0172448487</v>
      </c>
      <c r="M80" s="43">
        <f t="shared" si="4"/>
        <v>0.8446510214</v>
      </c>
      <c r="N80" s="12" t="s">
        <v>2908</v>
      </c>
      <c r="O80" s="12" t="s">
        <v>2909</v>
      </c>
      <c r="P80" s="43">
        <f t="shared" si="5"/>
        <v>6.198976595</v>
      </c>
      <c r="Q80" s="43">
        <f t="shared" si="6"/>
        <v>4.611865595</v>
      </c>
      <c r="R80" s="12" t="s">
        <v>2910</v>
      </c>
      <c r="S80" s="12" t="s">
        <v>2911</v>
      </c>
      <c r="T80" s="43">
        <f t="shared" si="7"/>
        <v>63.22260678</v>
      </c>
      <c r="U80" s="43">
        <f t="shared" si="8"/>
        <v>0.4417875</v>
      </c>
      <c r="V80" s="12" t="s">
        <v>839</v>
      </c>
      <c r="W80" s="12" t="s">
        <v>2912</v>
      </c>
      <c r="X80" s="12" t="s">
        <v>841</v>
      </c>
      <c r="Y80" s="12" t="s">
        <v>841</v>
      </c>
      <c r="Z80" s="12" t="s">
        <v>841</v>
      </c>
      <c r="AA80" s="12" t="s">
        <v>2913</v>
      </c>
      <c r="AB80" s="12" t="s">
        <v>2914</v>
      </c>
      <c r="AC80" s="12" t="s">
        <v>2915</v>
      </c>
      <c r="AD80" s="12" t="s">
        <v>845</v>
      </c>
      <c r="AE80" s="12" t="s">
        <v>846</v>
      </c>
      <c r="AF80" s="43">
        <f t="shared" si="9"/>
        <v>17.0350368</v>
      </c>
      <c r="AG80" s="12" t="s">
        <v>847</v>
      </c>
      <c r="AH80" s="12" t="s">
        <v>2916</v>
      </c>
      <c r="AI80" s="12" t="s">
        <v>2917</v>
      </c>
      <c r="AJ80" s="12" t="s">
        <v>2216</v>
      </c>
      <c r="AK80" s="12" t="s">
        <v>2509</v>
      </c>
      <c r="AL80" s="43">
        <f t="shared" si="10"/>
        <v>36.69</v>
      </c>
      <c r="AM80" s="12" t="s">
        <v>2801</v>
      </c>
      <c r="AN80" s="12" t="s">
        <v>914</v>
      </c>
      <c r="AO80" s="12" t="s">
        <v>2918</v>
      </c>
      <c r="AP80" s="12" t="s">
        <v>2919</v>
      </c>
      <c r="AQ80" s="12" t="s">
        <v>2920</v>
      </c>
      <c r="AR80" s="12" t="s">
        <v>2921</v>
      </c>
      <c r="AS80" s="12" t="s">
        <v>2779</v>
      </c>
      <c r="AT80" s="12" t="s">
        <v>95</v>
      </c>
      <c r="AU80" s="12" t="s">
        <v>1285</v>
      </c>
      <c r="AV80" s="12" t="s">
        <v>832</v>
      </c>
      <c r="AW80" s="12" t="s">
        <v>1287</v>
      </c>
      <c r="AX80" s="12" t="s">
        <v>868</v>
      </c>
      <c r="AY80" s="12" t="s">
        <v>868</v>
      </c>
      <c r="AZ80" s="12" t="s">
        <v>2922</v>
      </c>
      <c r="BA80" s="12" t="s">
        <v>868</v>
      </c>
      <c r="BB80" s="12" t="s">
        <v>868</v>
      </c>
      <c r="BC80" s="12" t="s">
        <v>866</v>
      </c>
      <c r="BD80" s="12" t="s">
        <v>867</v>
      </c>
      <c r="BE80" s="12" t="s">
        <v>868</v>
      </c>
      <c r="BF80" s="12" t="s">
        <v>869</v>
      </c>
      <c r="BG80" s="12" t="s">
        <v>870</v>
      </c>
      <c r="BH80" s="12" t="s">
        <v>841</v>
      </c>
      <c r="BI80" s="12" t="s">
        <v>871</v>
      </c>
      <c r="BJ80" s="12" t="s">
        <v>841</v>
      </c>
      <c r="BK80" s="12" t="s">
        <v>841</v>
      </c>
      <c r="BL80" s="12" t="s">
        <v>872</v>
      </c>
      <c r="BM80" s="12" t="s">
        <v>873</v>
      </c>
      <c r="BN80" s="12" t="s">
        <v>866</v>
      </c>
      <c r="BO80" s="12" t="s">
        <v>874</v>
      </c>
      <c r="BP80" s="12" t="s">
        <v>875</v>
      </c>
      <c r="BQ80" s="12" t="s">
        <v>876</v>
      </c>
      <c r="BR80" s="12" t="s">
        <v>869</v>
      </c>
      <c r="BS80" s="12" t="s">
        <v>869</v>
      </c>
      <c r="BT80" s="12" t="s">
        <v>877</v>
      </c>
      <c r="BU80" s="12" t="s">
        <v>877</v>
      </c>
      <c r="BV80" s="12" t="s">
        <v>877</v>
      </c>
      <c r="BW80" s="12" t="s">
        <v>841</v>
      </c>
      <c r="BX80" s="12" t="s">
        <v>878</v>
      </c>
      <c r="BY80" s="12" t="s">
        <v>841</v>
      </c>
      <c r="BZ80" s="12" t="s">
        <v>841</v>
      </c>
      <c r="CA80" s="12" t="s">
        <v>841</v>
      </c>
      <c r="CB80" s="12" t="s">
        <v>841</v>
      </c>
      <c r="CC80" s="12" t="s">
        <v>2923</v>
      </c>
      <c r="CD80" s="12" t="s">
        <v>2924</v>
      </c>
      <c r="CE80" s="12" t="s">
        <v>2925</v>
      </c>
      <c r="CF80" s="12" t="s">
        <v>2926</v>
      </c>
      <c r="CG80" s="12" t="s">
        <v>2927</v>
      </c>
      <c r="CH80" s="12" t="s">
        <v>2928</v>
      </c>
      <c r="CI80" s="12" t="s">
        <v>2929</v>
      </c>
      <c r="CJ80" s="12" t="s">
        <v>2930</v>
      </c>
      <c r="CK80" s="12" t="s">
        <v>2913</v>
      </c>
      <c r="CL80" s="12" t="s">
        <v>1581</v>
      </c>
      <c r="CM80" s="12" t="s">
        <v>888</v>
      </c>
      <c r="CN80" s="12" t="s">
        <v>841</v>
      </c>
      <c r="CO80" s="12" t="s">
        <v>847</v>
      </c>
      <c r="CP80" s="12" t="s">
        <v>889</v>
      </c>
      <c r="CQ80" s="12" t="s">
        <v>890</v>
      </c>
      <c r="CR80" s="12" t="s">
        <v>847</v>
      </c>
      <c r="CS80" s="12" t="s">
        <v>891</v>
      </c>
      <c r="CT80" s="12" t="s">
        <v>892</v>
      </c>
      <c r="CU80" s="12" t="s">
        <v>893</v>
      </c>
      <c r="CV80" s="12" t="s">
        <v>841</v>
      </c>
      <c r="CW80" s="12" t="s">
        <v>2912</v>
      </c>
      <c r="CX80" s="12" t="s">
        <v>894</v>
      </c>
      <c r="CY80" s="12" t="s">
        <v>895</v>
      </c>
      <c r="CZ80" s="12" t="s">
        <v>896</v>
      </c>
      <c r="DA80" s="12" t="s">
        <v>897</v>
      </c>
      <c r="DB80" s="12" t="s">
        <v>898</v>
      </c>
      <c r="DC80" s="12" t="s">
        <v>899</v>
      </c>
    </row>
    <row r="81">
      <c r="A81" s="12" t="s">
        <v>1782</v>
      </c>
      <c r="B81" s="12" t="s">
        <v>358</v>
      </c>
      <c r="C81" s="12" t="s">
        <v>95</v>
      </c>
      <c r="D81" s="12" t="s">
        <v>833</v>
      </c>
      <c r="E81" s="12" t="s">
        <v>834</v>
      </c>
      <c r="F81" s="12"/>
      <c r="G81" s="12" t="s">
        <v>227</v>
      </c>
      <c r="H81" s="12" t="s">
        <v>239</v>
      </c>
      <c r="I81" s="12"/>
      <c r="J81" s="43">
        <f t="shared" si="1"/>
        <v>0.01999481916</v>
      </c>
      <c r="K81" s="43">
        <f t="shared" si="2"/>
        <v>2.909022</v>
      </c>
      <c r="L81" s="43">
        <f t="shared" si="3"/>
        <v>0.01985832531</v>
      </c>
      <c r="M81" s="43">
        <f t="shared" si="4"/>
        <v>0.9845681435</v>
      </c>
      <c r="N81" s="12" t="s">
        <v>2931</v>
      </c>
      <c r="O81" s="12" t="s">
        <v>2932</v>
      </c>
      <c r="P81" s="43">
        <f t="shared" si="5"/>
        <v>6.270546435</v>
      </c>
      <c r="Q81" s="43">
        <f t="shared" si="6"/>
        <v>4.665470435</v>
      </c>
      <c r="R81" s="12" t="s">
        <v>2933</v>
      </c>
      <c r="S81" s="12" t="s">
        <v>2934</v>
      </c>
      <c r="T81" s="43">
        <f t="shared" si="7"/>
        <v>63.95906197</v>
      </c>
      <c r="U81" s="43">
        <f t="shared" si="8"/>
        <v>0.4417875</v>
      </c>
      <c r="V81" s="12" t="s">
        <v>839</v>
      </c>
      <c r="W81" s="12" t="s">
        <v>2935</v>
      </c>
      <c r="X81" s="12" t="s">
        <v>841</v>
      </c>
      <c r="Y81" s="12" t="s">
        <v>841</v>
      </c>
      <c r="Z81" s="12" t="s">
        <v>841</v>
      </c>
      <c r="AA81" s="12" t="s">
        <v>2936</v>
      </c>
      <c r="AB81" s="12" t="s">
        <v>2937</v>
      </c>
      <c r="AC81" s="12" t="s">
        <v>2938</v>
      </c>
      <c r="AD81" s="12" t="s">
        <v>845</v>
      </c>
      <c r="AE81" s="12" t="s">
        <v>846</v>
      </c>
      <c r="AF81" s="43">
        <f t="shared" si="9"/>
        <v>15.7586352</v>
      </c>
      <c r="AG81" s="12" t="s">
        <v>847</v>
      </c>
      <c r="AH81" s="12" t="s">
        <v>2939</v>
      </c>
      <c r="AI81" s="12" t="s">
        <v>2940</v>
      </c>
      <c r="AJ81" s="12" t="s">
        <v>2941</v>
      </c>
      <c r="AK81" s="12" t="s">
        <v>1565</v>
      </c>
      <c r="AL81" s="43">
        <f t="shared" si="10"/>
        <v>36.9</v>
      </c>
      <c r="AM81" s="12" t="s">
        <v>2774</v>
      </c>
      <c r="AN81" s="12" t="s">
        <v>1072</v>
      </c>
      <c r="AO81" s="12" t="s">
        <v>2942</v>
      </c>
      <c r="AP81" s="12" t="s">
        <v>2943</v>
      </c>
      <c r="AQ81" s="12" t="s">
        <v>2944</v>
      </c>
      <c r="AR81" s="12" t="s">
        <v>2945</v>
      </c>
      <c r="AS81" s="12" t="s">
        <v>2779</v>
      </c>
      <c r="AT81" s="12" t="s">
        <v>95</v>
      </c>
      <c r="AU81" s="12" t="s">
        <v>1285</v>
      </c>
      <c r="AV81" s="12" t="s">
        <v>832</v>
      </c>
      <c r="AW81" s="12" t="s">
        <v>1287</v>
      </c>
      <c r="AX81" s="12" t="s">
        <v>1784</v>
      </c>
      <c r="AY81" s="12" t="s">
        <v>868</v>
      </c>
      <c r="AZ81" s="12" t="s">
        <v>2946</v>
      </c>
      <c r="BA81" s="12" t="s">
        <v>2947</v>
      </c>
      <c r="BB81" s="12" t="s">
        <v>868</v>
      </c>
      <c r="BC81" s="12" t="s">
        <v>866</v>
      </c>
      <c r="BD81" s="12" t="s">
        <v>867</v>
      </c>
      <c r="BE81" s="12" t="s">
        <v>868</v>
      </c>
      <c r="BF81" s="12" t="s">
        <v>869</v>
      </c>
      <c r="BG81" s="12" t="s">
        <v>870</v>
      </c>
      <c r="BH81" s="12" t="s">
        <v>841</v>
      </c>
      <c r="BI81" s="12" t="s">
        <v>871</v>
      </c>
      <c r="BJ81" s="12" t="s">
        <v>841</v>
      </c>
      <c r="BK81" s="12" t="s">
        <v>841</v>
      </c>
      <c r="BL81" s="12" t="s">
        <v>872</v>
      </c>
      <c r="BM81" s="12" t="s">
        <v>873</v>
      </c>
      <c r="BN81" s="12" t="s">
        <v>866</v>
      </c>
      <c r="BO81" s="12" t="s">
        <v>874</v>
      </c>
      <c r="BP81" s="12" t="s">
        <v>875</v>
      </c>
      <c r="BQ81" s="12" t="s">
        <v>876</v>
      </c>
      <c r="BR81" s="12" t="s">
        <v>869</v>
      </c>
      <c r="BS81" s="12" t="s">
        <v>869</v>
      </c>
      <c r="BT81" s="12" t="s">
        <v>877</v>
      </c>
      <c r="BU81" s="12" t="s">
        <v>877</v>
      </c>
      <c r="BV81" s="12" t="s">
        <v>877</v>
      </c>
      <c r="BW81" s="12" t="s">
        <v>841</v>
      </c>
      <c r="BX81" s="12" t="s">
        <v>878</v>
      </c>
      <c r="BY81" s="12" t="s">
        <v>841</v>
      </c>
      <c r="BZ81" s="12" t="s">
        <v>841</v>
      </c>
      <c r="CA81" s="12" t="s">
        <v>841</v>
      </c>
      <c r="CB81" s="12" t="s">
        <v>841</v>
      </c>
      <c r="CC81" s="12" t="s">
        <v>2948</v>
      </c>
      <c r="CD81" s="12" t="s">
        <v>2949</v>
      </c>
      <c r="CE81" s="12" t="s">
        <v>2950</v>
      </c>
      <c r="CF81" s="12" t="s">
        <v>2951</v>
      </c>
      <c r="CG81" s="12" t="s">
        <v>2952</v>
      </c>
      <c r="CH81" s="12" t="s">
        <v>2953</v>
      </c>
      <c r="CI81" s="12" t="s">
        <v>2954</v>
      </c>
      <c r="CJ81" s="12" t="s">
        <v>2955</v>
      </c>
      <c r="CK81" s="12" t="s">
        <v>2936</v>
      </c>
      <c r="CL81" s="12" t="s">
        <v>1415</v>
      </c>
      <c r="CM81" s="12" t="s">
        <v>888</v>
      </c>
      <c r="CN81" s="12" t="s">
        <v>841</v>
      </c>
      <c r="CO81" s="12" t="s">
        <v>847</v>
      </c>
      <c r="CP81" s="12" t="s">
        <v>889</v>
      </c>
      <c r="CQ81" s="12" t="s">
        <v>890</v>
      </c>
      <c r="CR81" s="12" t="s">
        <v>847</v>
      </c>
      <c r="CS81" s="12" t="s">
        <v>891</v>
      </c>
      <c r="CT81" s="12" t="s">
        <v>892</v>
      </c>
      <c r="CU81" s="12" t="s">
        <v>893</v>
      </c>
      <c r="CV81" s="12" t="s">
        <v>841</v>
      </c>
      <c r="CW81" s="12" t="s">
        <v>2935</v>
      </c>
      <c r="CX81" s="12" t="s">
        <v>894</v>
      </c>
      <c r="CY81" s="12" t="s">
        <v>895</v>
      </c>
      <c r="CZ81" s="12" t="s">
        <v>896</v>
      </c>
      <c r="DA81" s="12" t="s">
        <v>897</v>
      </c>
      <c r="DB81" s="12" t="s">
        <v>898</v>
      </c>
      <c r="DC81" s="12" t="s">
        <v>899</v>
      </c>
    </row>
    <row r="82">
      <c r="A82" s="12" t="s">
        <v>1970</v>
      </c>
      <c r="B82" s="12" t="s">
        <v>360</v>
      </c>
      <c r="C82" s="12" t="s">
        <v>95</v>
      </c>
      <c r="D82" s="12" t="s">
        <v>833</v>
      </c>
      <c r="E82" s="12" t="s">
        <v>834</v>
      </c>
      <c r="F82" s="12"/>
      <c r="G82" s="12" t="s">
        <v>227</v>
      </c>
      <c r="H82" s="12" t="s">
        <v>239</v>
      </c>
      <c r="I82" s="12"/>
      <c r="J82" s="43">
        <f t="shared" si="1"/>
        <v>0.01232064123</v>
      </c>
      <c r="K82" s="43">
        <f t="shared" si="2"/>
        <v>2.90981592</v>
      </c>
      <c r="L82" s="43">
        <f t="shared" si="3"/>
        <v>0.01226869356</v>
      </c>
      <c r="M82" s="43">
        <f t="shared" si="4"/>
        <v>0.5952188772</v>
      </c>
      <c r="N82" s="12" t="s">
        <v>2956</v>
      </c>
      <c r="O82" s="12" t="s">
        <v>2957</v>
      </c>
      <c r="P82" s="43">
        <f t="shared" si="5"/>
        <v>6.111349892</v>
      </c>
      <c r="Q82" s="43">
        <f t="shared" si="6"/>
        <v>4.571371892</v>
      </c>
      <c r="R82" s="12" t="s">
        <v>2958</v>
      </c>
      <c r="S82" s="12" t="s">
        <v>2959</v>
      </c>
      <c r="T82" s="43">
        <f t="shared" si="7"/>
        <v>62.32891272</v>
      </c>
      <c r="U82" s="43">
        <f t="shared" si="8"/>
        <v>0.4417875</v>
      </c>
      <c r="V82" s="12" t="s">
        <v>839</v>
      </c>
      <c r="W82" s="12" t="s">
        <v>2960</v>
      </c>
      <c r="X82" s="12" t="s">
        <v>841</v>
      </c>
      <c r="Y82" s="12" t="s">
        <v>841</v>
      </c>
      <c r="Z82" s="12" t="s">
        <v>841</v>
      </c>
      <c r="AA82" s="12" t="s">
        <v>2961</v>
      </c>
      <c r="AB82" s="12" t="s">
        <v>2962</v>
      </c>
      <c r="AC82" s="12" t="s">
        <v>2963</v>
      </c>
      <c r="AD82" s="12" t="s">
        <v>845</v>
      </c>
      <c r="AE82" s="12" t="s">
        <v>846</v>
      </c>
      <c r="AF82" s="43">
        <f t="shared" si="9"/>
        <v>17.6560128</v>
      </c>
      <c r="AG82" s="12" t="s">
        <v>847</v>
      </c>
      <c r="AH82" s="12" t="s">
        <v>2964</v>
      </c>
      <c r="AI82" s="12" t="s">
        <v>2965</v>
      </c>
      <c r="AJ82" s="12" t="s">
        <v>2966</v>
      </c>
      <c r="AK82" s="12" t="s">
        <v>2967</v>
      </c>
      <c r="AL82" s="43">
        <f t="shared" si="10"/>
        <v>36.43</v>
      </c>
      <c r="AM82" s="12" t="s">
        <v>2801</v>
      </c>
      <c r="AN82" s="12" t="s">
        <v>914</v>
      </c>
      <c r="AO82" s="12" t="s">
        <v>2968</v>
      </c>
      <c r="AP82" s="12" t="s">
        <v>2969</v>
      </c>
      <c r="AQ82" s="12" t="s">
        <v>2970</v>
      </c>
      <c r="AR82" s="12" t="s">
        <v>2971</v>
      </c>
      <c r="AS82" s="12" t="s">
        <v>2779</v>
      </c>
      <c r="AT82" s="12" t="s">
        <v>95</v>
      </c>
      <c r="AU82" s="12" t="s">
        <v>1285</v>
      </c>
      <c r="AV82" s="12" t="s">
        <v>832</v>
      </c>
      <c r="AW82" s="12" t="s">
        <v>1542</v>
      </c>
      <c r="AX82" s="12" t="s">
        <v>868</v>
      </c>
      <c r="AY82" s="12" t="s">
        <v>868</v>
      </c>
      <c r="AZ82" s="12" t="s">
        <v>2972</v>
      </c>
      <c r="BA82" s="12" t="s">
        <v>868</v>
      </c>
      <c r="BB82" s="12" t="s">
        <v>868</v>
      </c>
      <c r="BC82" s="12" t="s">
        <v>866</v>
      </c>
      <c r="BD82" s="12" t="s">
        <v>867</v>
      </c>
      <c r="BE82" s="12" t="s">
        <v>868</v>
      </c>
      <c r="BF82" s="12" t="s">
        <v>869</v>
      </c>
      <c r="BG82" s="12" t="s">
        <v>870</v>
      </c>
      <c r="BH82" s="12" t="s">
        <v>841</v>
      </c>
      <c r="BI82" s="12" t="s">
        <v>871</v>
      </c>
      <c r="BJ82" s="12" t="s">
        <v>841</v>
      </c>
      <c r="BK82" s="12" t="s">
        <v>841</v>
      </c>
      <c r="BL82" s="12" t="s">
        <v>872</v>
      </c>
      <c r="BM82" s="12" t="s">
        <v>873</v>
      </c>
      <c r="BN82" s="12" t="s">
        <v>866</v>
      </c>
      <c r="BO82" s="12" t="s">
        <v>874</v>
      </c>
      <c r="BP82" s="12" t="s">
        <v>875</v>
      </c>
      <c r="BQ82" s="12" t="s">
        <v>876</v>
      </c>
      <c r="BR82" s="12" t="s">
        <v>869</v>
      </c>
      <c r="BS82" s="12" t="s">
        <v>869</v>
      </c>
      <c r="BT82" s="12" t="s">
        <v>877</v>
      </c>
      <c r="BU82" s="12" t="s">
        <v>877</v>
      </c>
      <c r="BV82" s="12" t="s">
        <v>877</v>
      </c>
      <c r="BW82" s="12" t="s">
        <v>841</v>
      </c>
      <c r="BX82" s="12" t="s">
        <v>878</v>
      </c>
      <c r="BY82" s="12" t="s">
        <v>841</v>
      </c>
      <c r="BZ82" s="12" t="s">
        <v>841</v>
      </c>
      <c r="CA82" s="12" t="s">
        <v>841</v>
      </c>
      <c r="CB82" s="12" t="s">
        <v>841</v>
      </c>
      <c r="CC82" s="12" t="s">
        <v>2973</v>
      </c>
      <c r="CD82" s="12" t="s">
        <v>2974</v>
      </c>
      <c r="CE82" s="12" t="s">
        <v>2975</v>
      </c>
      <c r="CF82" s="12" t="s">
        <v>2976</v>
      </c>
      <c r="CG82" s="12" t="s">
        <v>2977</v>
      </c>
      <c r="CH82" s="12" t="s">
        <v>2978</v>
      </c>
      <c r="CI82" s="12" t="s">
        <v>2979</v>
      </c>
      <c r="CJ82" s="12" t="s">
        <v>2980</v>
      </c>
      <c r="CK82" s="12" t="s">
        <v>2961</v>
      </c>
      <c r="CL82" s="12" t="s">
        <v>2861</v>
      </c>
      <c r="CM82" s="12" t="s">
        <v>888</v>
      </c>
      <c r="CN82" s="12" t="s">
        <v>841</v>
      </c>
      <c r="CO82" s="12" t="s">
        <v>847</v>
      </c>
      <c r="CP82" s="12" t="s">
        <v>889</v>
      </c>
      <c r="CQ82" s="12" t="s">
        <v>890</v>
      </c>
      <c r="CR82" s="12" t="s">
        <v>847</v>
      </c>
      <c r="CS82" s="12" t="s">
        <v>891</v>
      </c>
      <c r="CT82" s="12" t="s">
        <v>892</v>
      </c>
      <c r="CU82" s="12" t="s">
        <v>893</v>
      </c>
      <c r="CV82" s="12" t="s">
        <v>841</v>
      </c>
      <c r="CW82" s="12" t="s">
        <v>2960</v>
      </c>
      <c r="CX82" s="12" t="s">
        <v>894</v>
      </c>
      <c r="CY82" s="12" t="s">
        <v>895</v>
      </c>
      <c r="CZ82" s="12" t="s">
        <v>896</v>
      </c>
      <c r="DA82" s="12" t="s">
        <v>897</v>
      </c>
      <c r="DB82" s="12" t="s">
        <v>898</v>
      </c>
      <c r="DC82" s="12" t="s">
        <v>899</v>
      </c>
    </row>
    <row r="83">
      <c r="A83" s="12" t="s">
        <v>1998</v>
      </c>
      <c r="B83" s="12" t="s">
        <v>361</v>
      </c>
      <c r="C83" s="12" t="s">
        <v>95</v>
      </c>
      <c r="D83" s="12" t="s">
        <v>833</v>
      </c>
      <c r="E83" s="12" t="s">
        <v>834</v>
      </c>
      <c r="F83" s="12"/>
      <c r="G83" s="12" t="s">
        <v>227</v>
      </c>
      <c r="H83" s="12" t="s">
        <v>239</v>
      </c>
      <c r="I83" s="12"/>
      <c r="J83" s="43">
        <f t="shared" si="1"/>
        <v>-0.002780580563</v>
      </c>
      <c r="K83" s="43">
        <f t="shared" si="2"/>
        <v>2.90981592</v>
      </c>
      <c r="L83" s="43">
        <f t="shared" si="3"/>
        <v>-0.00278324019</v>
      </c>
      <c r="M83" s="43">
        <f t="shared" si="4"/>
        <v>-0.1341329925</v>
      </c>
      <c r="N83" s="12" t="s">
        <v>2981</v>
      </c>
      <c r="O83" s="12" t="s">
        <v>2982</v>
      </c>
      <c r="P83" s="43">
        <f t="shared" si="5"/>
        <v>6.101308682</v>
      </c>
      <c r="Q83" s="43">
        <f t="shared" si="6"/>
        <v>4.540166682</v>
      </c>
      <c r="R83" s="12" t="s">
        <v>2983</v>
      </c>
      <c r="S83" s="12" t="s">
        <v>2984</v>
      </c>
      <c r="T83" s="43">
        <f t="shared" si="7"/>
        <v>62.23285069</v>
      </c>
      <c r="U83" s="43">
        <f t="shared" si="8"/>
        <v>0.4417875</v>
      </c>
      <c r="V83" s="12" t="s">
        <v>839</v>
      </c>
      <c r="W83" s="12" t="s">
        <v>2985</v>
      </c>
      <c r="X83" s="12" t="s">
        <v>841</v>
      </c>
      <c r="Y83" s="12" t="s">
        <v>841</v>
      </c>
      <c r="Z83" s="12" t="s">
        <v>841</v>
      </c>
      <c r="AA83" s="12" t="s">
        <v>2986</v>
      </c>
      <c r="AB83" s="12" t="s">
        <v>2987</v>
      </c>
      <c r="AC83" s="12" t="s">
        <v>2988</v>
      </c>
      <c r="AD83" s="12" t="s">
        <v>845</v>
      </c>
      <c r="AE83" s="12" t="s">
        <v>846</v>
      </c>
      <c r="AF83" s="43">
        <f t="shared" si="9"/>
        <v>16.7478784</v>
      </c>
      <c r="AG83" s="12" t="s">
        <v>847</v>
      </c>
      <c r="AH83" s="12" t="s">
        <v>2989</v>
      </c>
      <c r="AI83" s="12" t="s">
        <v>2990</v>
      </c>
      <c r="AJ83" s="12" t="s">
        <v>1981</v>
      </c>
      <c r="AK83" s="12" t="s">
        <v>2991</v>
      </c>
      <c r="AL83" s="43">
        <f t="shared" si="10"/>
        <v>36.4</v>
      </c>
      <c r="AM83" s="12" t="s">
        <v>2774</v>
      </c>
      <c r="AN83" s="12" t="s">
        <v>914</v>
      </c>
      <c r="AO83" s="12" t="s">
        <v>2992</v>
      </c>
      <c r="AP83" s="12" t="s">
        <v>2993</v>
      </c>
      <c r="AQ83" s="12" t="s">
        <v>2970</v>
      </c>
      <c r="AR83" s="12" t="s">
        <v>2971</v>
      </c>
      <c r="AS83" s="12" t="s">
        <v>2779</v>
      </c>
      <c r="AT83" s="12" t="s">
        <v>95</v>
      </c>
      <c r="AU83" s="12" t="s">
        <v>1285</v>
      </c>
      <c r="AV83" s="12" t="s">
        <v>832</v>
      </c>
      <c r="AW83" s="12" t="s">
        <v>1403</v>
      </c>
      <c r="AX83" s="12" t="s">
        <v>868</v>
      </c>
      <c r="AY83" s="12" t="s">
        <v>868</v>
      </c>
      <c r="AZ83" s="12" t="s">
        <v>2994</v>
      </c>
      <c r="BA83" s="12" t="s">
        <v>868</v>
      </c>
      <c r="BB83" s="12" t="s">
        <v>868</v>
      </c>
      <c r="BC83" s="12" t="s">
        <v>866</v>
      </c>
      <c r="BD83" s="12" t="s">
        <v>867</v>
      </c>
      <c r="BE83" s="12" t="s">
        <v>868</v>
      </c>
      <c r="BF83" s="12" t="s">
        <v>869</v>
      </c>
      <c r="BG83" s="12" t="s">
        <v>870</v>
      </c>
      <c r="BH83" s="12" t="s">
        <v>841</v>
      </c>
      <c r="BI83" s="12" t="s">
        <v>871</v>
      </c>
      <c r="BJ83" s="12" t="s">
        <v>841</v>
      </c>
      <c r="BK83" s="12" t="s">
        <v>841</v>
      </c>
      <c r="BL83" s="12" t="s">
        <v>872</v>
      </c>
      <c r="BM83" s="12" t="s">
        <v>873</v>
      </c>
      <c r="BN83" s="12" t="s">
        <v>866</v>
      </c>
      <c r="BO83" s="12" t="s">
        <v>874</v>
      </c>
      <c r="BP83" s="12" t="s">
        <v>875</v>
      </c>
      <c r="BQ83" s="12" t="s">
        <v>876</v>
      </c>
      <c r="BR83" s="12" t="s">
        <v>869</v>
      </c>
      <c r="BS83" s="12" t="s">
        <v>869</v>
      </c>
      <c r="BT83" s="12" t="s">
        <v>877</v>
      </c>
      <c r="BU83" s="12" t="s">
        <v>877</v>
      </c>
      <c r="BV83" s="12" t="s">
        <v>877</v>
      </c>
      <c r="BW83" s="12" t="s">
        <v>841</v>
      </c>
      <c r="BX83" s="12" t="s">
        <v>878</v>
      </c>
      <c r="BY83" s="12" t="s">
        <v>841</v>
      </c>
      <c r="BZ83" s="12" t="s">
        <v>841</v>
      </c>
      <c r="CA83" s="12" t="s">
        <v>841</v>
      </c>
      <c r="CB83" s="12" t="s">
        <v>841</v>
      </c>
      <c r="CC83" s="12" t="s">
        <v>2995</v>
      </c>
      <c r="CD83" s="12" t="s">
        <v>2996</v>
      </c>
      <c r="CE83" s="12" t="s">
        <v>2997</v>
      </c>
      <c r="CF83" s="12" t="s">
        <v>2998</v>
      </c>
      <c r="CG83" s="12" t="s">
        <v>2999</v>
      </c>
      <c r="CH83" s="12" t="s">
        <v>3000</v>
      </c>
      <c r="CI83" s="12" t="s">
        <v>3001</v>
      </c>
      <c r="CJ83" s="12" t="s">
        <v>3002</v>
      </c>
      <c r="CK83" s="12" t="s">
        <v>2986</v>
      </c>
      <c r="CL83" s="12" t="s">
        <v>1028</v>
      </c>
      <c r="CM83" s="12" t="s">
        <v>888</v>
      </c>
      <c r="CN83" s="12" t="s">
        <v>841</v>
      </c>
      <c r="CO83" s="12" t="s">
        <v>847</v>
      </c>
      <c r="CP83" s="12" t="s">
        <v>889</v>
      </c>
      <c r="CQ83" s="12" t="s">
        <v>890</v>
      </c>
      <c r="CR83" s="12" t="s">
        <v>847</v>
      </c>
      <c r="CS83" s="12" t="s">
        <v>891</v>
      </c>
      <c r="CT83" s="12" t="s">
        <v>892</v>
      </c>
      <c r="CU83" s="12" t="s">
        <v>893</v>
      </c>
      <c r="CV83" s="12" t="s">
        <v>841</v>
      </c>
      <c r="CW83" s="12" t="s">
        <v>2985</v>
      </c>
      <c r="CX83" s="12" t="s">
        <v>894</v>
      </c>
      <c r="CY83" s="12" t="s">
        <v>895</v>
      </c>
      <c r="CZ83" s="12" t="s">
        <v>896</v>
      </c>
      <c r="DA83" s="12" t="s">
        <v>897</v>
      </c>
      <c r="DB83" s="12" t="s">
        <v>898</v>
      </c>
      <c r="DC83" s="12" t="s">
        <v>899</v>
      </c>
    </row>
    <row r="84">
      <c r="A84" s="12" t="s">
        <v>2022</v>
      </c>
      <c r="B84" s="12" t="s">
        <v>362</v>
      </c>
      <c r="C84" s="12" t="s">
        <v>95</v>
      </c>
      <c r="D84" s="12" t="s">
        <v>833</v>
      </c>
      <c r="E84" s="12" t="s">
        <v>834</v>
      </c>
      <c r="F84" s="12"/>
      <c r="G84" s="12" t="s">
        <v>227</v>
      </c>
      <c r="H84" s="12" t="s">
        <v>239</v>
      </c>
      <c r="I84" s="12"/>
      <c r="J84" s="43">
        <f t="shared" si="1"/>
        <v>0.01508869183</v>
      </c>
      <c r="K84" s="43">
        <f t="shared" si="2"/>
        <v>2.91060848</v>
      </c>
      <c r="L84" s="43">
        <f t="shared" si="3"/>
        <v>0.01501087495</v>
      </c>
      <c r="M84" s="43">
        <f t="shared" si="4"/>
        <v>0.7265187971</v>
      </c>
      <c r="N84" s="12" t="s">
        <v>3003</v>
      </c>
      <c r="O84" s="12" t="s">
        <v>3004</v>
      </c>
      <c r="P84" s="43">
        <f t="shared" si="5"/>
        <v>6.081269236</v>
      </c>
      <c r="Q84" s="43">
        <f t="shared" si="6"/>
        <v>4.561065236</v>
      </c>
      <c r="R84" s="12" t="s">
        <v>3005</v>
      </c>
      <c r="S84" s="12" t="s">
        <v>3006</v>
      </c>
      <c r="T84" s="43">
        <f t="shared" si="7"/>
        <v>62.02844998</v>
      </c>
      <c r="U84" s="43">
        <f t="shared" si="8"/>
        <v>0.4417875</v>
      </c>
      <c r="V84" s="12" t="s">
        <v>839</v>
      </c>
      <c r="W84" s="12" t="s">
        <v>3007</v>
      </c>
      <c r="X84" s="12" t="s">
        <v>841</v>
      </c>
      <c r="Y84" s="12" t="s">
        <v>841</v>
      </c>
      <c r="Z84" s="12" t="s">
        <v>841</v>
      </c>
      <c r="AA84" s="12" t="s">
        <v>3008</v>
      </c>
      <c r="AB84" s="12" t="s">
        <v>3009</v>
      </c>
      <c r="AC84" s="12" t="s">
        <v>3010</v>
      </c>
      <c r="AD84" s="12" t="s">
        <v>845</v>
      </c>
      <c r="AE84" s="12" t="s">
        <v>846</v>
      </c>
      <c r="AF84" s="43">
        <f t="shared" si="9"/>
        <v>16.8099732</v>
      </c>
      <c r="AG84" s="12" t="s">
        <v>847</v>
      </c>
      <c r="AH84" s="12" t="s">
        <v>3011</v>
      </c>
      <c r="AI84" s="12" t="s">
        <v>3012</v>
      </c>
      <c r="AJ84" s="12" t="s">
        <v>1981</v>
      </c>
      <c r="AK84" s="12" t="s">
        <v>3013</v>
      </c>
      <c r="AL84" s="43">
        <f t="shared" si="10"/>
        <v>36.34</v>
      </c>
      <c r="AM84" s="12" t="s">
        <v>2774</v>
      </c>
      <c r="AN84" s="12" t="s">
        <v>1159</v>
      </c>
      <c r="AO84" s="12" t="s">
        <v>1073</v>
      </c>
      <c r="AP84" s="12" t="s">
        <v>1074</v>
      </c>
      <c r="AQ84" s="12" t="s">
        <v>3014</v>
      </c>
      <c r="AR84" s="12" t="s">
        <v>3015</v>
      </c>
      <c r="AS84" s="12" t="s">
        <v>2779</v>
      </c>
      <c r="AT84" s="12" t="s">
        <v>95</v>
      </c>
      <c r="AU84" s="12" t="s">
        <v>1285</v>
      </c>
      <c r="AV84" s="12" t="s">
        <v>832</v>
      </c>
      <c r="AW84" s="12" t="s">
        <v>1543</v>
      </c>
      <c r="AX84" s="12" t="s">
        <v>868</v>
      </c>
      <c r="AY84" s="12" t="s">
        <v>868</v>
      </c>
      <c r="AZ84" s="12" t="s">
        <v>1513</v>
      </c>
      <c r="BA84" s="12" t="s">
        <v>868</v>
      </c>
      <c r="BB84" s="12" t="s">
        <v>868</v>
      </c>
      <c r="BC84" s="12" t="s">
        <v>866</v>
      </c>
      <c r="BD84" s="12" t="s">
        <v>867</v>
      </c>
      <c r="BE84" s="12" t="s">
        <v>868</v>
      </c>
      <c r="BF84" s="12" t="s">
        <v>869</v>
      </c>
      <c r="BG84" s="12" t="s">
        <v>870</v>
      </c>
      <c r="BH84" s="12" t="s">
        <v>841</v>
      </c>
      <c r="BI84" s="12" t="s">
        <v>871</v>
      </c>
      <c r="BJ84" s="12" t="s">
        <v>841</v>
      </c>
      <c r="BK84" s="12" t="s">
        <v>841</v>
      </c>
      <c r="BL84" s="12" t="s">
        <v>872</v>
      </c>
      <c r="BM84" s="12" t="s">
        <v>873</v>
      </c>
      <c r="BN84" s="12" t="s">
        <v>866</v>
      </c>
      <c r="BO84" s="12" t="s">
        <v>874</v>
      </c>
      <c r="BP84" s="12" t="s">
        <v>875</v>
      </c>
      <c r="BQ84" s="12" t="s">
        <v>876</v>
      </c>
      <c r="BR84" s="12" t="s">
        <v>869</v>
      </c>
      <c r="BS84" s="12" t="s">
        <v>869</v>
      </c>
      <c r="BT84" s="12" t="s">
        <v>877</v>
      </c>
      <c r="BU84" s="12" t="s">
        <v>877</v>
      </c>
      <c r="BV84" s="12" t="s">
        <v>877</v>
      </c>
      <c r="BW84" s="12" t="s">
        <v>841</v>
      </c>
      <c r="BX84" s="12" t="s">
        <v>878</v>
      </c>
      <c r="BY84" s="12" t="s">
        <v>841</v>
      </c>
      <c r="BZ84" s="12" t="s">
        <v>841</v>
      </c>
      <c r="CA84" s="12" t="s">
        <v>841</v>
      </c>
      <c r="CB84" s="12" t="s">
        <v>841</v>
      </c>
      <c r="CC84" s="12" t="s">
        <v>3016</v>
      </c>
      <c r="CD84" s="12" t="s">
        <v>3017</v>
      </c>
      <c r="CE84" s="12" t="s">
        <v>3018</v>
      </c>
      <c r="CF84" s="12" t="s">
        <v>3019</v>
      </c>
      <c r="CG84" s="12" t="s">
        <v>3020</v>
      </c>
      <c r="CH84" s="12" t="s">
        <v>3021</v>
      </c>
      <c r="CI84" s="12" t="s">
        <v>3022</v>
      </c>
      <c r="CJ84" s="12" t="s">
        <v>3023</v>
      </c>
      <c r="CK84" s="12" t="s">
        <v>3024</v>
      </c>
      <c r="CL84" s="12" t="s">
        <v>1176</v>
      </c>
      <c r="CM84" s="12" t="s">
        <v>888</v>
      </c>
      <c r="CN84" s="12" t="s">
        <v>841</v>
      </c>
      <c r="CO84" s="12" t="s">
        <v>847</v>
      </c>
      <c r="CP84" s="12" t="s">
        <v>889</v>
      </c>
      <c r="CQ84" s="12" t="s">
        <v>890</v>
      </c>
      <c r="CR84" s="12" t="s">
        <v>847</v>
      </c>
      <c r="CS84" s="12" t="s">
        <v>891</v>
      </c>
      <c r="CT84" s="12" t="s">
        <v>892</v>
      </c>
      <c r="CU84" s="12" t="s">
        <v>893</v>
      </c>
      <c r="CV84" s="12" t="s">
        <v>841</v>
      </c>
      <c r="CW84" s="12" t="s">
        <v>3007</v>
      </c>
      <c r="CX84" s="12" t="s">
        <v>894</v>
      </c>
      <c r="CY84" s="12" t="s">
        <v>895</v>
      </c>
      <c r="CZ84" s="12" t="s">
        <v>896</v>
      </c>
      <c r="DA84" s="12" t="s">
        <v>897</v>
      </c>
      <c r="DB84" s="12" t="s">
        <v>898</v>
      </c>
      <c r="DC84" s="12" t="s">
        <v>899</v>
      </c>
    </row>
    <row r="85">
      <c r="A85" s="12" t="s">
        <v>832</v>
      </c>
      <c r="B85" s="12" t="s">
        <v>368</v>
      </c>
      <c r="C85" s="12" t="s">
        <v>366</v>
      </c>
      <c r="D85" s="12" t="s">
        <v>833</v>
      </c>
      <c r="E85" s="12" t="s">
        <v>834</v>
      </c>
      <c r="F85" s="12"/>
      <c r="G85" s="12" t="s">
        <v>338</v>
      </c>
      <c r="H85" s="12" t="s">
        <v>367</v>
      </c>
      <c r="I85" s="12"/>
      <c r="J85" s="43">
        <f t="shared" si="1"/>
        <v>-0.1350388618</v>
      </c>
      <c r="K85" s="43">
        <f t="shared" si="2"/>
        <v>2.90743008</v>
      </c>
      <c r="L85" s="43">
        <f t="shared" si="3"/>
        <v>-0.1416163946</v>
      </c>
      <c r="M85" s="43">
        <f t="shared" si="4"/>
        <v>-3.1016672</v>
      </c>
      <c r="N85" s="12" t="s">
        <v>3025</v>
      </c>
      <c r="O85" s="12" t="s">
        <v>3026</v>
      </c>
      <c r="P85" s="43">
        <f t="shared" si="5"/>
        <v>3.051202067</v>
      </c>
      <c r="Q85" s="43">
        <f t="shared" si="6"/>
        <v>2.113220067</v>
      </c>
      <c r="R85" s="12" t="s">
        <v>3027</v>
      </c>
      <c r="S85" s="12" t="s">
        <v>3028</v>
      </c>
      <c r="T85" s="43">
        <f t="shared" si="7"/>
        <v>30.98296168</v>
      </c>
      <c r="U85" s="43">
        <f t="shared" si="8"/>
        <v>0.4417875</v>
      </c>
      <c r="V85" s="12" t="s">
        <v>839</v>
      </c>
      <c r="W85" s="12" t="s">
        <v>3029</v>
      </c>
      <c r="X85" s="12" t="s">
        <v>841</v>
      </c>
      <c r="Y85" s="12" t="s">
        <v>841</v>
      </c>
      <c r="Z85" s="12" t="s">
        <v>841</v>
      </c>
      <c r="AA85" s="12" t="s">
        <v>3030</v>
      </c>
      <c r="AB85" s="12" t="s">
        <v>3031</v>
      </c>
      <c r="AC85" s="12" t="s">
        <v>3032</v>
      </c>
      <c r="AD85" s="12" t="s">
        <v>845</v>
      </c>
      <c r="AE85" s="12" t="s">
        <v>846</v>
      </c>
      <c r="AF85" s="43">
        <f t="shared" si="9"/>
        <v>14.7767424</v>
      </c>
      <c r="AG85" s="12" t="s">
        <v>847</v>
      </c>
      <c r="AH85" s="12" t="s">
        <v>3033</v>
      </c>
      <c r="AI85" s="12" t="s">
        <v>3034</v>
      </c>
      <c r="AJ85" s="12" t="s">
        <v>3035</v>
      </c>
      <c r="AK85" s="12" t="s">
        <v>1276</v>
      </c>
      <c r="AL85" s="43">
        <f t="shared" si="10"/>
        <v>24.31</v>
      </c>
      <c r="AM85" s="12" t="s">
        <v>3036</v>
      </c>
      <c r="AN85" s="12" t="s">
        <v>1009</v>
      </c>
      <c r="AO85" s="12" t="s">
        <v>3037</v>
      </c>
      <c r="AP85" s="12" t="s">
        <v>3038</v>
      </c>
      <c r="AQ85" s="12" t="s">
        <v>1569</v>
      </c>
      <c r="AR85" s="12" t="s">
        <v>2874</v>
      </c>
      <c r="AS85" s="12" t="s">
        <v>3039</v>
      </c>
      <c r="AT85" s="12" t="s">
        <v>366</v>
      </c>
      <c r="AU85" s="12" t="s">
        <v>3040</v>
      </c>
      <c r="AV85" s="12" t="s">
        <v>832</v>
      </c>
      <c r="AW85" s="12" t="s">
        <v>1081</v>
      </c>
      <c r="AX85" s="12" t="s">
        <v>3041</v>
      </c>
      <c r="AY85" s="12" t="s">
        <v>1019</v>
      </c>
      <c r="AZ85" s="12" t="s">
        <v>3042</v>
      </c>
      <c r="BA85" s="12" t="s">
        <v>3043</v>
      </c>
      <c r="BB85" s="12" t="s">
        <v>3044</v>
      </c>
      <c r="BC85" s="12" t="s">
        <v>866</v>
      </c>
      <c r="BD85" s="12" t="s">
        <v>867</v>
      </c>
      <c r="BE85" s="12" t="s">
        <v>868</v>
      </c>
      <c r="BF85" s="12" t="s">
        <v>869</v>
      </c>
      <c r="BG85" s="12" t="s">
        <v>870</v>
      </c>
      <c r="BH85" s="12" t="s">
        <v>841</v>
      </c>
      <c r="BI85" s="12" t="s">
        <v>871</v>
      </c>
      <c r="BJ85" s="12" t="s">
        <v>841</v>
      </c>
      <c r="BK85" s="12" t="s">
        <v>841</v>
      </c>
      <c r="BL85" s="12" t="s">
        <v>872</v>
      </c>
      <c r="BM85" s="12" t="s">
        <v>873</v>
      </c>
      <c r="BN85" s="12" t="s">
        <v>866</v>
      </c>
      <c r="BO85" s="12" t="s">
        <v>874</v>
      </c>
      <c r="BP85" s="12" t="s">
        <v>875</v>
      </c>
      <c r="BQ85" s="12" t="s">
        <v>876</v>
      </c>
      <c r="BR85" s="12" t="s">
        <v>869</v>
      </c>
      <c r="BS85" s="12" t="s">
        <v>869</v>
      </c>
      <c r="BT85" s="12" t="s">
        <v>877</v>
      </c>
      <c r="BU85" s="12" t="s">
        <v>877</v>
      </c>
      <c r="BV85" s="12" t="s">
        <v>877</v>
      </c>
      <c r="BW85" s="12" t="s">
        <v>841</v>
      </c>
      <c r="BX85" s="12" t="s">
        <v>878</v>
      </c>
      <c r="BY85" s="12" t="s">
        <v>841</v>
      </c>
      <c r="BZ85" s="12" t="s">
        <v>841</v>
      </c>
      <c r="CA85" s="12" t="s">
        <v>841</v>
      </c>
      <c r="CB85" s="12" t="s">
        <v>841</v>
      </c>
      <c r="CC85" s="12" t="s">
        <v>3045</v>
      </c>
      <c r="CD85" s="12" t="s">
        <v>3046</v>
      </c>
      <c r="CE85" s="12" t="s">
        <v>3047</v>
      </c>
      <c r="CF85" s="12" t="s">
        <v>3048</v>
      </c>
      <c r="CG85" s="12" t="s">
        <v>3049</v>
      </c>
      <c r="CH85" s="12" t="s">
        <v>3050</v>
      </c>
      <c r="CI85" s="12" t="s">
        <v>3051</v>
      </c>
      <c r="CJ85" s="12" t="s">
        <v>3052</v>
      </c>
      <c r="CK85" s="12" t="s">
        <v>3030</v>
      </c>
      <c r="CL85" s="12" t="s">
        <v>3053</v>
      </c>
      <c r="CM85" s="12" t="s">
        <v>888</v>
      </c>
      <c r="CN85" s="12" t="s">
        <v>841</v>
      </c>
      <c r="CO85" s="12" t="s">
        <v>847</v>
      </c>
      <c r="CP85" s="12" t="s">
        <v>889</v>
      </c>
      <c r="CQ85" s="12" t="s">
        <v>890</v>
      </c>
      <c r="CR85" s="12" t="s">
        <v>847</v>
      </c>
      <c r="CS85" s="12" t="s">
        <v>891</v>
      </c>
      <c r="CT85" s="12" t="s">
        <v>892</v>
      </c>
      <c r="CU85" s="12" t="s">
        <v>893</v>
      </c>
      <c r="CV85" s="12" t="s">
        <v>841</v>
      </c>
      <c r="CW85" s="12" t="s">
        <v>3029</v>
      </c>
      <c r="CX85" s="12" t="s">
        <v>894</v>
      </c>
      <c r="CY85" s="12" t="s">
        <v>895</v>
      </c>
      <c r="CZ85" s="12" t="s">
        <v>896</v>
      </c>
      <c r="DA85" s="12" t="s">
        <v>897</v>
      </c>
      <c r="DB85" s="12" t="s">
        <v>898</v>
      </c>
      <c r="DC85" s="12" t="s">
        <v>899</v>
      </c>
    </row>
    <row r="86">
      <c r="A86" s="12" t="s">
        <v>900</v>
      </c>
      <c r="B86" s="12" t="s">
        <v>371</v>
      </c>
      <c r="C86" s="12" t="s">
        <v>366</v>
      </c>
      <c r="D86" s="12" t="s">
        <v>833</v>
      </c>
      <c r="E86" s="12" t="s">
        <v>834</v>
      </c>
      <c r="F86" s="12"/>
      <c r="G86" s="12" t="s">
        <v>338</v>
      </c>
      <c r="H86" s="12" t="s">
        <v>367</v>
      </c>
      <c r="I86" s="12"/>
      <c r="J86" s="43">
        <f t="shared" si="1"/>
        <v>-0.236245028</v>
      </c>
      <c r="K86" s="43">
        <f t="shared" si="2"/>
        <v>2.90822672</v>
      </c>
      <c r="L86" s="43">
        <f t="shared" si="3"/>
        <v>-0.2571327884</v>
      </c>
      <c r="M86" s="43">
        <f t="shared" si="4"/>
        <v>-5.703943859</v>
      </c>
      <c r="N86" s="12" t="s">
        <v>3054</v>
      </c>
      <c r="O86" s="12" t="s">
        <v>3055</v>
      </c>
      <c r="P86" s="43">
        <f t="shared" si="5"/>
        <v>2.993175873</v>
      </c>
      <c r="Q86" s="43">
        <f t="shared" si="6"/>
        <v>2.141702873</v>
      </c>
      <c r="R86" s="12" t="s">
        <v>3056</v>
      </c>
      <c r="S86" s="12" t="s">
        <v>3057</v>
      </c>
      <c r="T86" s="43">
        <f t="shared" si="7"/>
        <v>30.39683023</v>
      </c>
      <c r="U86" s="43">
        <f t="shared" si="8"/>
        <v>0.4417875</v>
      </c>
      <c r="V86" s="12" t="s">
        <v>839</v>
      </c>
      <c r="W86" s="12" t="s">
        <v>3058</v>
      </c>
      <c r="X86" s="12" t="s">
        <v>841</v>
      </c>
      <c r="Y86" s="12" t="s">
        <v>841</v>
      </c>
      <c r="Z86" s="12" t="s">
        <v>841</v>
      </c>
      <c r="AA86" s="12" t="s">
        <v>3059</v>
      </c>
      <c r="AB86" s="12" t="s">
        <v>3060</v>
      </c>
      <c r="AC86" s="12" t="s">
        <v>3061</v>
      </c>
      <c r="AD86" s="12" t="s">
        <v>845</v>
      </c>
      <c r="AE86" s="12" t="s">
        <v>846</v>
      </c>
      <c r="AF86" s="43">
        <f t="shared" si="9"/>
        <v>17.7610408</v>
      </c>
      <c r="AG86" s="12" t="s">
        <v>847</v>
      </c>
      <c r="AH86" s="12" t="s">
        <v>3062</v>
      </c>
      <c r="AI86" s="12" t="s">
        <v>3063</v>
      </c>
      <c r="AJ86" s="12" t="s">
        <v>3064</v>
      </c>
      <c r="AK86" s="12" t="s">
        <v>1855</v>
      </c>
      <c r="AL86" s="43">
        <f t="shared" si="10"/>
        <v>23.99</v>
      </c>
      <c r="AM86" s="12" t="s">
        <v>3065</v>
      </c>
      <c r="AN86" s="12" t="s">
        <v>853</v>
      </c>
      <c r="AO86" s="12" t="s">
        <v>3066</v>
      </c>
      <c r="AP86" s="12" t="s">
        <v>3067</v>
      </c>
      <c r="AQ86" s="12" t="s">
        <v>3068</v>
      </c>
      <c r="AR86" s="12" t="s">
        <v>3069</v>
      </c>
      <c r="AS86" s="12" t="s">
        <v>3039</v>
      </c>
      <c r="AT86" s="12" t="s">
        <v>366</v>
      </c>
      <c r="AU86" s="12" t="s">
        <v>3040</v>
      </c>
      <c r="AV86" s="12" t="s">
        <v>832</v>
      </c>
      <c r="AW86" s="12" t="s">
        <v>1542</v>
      </c>
      <c r="AX86" s="12" t="s">
        <v>1542</v>
      </c>
      <c r="AY86" s="12" t="s">
        <v>1342</v>
      </c>
      <c r="AZ86" s="12" t="s">
        <v>3070</v>
      </c>
      <c r="BA86" s="12" t="s">
        <v>3071</v>
      </c>
      <c r="BB86" s="12" t="s">
        <v>3072</v>
      </c>
      <c r="BC86" s="12" t="s">
        <v>866</v>
      </c>
      <c r="BD86" s="12" t="s">
        <v>867</v>
      </c>
      <c r="BE86" s="12" t="s">
        <v>868</v>
      </c>
      <c r="BF86" s="12" t="s">
        <v>869</v>
      </c>
      <c r="BG86" s="12" t="s">
        <v>870</v>
      </c>
      <c r="BH86" s="12" t="s">
        <v>841</v>
      </c>
      <c r="BI86" s="12" t="s">
        <v>871</v>
      </c>
      <c r="BJ86" s="12" t="s">
        <v>841</v>
      </c>
      <c r="BK86" s="12" t="s">
        <v>841</v>
      </c>
      <c r="BL86" s="12" t="s">
        <v>872</v>
      </c>
      <c r="BM86" s="12" t="s">
        <v>873</v>
      </c>
      <c r="BN86" s="12" t="s">
        <v>866</v>
      </c>
      <c r="BO86" s="12" t="s">
        <v>874</v>
      </c>
      <c r="BP86" s="12" t="s">
        <v>875</v>
      </c>
      <c r="BQ86" s="12" t="s">
        <v>876</v>
      </c>
      <c r="BR86" s="12" t="s">
        <v>869</v>
      </c>
      <c r="BS86" s="12" t="s">
        <v>869</v>
      </c>
      <c r="BT86" s="12" t="s">
        <v>877</v>
      </c>
      <c r="BU86" s="12" t="s">
        <v>877</v>
      </c>
      <c r="BV86" s="12" t="s">
        <v>877</v>
      </c>
      <c r="BW86" s="12" t="s">
        <v>841</v>
      </c>
      <c r="BX86" s="12" t="s">
        <v>878</v>
      </c>
      <c r="BY86" s="12" t="s">
        <v>841</v>
      </c>
      <c r="BZ86" s="12" t="s">
        <v>841</v>
      </c>
      <c r="CA86" s="12" t="s">
        <v>841</v>
      </c>
      <c r="CB86" s="12" t="s">
        <v>841</v>
      </c>
      <c r="CC86" s="12" t="s">
        <v>3073</v>
      </c>
      <c r="CD86" s="12" t="s">
        <v>3074</v>
      </c>
      <c r="CE86" s="12" t="s">
        <v>3075</v>
      </c>
      <c r="CF86" s="12" t="s">
        <v>3076</v>
      </c>
      <c r="CG86" s="12" t="s">
        <v>3077</v>
      </c>
      <c r="CH86" s="12" t="s">
        <v>3078</v>
      </c>
      <c r="CI86" s="12" t="s">
        <v>3079</v>
      </c>
      <c r="CJ86" s="12" t="s">
        <v>3080</v>
      </c>
      <c r="CK86" s="12" t="s">
        <v>3059</v>
      </c>
      <c r="CL86" s="12" t="s">
        <v>2343</v>
      </c>
      <c r="CM86" s="12" t="s">
        <v>888</v>
      </c>
      <c r="CN86" s="12" t="s">
        <v>841</v>
      </c>
      <c r="CO86" s="12" t="s">
        <v>847</v>
      </c>
      <c r="CP86" s="12" t="s">
        <v>889</v>
      </c>
      <c r="CQ86" s="12" t="s">
        <v>890</v>
      </c>
      <c r="CR86" s="12" t="s">
        <v>847</v>
      </c>
      <c r="CS86" s="12" t="s">
        <v>891</v>
      </c>
      <c r="CT86" s="12" t="s">
        <v>892</v>
      </c>
      <c r="CU86" s="12" t="s">
        <v>893</v>
      </c>
      <c r="CV86" s="12" t="s">
        <v>841</v>
      </c>
      <c r="CW86" s="12" t="s">
        <v>3058</v>
      </c>
      <c r="CX86" s="12" t="s">
        <v>894</v>
      </c>
      <c r="CY86" s="12" t="s">
        <v>895</v>
      </c>
      <c r="CZ86" s="12" t="s">
        <v>896</v>
      </c>
      <c r="DA86" s="12" t="s">
        <v>897</v>
      </c>
      <c r="DB86" s="12" t="s">
        <v>898</v>
      </c>
      <c r="DC86" s="12" t="s">
        <v>899</v>
      </c>
    </row>
    <row r="87">
      <c r="A87" s="12" t="s">
        <v>934</v>
      </c>
      <c r="B87" s="12" t="s">
        <v>373</v>
      </c>
      <c r="C87" s="12" t="s">
        <v>366</v>
      </c>
      <c r="D87" s="12" t="s">
        <v>833</v>
      </c>
      <c r="E87" s="12" t="s">
        <v>834</v>
      </c>
      <c r="F87" s="12"/>
      <c r="G87" s="12" t="s">
        <v>338</v>
      </c>
      <c r="H87" s="12" t="s">
        <v>367</v>
      </c>
      <c r="I87" s="12"/>
      <c r="J87" s="43">
        <f t="shared" si="1"/>
        <v>-0.2326036527</v>
      </c>
      <c r="K87" s="43">
        <f t="shared" si="2"/>
        <v>2.909022</v>
      </c>
      <c r="L87" s="43">
        <f t="shared" si="3"/>
        <v>-0.2528189002</v>
      </c>
      <c r="M87" s="43">
        <f t="shared" si="4"/>
        <v>-6.000887628</v>
      </c>
      <c r="N87" s="12" t="s">
        <v>3081</v>
      </c>
      <c r="O87" s="12" t="s">
        <v>3082</v>
      </c>
      <c r="P87" s="43">
        <f t="shared" si="5"/>
        <v>3.104635289</v>
      </c>
      <c r="Q87" s="43">
        <f t="shared" si="6"/>
        <v>2.291015289</v>
      </c>
      <c r="R87" s="12" t="s">
        <v>3083</v>
      </c>
      <c r="S87" s="12" t="s">
        <v>3084</v>
      </c>
      <c r="T87" s="43">
        <f t="shared" si="7"/>
        <v>31.52554112</v>
      </c>
      <c r="U87" s="43">
        <f t="shared" si="8"/>
        <v>0.4417875</v>
      </c>
      <c r="V87" s="12" t="s">
        <v>839</v>
      </c>
      <c r="W87" s="12" t="s">
        <v>3085</v>
      </c>
      <c r="X87" s="12" t="s">
        <v>841</v>
      </c>
      <c r="Y87" s="12" t="s">
        <v>841</v>
      </c>
      <c r="Z87" s="12" t="s">
        <v>841</v>
      </c>
      <c r="AA87" s="12" t="s">
        <v>3086</v>
      </c>
      <c r="AB87" s="12" t="s">
        <v>3087</v>
      </c>
      <c r="AC87" s="12" t="s">
        <v>3088</v>
      </c>
      <c r="AD87" s="12" t="s">
        <v>845</v>
      </c>
      <c r="AE87" s="12" t="s">
        <v>846</v>
      </c>
      <c r="AF87" s="43">
        <f t="shared" si="9"/>
        <v>12.9125192</v>
      </c>
      <c r="AG87" s="12" t="s">
        <v>847</v>
      </c>
      <c r="AH87" s="12" t="s">
        <v>3089</v>
      </c>
      <c r="AI87" s="12" t="s">
        <v>3090</v>
      </c>
      <c r="AJ87" s="12" t="s">
        <v>3091</v>
      </c>
      <c r="AK87" s="12" t="s">
        <v>3092</v>
      </c>
      <c r="AL87" s="43">
        <f t="shared" si="10"/>
        <v>24.6</v>
      </c>
      <c r="AM87" s="12" t="s">
        <v>3036</v>
      </c>
      <c r="AN87" s="12" t="s">
        <v>1072</v>
      </c>
      <c r="AO87" s="12" t="s">
        <v>3093</v>
      </c>
      <c r="AP87" s="12" t="s">
        <v>3094</v>
      </c>
      <c r="AQ87" s="12" t="s">
        <v>3095</v>
      </c>
      <c r="AR87" s="12" t="s">
        <v>3096</v>
      </c>
      <c r="AS87" s="12" t="s">
        <v>3039</v>
      </c>
      <c r="AT87" s="12" t="s">
        <v>366</v>
      </c>
      <c r="AU87" s="12" t="s">
        <v>3040</v>
      </c>
      <c r="AV87" s="12" t="s">
        <v>832</v>
      </c>
      <c r="AW87" s="12" t="s">
        <v>1543</v>
      </c>
      <c r="AX87" s="12" t="s">
        <v>1226</v>
      </c>
      <c r="AY87" s="12" t="s">
        <v>868</v>
      </c>
      <c r="AZ87" s="12" t="s">
        <v>3097</v>
      </c>
      <c r="BA87" s="12" t="s">
        <v>3098</v>
      </c>
      <c r="BB87" s="12" t="s">
        <v>868</v>
      </c>
      <c r="BC87" s="12" t="s">
        <v>866</v>
      </c>
      <c r="BD87" s="12" t="s">
        <v>867</v>
      </c>
      <c r="BE87" s="12" t="s">
        <v>868</v>
      </c>
      <c r="BF87" s="12" t="s">
        <v>869</v>
      </c>
      <c r="BG87" s="12" t="s">
        <v>870</v>
      </c>
      <c r="BH87" s="12" t="s">
        <v>841</v>
      </c>
      <c r="BI87" s="12" t="s">
        <v>871</v>
      </c>
      <c r="BJ87" s="12" t="s">
        <v>841</v>
      </c>
      <c r="BK87" s="12" t="s">
        <v>841</v>
      </c>
      <c r="BL87" s="12" t="s">
        <v>872</v>
      </c>
      <c r="BM87" s="12" t="s">
        <v>873</v>
      </c>
      <c r="BN87" s="12" t="s">
        <v>866</v>
      </c>
      <c r="BO87" s="12" t="s">
        <v>874</v>
      </c>
      <c r="BP87" s="12" t="s">
        <v>875</v>
      </c>
      <c r="BQ87" s="12" t="s">
        <v>876</v>
      </c>
      <c r="BR87" s="12" t="s">
        <v>869</v>
      </c>
      <c r="BS87" s="12" t="s">
        <v>869</v>
      </c>
      <c r="BT87" s="12" t="s">
        <v>877</v>
      </c>
      <c r="BU87" s="12" t="s">
        <v>877</v>
      </c>
      <c r="BV87" s="12" t="s">
        <v>877</v>
      </c>
      <c r="BW87" s="12" t="s">
        <v>841</v>
      </c>
      <c r="BX87" s="12" t="s">
        <v>878</v>
      </c>
      <c r="BY87" s="12" t="s">
        <v>841</v>
      </c>
      <c r="BZ87" s="12" t="s">
        <v>841</v>
      </c>
      <c r="CA87" s="12" t="s">
        <v>841</v>
      </c>
      <c r="CB87" s="12" t="s">
        <v>841</v>
      </c>
      <c r="CC87" s="12" t="s">
        <v>3099</v>
      </c>
      <c r="CD87" s="12" t="s">
        <v>3100</v>
      </c>
      <c r="CE87" s="12" t="s">
        <v>3101</v>
      </c>
      <c r="CF87" s="12" t="s">
        <v>3102</v>
      </c>
      <c r="CG87" s="12" t="s">
        <v>3103</v>
      </c>
      <c r="CH87" s="12" t="s">
        <v>3104</v>
      </c>
      <c r="CI87" s="12" t="s">
        <v>3105</v>
      </c>
      <c r="CJ87" s="12" t="s">
        <v>3106</v>
      </c>
      <c r="CK87" s="12" t="s">
        <v>3107</v>
      </c>
      <c r="CL87" s="12" t="s">
        <v>3108</v>
      </c>
      <c r="CM87" s="12" t="s">
        <v>888</v>
      </c>
      <c r="CN87" s="12" t="s">
        <v>841</v>
      </c>
      <c r="CO87" s="12" t="s">
        <v>847</v>
      </c>
      <c r="CP87" s="12" t="s">
        <v>889</v>
      </c>
      <c r="CQ87" s="12" t="s">
        <v>890</v>
      </c>
      <c r="CR87" s="12" t="s">
        <v>847</v>
      </c>
      <c r="CS87" s="12" t="s">
        <v>891</v>
      </c>
      <c r="CT87" s="12" t="s">
        <v>892</v>
      </c>
      <c r="CU87" s="12" t="s">
        <v>893</v>
      </c>
      <c r="CV87" s="12" t="s">
        <v>841</v>
      </c>
      <c r="CW87" s="12" t="s">
        <v>3085</v>
      </c>
      <c r="CX87" s="12" t="s">
        <v>894</v>
      </c>
      <c r="CY87" s="12" t="s">
        <v>895</v>
      </c>
      <c r="CZ87" s="12" t="s">
        <v>896</v>
      </c>
      <c r="DA87" s="12" t="s">
        <v>897</v>
      </c>
      <c r="DB87" s="12" t="s">
        <v>898</v>
      </c>
      <c r="DC87" s="12" t="s">
        <v>899</v>
      </c>
    </row>
    <row r="88">
      <c r="A88" s="12" t="s">
        <v>832</v>
      </c>
      <c r="B88" s="12" t="s">
        <v>375</v>
      </c>
      <c r="C88" s="12" t="s">
        <v>366</v>
      </c>
      <c r="D88" s="12" t="s">
        <v>833</v>
      </c>
      <c r="E88" s="12" t="s">
        <v>834</v>
      </c>
      <c r="F88" s="12"/>
      <c r="G88" s="12" t="s">
        <v>338</v>
      </c>
      <c r="H88" s="12" t="s">
        <v>374</v>
      </c>
      <c r="I88" s="12"/>
      <c r="J88" s="43">
        <f t="shared" si="1"/>
        <v>-0.1613254673</v>
      </c>
      <c r="K88" s="43">
        <f t="shared" si="2"/>
        <v>2.909022</v>
      </c>
      <c r="L88" s="43">
        <f t="shared" si="3"/>
        <v>-0.1707973671</v>
      </c>
      <c r="M88" s="43">
        <f t="shared" si="4"/>
        <v>-3.988441025</v>
      </c>
      <c r="N88" s="12" t="s">
        <v>3109</v>
      </c>
      <c r="O88" s="12" t="s">
        <v>3110</v>
      </c>
      <c r="P88" s="43">
        <f t="shared" si="5"/>
        <v>3.189168419</v>
      </c>
      <c r="Q88" s="43">
        <f t="shared" si="6"/>
        <v>2.251729419</v>
      </c>
      <c r="R88" s="12" t="s">
        <v>3111</v>
      </c>
      <c r="S88" s="12" t="s">
        <v>3112</v>
      </c>
      <c r="T88" s="43">
        <f t="shared" si="7"/>
        <v>32.38063173</v>
      </c>
      <c r="U88" s="43">
        <f t="shared" si="8"/>
        <v>0.4417875</v>
      </c>
      <c r="V88" s="12" t="s">
        <v>839</v>
      </c>
      <c r="W88" s="12" t="s">
        <v>3113</v>
      </c>
      <c r="X88" s="12" t="s">
        <v>841</v>
      </c>
      <c r="Y88" s="12" t="s">
        <v>841</v>
      </c>
      <c r="Z88" s="12" t="s">
        <v>841</v>
      </c>
      <c r="AA88" s="12" t="s">
        <v>3114</v>
      </c>
      <c r="AB88" s="12" t="s">
        <v>3115</v>
      </c>
      <c r="AC88" s="12" t="s">
        <v>3116</v>
      </c>
      <c r="AD88" s="12" t="s">
        <v>845</v>
      </c>
      <c r="AE88" s="12" t="s">
        <v>846</v>
      </c>
      <c r="AF88" s="43">
        <f t="shared" si="9"/>
        <v>14.9708464</v>
      </c>
      <c r="AG88" s="12" t="s">
        <v>847</v>
      </c>
      <c r="AH88" s="12" t="s">
        <v>3117</v>
      </c>
      <c r="AI88" s="12" t="s">
        <v>3118</v>
      </c>
      <c r="AJ88" s="12" t="s">
        <v>3119</v>
      </c>
      <c r="AK88" s="12" t="s">
        <v>3120</v>
      </c>
      <c r="AL88" s="43">
        <f t="shared" si="10"/>
        <v>25.05</v>
      </c>
      <c r="AM88" s="12" t="s">
        <v>3121</v>
      </c>
      <c r="AN88" s="12" t="s">
        <v>1072</v>
      </c>
      <c r="AO88" s="12" t="s">
        <v>3122</v>
      </c>
      <c r="AP88" s="12" t="s">
        <v>1931</v>
      </c>
      <c r="AQ88" s="12" t="s">
        <v>1370</v>
      </c>
      <c r="AR88" s="12" t="s">
        <v>3069</v>
      </c>
      <c r="AS88" s="12" t="s">
        <v>3123</v>
      </c>
      <c r="AT88" s="12" t="s">
        <v>366</v>
      </c>
      <c r="AU88" s="12" t="s">
        <v>3124</v>
      </c>
      <c r="AV88" s="12" t="s">
        <v>832</v>
      </c>
      <c r="AW88" s="12" t="s">
        <v>2489</v>
      </c>
      <c r="AX88" s="12" t="s">
        <v>862</v>
      </c>
      <c r="AY88" s="12" t="s">
        <v>1457</v>
      </c>
      <c r="AZ88" s="12" t="s">
        <v>3125</v>
      </c>
      <c r="BA88" s="12" t="s">
        <v>3126</v>
      </c>
      <c r="BB88" s="12" t="s">
        <v>3127</v>
      </c>
      <c r="BC88" s="12" t="s">
        <v>866</v>
      </c>
      <c r="BD88" s="12" t="s">
        <v>867</v>
      </c>
      <c r="BE88" s="12" t="s">
        <v>868</v>
      </c>
      <c r="BF88" s="12" t="s">
        <v>869</v>
      </c>
      <c r="BG88" s="12" t="s">
        <v>870</v>
      </c>
      <c r="BH88" s="12" t="s">
        <v>841</v>
      </c>
      <c r="BI88" s="12" t="s">
        <v>871</v>
      </c>
      <c r="BJ88" s="12" t="s">
        <v>841</v>
      </c>
      <c r="BK88" s="12" t="s">
        <v>841</v>
      </c>
      <c r="BL88" s="12" t="s">
        <v>872</v>
      </c>
      <c r="BM88" s="12" t="s">
        <v>873</v>
      </c>
      <c r="BN88" s="12" t="s">
        <v>866</v>
      </c>
      <c r="BO88" s="12" t="s">
        <v>874</v>
      </c>
      <c r="BP88" s="12" t="s">
        <v>875</v>
      </c>
      <c r="BQ88" s="12" t="s">
        <v>876</v>
      </c>
      <c r="BR88" s="12" t="s">
        <v>869</v>
      </c>
      <c r="BS88" s="12" t="s">
        <v>869</v>
      </c>
      <c r="BT88" s="12" t="s">
        <v>877</v>
      </c>
      <c r="BU88" s="12" t="s">
        <v>877</v>
      </c>
      <c r="BV88" s="12" t="s">
        <v>877</v>
      </c>
      <c r="BW88" s="12" t="s">
        <v>841</v>
      </c>
      <c r="BX88" s="12" t="s">
        <v>878</v>
      </c>
      <c r="BY88" s="12" t="s">
        <v>841</v>
      </c>
      <c r="BZ88" s="12" t="s">
        <v>841</v>
      </c>
      <c r="CA88" s="12" t="s">
        <v>841</v>
      </c>
      <c r="CB88" s="12" t="s">
        <v>841</v>
      </c>
      <c r="CC88" s="12" t="s">
        <v>3128</v>
      </c>
      <c r="CD88" s="12" t="s">
        <v>3129</v>
      </c>
      <c r="CE88" s="12" t="s">
        <v>3130</v>
      </c>
      <c r="CF88" s="12" t="s">
        <v>3131</v>
      </c>
      <c r="CG88" s="12" t="s">
        <v>3132</v>
      </c>
      <c r="CH88" s="12" t="s">
        <v>3133</v>
      </c>
      <c r="CI88" s="12" t="s">
        <v>3134</v>
      </c>
      <c r="CJ88" s="12" t="s">
        <v>3135</v>
      </c>
      <c r="CK88" s="12" t="s">
        <v>3114</v>
      </c>
      <c r="CL88" s="12" t="s">
        <v>3136</v>
      </c>
      <c r="CM88" s="12" t="s">
        <v>888</v>
      </c>
      <c r="CN88" s="12" t="s">
        <v>841</v>
      </c>
      <c r="CO88" s="12" t="s">
        <v>847</v>
      </c>
      <c r="CP88" s="12" t="s">
        <v>889</v>
      </c>
      <c r="CQ88" s="12" t="s">
        <v>890</v>
      </c>
      <c r="CR88" s="12" t="s">
        <v>847</v>
      </c>
      <c r="CS88" s="12" t="s">
        <v>891</v>
      </c>
      <c r="CT88" s="12" t="s">
        <v>892</v>
      </c>
      <c r="CU88" s="12" t="s">
        <v>893</v>
      </c>
      <c r="CV88" s="12" t="s">
        <v>841</v>
      </c>
      <c r="CW88" s="12" t="s">
        <v>3113</v>
      </c>
      <c r="CX88" s="12" t="s">
        <v>894</v>
      </c>
      <c r="CY88" s="12" t="s">
        <v>895</v>
      </c>
      <c r="CZ88" s="12" t="s">
        <v>896</v>
      </c>
      <c r="DA88" s="12" t="s">
        <v>897</v>
      </c>
      <c r="DB88" s="12" t="s">
        <v>898</v>
      </c>
      <c r="DC88" s="12" t="s">
        <v>899</v>
      </c>
    </row>
    <row r="89">
      <c r="A89" s="12" t="s">
        <v>900</v>
      </c>
      <c r="B89" s="12" t="s">
        <v>377</v>
      </c>
      <c r="C89" s="12" t="s">
        <v>366</v>
      </c>
      <c r="D89" s="12" t="s">
        <v>833</v>
      </c>
      <c r="E89" s="12" t="s">
        <v>834</v>
      </c>
      <c r="F89" s="12"/>
      <c r="G89" s="12" t="s">
        <v>338</v>
      </c>
      <c r="H89" s="12" t="s">
        <v>374</v>
      </c>
      <c r="I89" s="12"/>
      <c r="J89" s="43">
        <f t="shared" si="1"/>
        <v>-0.08086944919</v>
      </c>
      <c r="K89" s="43">
        <f t="shared" si="2"/>
        <v>2.90981592</v>
      </c>
      <c r="L89" s="43">
        <f t="shared" si="3"/>
        <v>-0.08318121715</v>
      </c>
      <c r="M89" s="43">
        <f t="shared" si="4"/>
        <v>-1.932282354</v>
      </c>
      <c r="N89" s="12" t="s">
        <v>3137</v>
      </c>
      <c r="O89" s="12" t="s">
        <v>3138</v>
      </c>
      <c r="P89" s="43">
        <f t="shared" si="5"/>
        <v>3.206314307</v>
      </c>
      <c r="Q89" s="43">
        <f t="shared" si="6"/>
        <v>2.238961307</v>
      </c>
      <c r="R89" s="12" t="s">
        <v>3139</v>
      </c>
      <c r="S89" s="12" t="s">
        <v>3140</v>
      </c>
      <c r="T89" s="43">
        <f t="shared" si="7"/>
        <v>32.56133144</v>
      </c>
      <c r="U89" s="43">
        <f t="shared" si="8"/>
        <v>0.4417875</v>
      </c>
      <c r="V89" s="12" t="s">
        <v>839</v>
      </c>
      <c r="W89" s="12" t="s">
        <v>3141</v>
      </c>
      <c r="X89" s="12" t="s">
        <v>841</v>
      </c>
      <c r="Y89" s="12" t="s">
        <v>841</v>
      </c>
      <c r="Z89" s="12" t="s">
        <v>841</v>
      </c>
      <c r="AA89" s="12" t="s">
        <v>3142</v>
      </c>
      <c r="AB89" s="12" t="s">
        <v>3143</v>
      </c>
      <c r="AC89" s="12" t="s">
        <v>3144</v>
      </c>
      <c r="AD89" s="12" t="s">
        <v>845</v>
      </c>
      <c r="AE89" s="12" t="s">
        <v>846</v>
      </c>
      <c r="AF89" s="43">
        <f t="shared" si="9"/>
        <v>14.900738</v>
      </c>
      <c r="AG89" s="12" t="s">
        <v>847</v>
      </c>
      <c r="AH89" s="12" t="s">
        <v>3145</v>
      </c>
      <c r="AI89" s="12" t="s">
        <v>3146</v>
      </c>
      <c r="AJ89" s="12" t="s">
        <v>3147</v>
      </c>
      <c r="AK89" s="12" t="s">
        <v>3148</v>
      </c>
      <c r="AL89" s="43">
        <f t="shared" si="10"/>
        <v>25.14</v>
      </c>
      <c r="AM89" s="12" t="s">
        <v>3065</v>
      </c>
      <c r="AN89" s="12" t="s">
        <v>914</v>
      </c>
      <c r="AO89" s="12" t="s">
        <v>3149</v>
      </c>
      <c r="AP89" s="12" t="s">
        <v>2827</v>
      </c>
      <c r="AQ89" s="12" t="s">
        <v>1370</v>
      </c>
      <c r="AR89" s="12" t="s">
        <v>3150</v>
      </c>
      <c r="AS89" s="12" t="s">
        <v>3123</v>
      </c>
      <c r="AT89" s="12" t="s">
        <v>366</v>
      </c>
      <c r="AU89" s="12" t="s">
        <v>3124</v>
      </c>
      <c r="AV89" s="12" t="s">
        <v>832</v>
      </c>
      <c r="AW89" s="12" t="s">
        <v>1079</v>
      </c>
      <c r="AX89" s="12" t="s">
        <v>3151</v>
      </c>
      <c r="AY89" s="12" t="s">
        <v>868</v>
      </c>
      <c r="AZ89" s="12" t="s">
        <v>3152</v>
      </c>
      <c r="BA89" s="12" t="s">
        <v>3153</v>
      </c>
      <c r="BB89" s="12" t="s">
        <v>868</v>
      </c>
      <c r="BC89" s="12" t="s">
        <v>866</v>
      </c>
      <c r="BD89" s="12" t="s">
        <v>867</v>
      </c>
      <c r="BE89" s="12" t="s">
        <v>868</v>
      </c>
      <c r="BF89" s="12" t="s">
        <v>869</v>
      </c>
      <c r="BG89" s="12" t="s">
        <v>870</v>
      </c>
      <c r="BH89" s="12" t="s">
        <v>841</v>
      </c>
      <c r="BI89" s="12" t="s">
        <v>871</v>
      </c>
      <c r="BJ89" s="12" t="s">
        <v>841</v>
      </c>
      <c r="BK89" s="12" t="s">
        <v>841</v>
      </c>
      <c r="BL89" s="12" t="s">
        <v>872</v>
      </c>
      <c r="BM89" s="12" t="s">
        <v>873</v>
      </c>
      <c r="BN89" s="12" t="s">
        <v>866</v>
      </c>
      <c r="BO89" s="12" t="s">
        <v>874</v>
      </c>
      <c r="BP89" s="12" t="s">
        <v>875</v>
      </c>
      <c r="BQ89" s="12" t="s">
        <v>876</v>
      </c>
      <c r="BR89" s="12" t="s">
        <v>869</v>
      </c>
      <c r="BS89" s="12" t="s">
        <v>869</v>
      </c>
      <c r="BT89" s="12" t="s">
        <v>877</v>
      </c>
      <c r="BU89" s="12" t="s">
        <v>877</v>
      </c>
      <c r="BV89" s="12" t="s">
        <v>877</v>
      </c>
      <c r="BW89" s="12" t="s">
        <v>841</v>
      </c>
      <c r="BX89" s="12" t="s">
        <v>878</v>
      </c>
      <c r="BY89" s="12" t="s">
        <v>841</v>
      </c>
      <c r="BZ89" s="12" t="s">
        <v>841</v>
      </c>
      <c r="CA89" s="12" t="s">
        <v>841</v>
      </c>
      <c r="CB89" s="12" t="s">
        <v>841</v>
      </c>
      <c r="CC89" s="12" t="s">
        <v>3154</v>
      </c>
      <c r="CD89" s="12" t="s">
        <v>3155</v>
      </c>
      <c r="CE89" s="12" t="s">
        <v>3156</v>
      </c>
      <c r="CF89" s="12" t="s">
        <v>3157</v>
      </c>
      <c r="CG89" s="12" t="s">
        <v>3158</v>
      </c>
      <c r="CH89" s="12" t="s">
        <v>3159</v>
      </c>
      <c r="CI89" s="12" t="s">
        <v>3160</v>
      </c>
      <c r="CJ89" s="12" t="s">
        <v>3161</v>
      </c>
      <c r="CK89" s="12" t="s">
        <v>3162</v>
      </c>
      <c r="CL89" s="12" t="s">
        <v>3163</v>
      </c>
      <c r="CM89" s="12" t="s">
        <v>888</v>
      </c>
      <c r="CN89" s="12" t="s">
        <v>841</v>
      </c>
      <c r="CO89" s="12" t="s">
        <v>847</v>
      </c>
      <c r="CP89" s="12" t="s">
        <v>889</v>
      </c>
      <c r="CQ89" s="12" t="s">
        <v>890</v>
      </c>
      <c r="CR89" s="12" t="s">
        <v>847</v>
      </c>
      <c r="CS89" s="12" t="s">
        <v>891</v>
      </c>
      <c r="CT89" s="12" t="s">
        <v>892</v>
      </c>
      <c r="CU89" s="12" t="s">
        <v>893</v>
      </c>
      <c r="CV89" s="12" t="s">
        <v>841</v>
      </c>
      <c r="CW89" s="12" t="s">
        <v>3141</v>
      </c>
      <c r="CX89" s="12" t="s">
        <v>894</v>
      </c>
      <c r="CY89" s="12" t="s">
        <v>895</v>
      </c>
      <c r="CZ89" s="12" t="s">
        <v>896</v>
      </c>
      <c r="DA89" s="12" t="s">
        <v>897</v>
      </c>
      <c r="DB89" s="12" t="s">
        <v>898</v>
      </c>
      <c r="DC89" s="12" t="s">
        <v>899</v>
      </c>
    </row>
    <row r="90">
      <c r="A90" s="12" t="s">
        <v>934</v>
      </c>
      <c r="B90" s="12" t="s">
        <v>379</v>
      </c>
      <c r="C90" s="12" t="s">
        <v>366</v>
      </c>
      <c r="D90" s="12" t="s">
        <v>833</v>
      </c>
      <c r="E90" s="12" t="s">
        <v>834</v>
      </c>
      <c r="F90" s="12"/>
      <c r="G90" s="12" t="s">
        <v>338</v>
      </c>
      <c r="H90" s="12" t="s">
        <v>374</v>
      </c>
      <c r="I90" s="12"/>
      <c r="J90" s="43">
        <f t="shared" si="1"/>
        <v>-0.07510219662</v>
      </c>
      <c r="K90" s="43">
        <f t="shared" si="2"/>
        <v>2.90822672</v>
      </c>
      <c r="L90" s="43">
        <f t="shared" si="3"/>
        <v>-0.07709305155</v>
      </c>
      <c r="M90" s="43">
        <f t="shared" si="4"/>
        <v>-1.784637422</v>
      </c>
      <c r="N90" s="12" t="s">
        <v>3164</v>
      </c>
      <c r="O90" s="12" t="s">
        <v>3165</v>
      </c>
      <c r="P90" s="43">
        <f t="shared" si="5"/>
        <v>3.202497164</v>
      </c>
      <c r="Q90" s="43">
        <f t="shared" si="6"/>
        <v>2.231229164</v>
      </c>
      <c r="R90" s="12" t="s">
        <v>3166</v>
      </c>
      <c r="S90" s="12" t="s">
        <v>3167</v>
      </c>
      <c r="T90" s="43">
        <f t="shared" si="7"/>
        <v>32.52256692</v>
      </c>
      <c r="U90" s="43">
        <f t="shared" si="8"/>
        <v>0.4417875</v>
      </c>
      <c r="V90" s="12" t="s">
        <v>839</v>
      </c>
      <c r="W90" s="12" t="s">
        <v>3168</v>
      </c>
      <c r="X90" s="12" t="s">
        <v>841</v>
      </c>
      <c r="Y90" s="12" t="s">
        <v>841</v>
      </c>
      <c r="Z90" s="12" t="s">
        <v>841</v>
      </c>
      <c r="AA90" s="12" t="s">
        <v>3169</v>
      </c>
      <c r="AB90" s="12" t="s">
        <v>3170</v>
      </c>
      <c r="AC90" s="12" t="s">
        <v>3171</v>
      </c>
      <c r="AD90" s="12" t="s">
        <v>845</v>
      </c>
      <c r="AE90" s="12" t="s">
        <v>846</v>
      </c>
      <c r="AF90" s="43">
        <f t="shared" si="9"/>
        <v>15.30032</v>
      </c>
      <c r="AG90" s="12" t="s">
        <v>847</v>
      </c>
      <c r="AH90" s="12" t="s">
        <v>3172</v>
      </c>
      <c r="AI90" s="12" t="s">
        <v>3173</v>
      </c>
      <c r="AJ90" s="12" t="s">
        <v>3174</v>
      </c>
      <c r="AK90" s="12" t="s">
        <v>3175</v>
      </c>
      <c r="AL90" s="43">
        <f t="shared" si="10"/>
        <v>25.12</v>
      </c>
      <c r="AM90" s="12" t="s">
        <v>3065</v>
      </c>
      <c r="AN90" s="12" t="s">
        <v>853</v>
      </c>
      <c r="AO90" s="12" t="s">
        <v>3176</v>
      </c>
      <c r="AP90" s="12" t="s">
        <v>3177</v>
      </c>
      <c r="AQ90" s="12" t="s">
        <v>1569</v>
      </c>
      <c r="AR90" s="12" t="s">
        <v>3015</v>
      </c>
      <c r="AS90" s="12" t="s">
        <v>3123</v>
      </c>
      <c r="AT90" s="12" t="s">
        <v>366</v>
      </c>
      <c r="AU90" s="12" t="s">
        <v>3124</v>
      </c>
      <c r="AV90" s="12" t="s">
        <v>832</v>
      </c>
      <c r="AW90" s="12" t="s">
        <v>3178</v>
      </c>
      <c r="AX90" s="12" t="s">
        <v>868</v>
      </c>
      <c r="AY90" s="12" t="s">
        <v>868</v>
      </c>
      <c r="AZ90" s="12" t="s">
        <v>3179</v>
      </c>
      <c r="BA90" s="12" t="s">
        <v>868</v>
      </c>
      <c r="BB90" s="12" t="s">
        <v>868</v>
      </c>
      <c r="BC90" s="12" t="s">
        <v>866</v>
      </c>
      <c r="BD90" s="12" t="s">
        <v>867</v>
      </c>
      <c r="BE90" s="12" t="s">
        <v>868</v>
      </c>
      <c r="BF90" s="12" t="s">
        <v>869</v>
      </c>
      <c r="BG90" s="12" t="s">
        <v>870</v>
      </c>
      <c r="BH90" s="12" t="s">
        <v>841</v>
      </c>
      <c r="BI90" s="12" t="s">
        <v>871</v>
      </c>
      <c r="BJ90" s="12" t="s">
        <v>841</v>
      </c>
      <c r="BK90" s="12" t="s">
        <v>841</v>
      </c>
      <c r="BL90" s="12" t="s">
        <v>872</v>
      </c>
      <c r="BM90" s="12" t="s">
        <v>873</v>
      </c>
      <c r="BN90" s="12" t="s">
        <v>866</v>
      </c>
      <c r="BO90" s="12" t="s">
        <v>874</v>
      </c>
      <c r="BP90" s="12" t="s">
        <v>875</v>
      </c>
      <c r="BQ90" s="12" t="s">
        <v>876</v>
      </c>
      <c r="BR90" s="12" t="s">
        <v>869</v>
      </c>
      <c r="BS90" s="12" t="s">
        <v>869</v>
      </c>
      <c r="BT90" s="12" t="s">
        <v>877</v>
      </c>
      <c r="BU90" s="12" t="s">
        <v>877</v>
      </c>
      <c r="BV90" s="12" t="s">
        <v>877</v>
      </c>
      <c r="BW90" s="12" t="s">
        <v>841</v>
      </c>
      <c r="BX90" s="12" t="s">
        <v>878</v>
      </c>
      <c r="BY90" s="12" t="s">
        <v>841</v>
      </c>
      <c r="BZ90" s="12" t="s">
        <v>841</v>
      </c>
      <c r="CA90" s="12" t="s">
        <v>841</v>
      </c>
      <c r="CB90" s="12" t="s">
        <v>841</v>
      </c>
      <c r="CC90" s="12" t="s">
        <v>3180</v>
      </c>
      <c r="CD90" s="12" t="s">
        <v>3181</v>
      </c>
      <c r="CE90" s="12" t="s">
        <v>3182</v>
      </c>
      <c r="CF90" s="12" t="s">
        <v>3183</v>
      </c>
      <c r="CG90" s="12" t="s">
        <v>3184</v>
      </c>
      <c r="CH90" s="12" t="s">
        <v>3185</v>
      </c>
      <c r="CI90" s="12" t="s">
        <v>3186</v>
      </c>
      <c r="CJ90" s="12" t="s">
        <v>3187</v>
      </c>
      <c r="CK90" s="12" t="s">
        <v>3169</v>
      </c>
      <c r="CL90" s="12" t="s">
        <v>1299</v>
      </c>
      <c r="CM90" s="12" t="s">
        <v>888</v>
      </c>
      <c r="CN90" s="12" t="s">
        <v>841</v>
      </c>
      <c r="CO90" s="12" t="s">
        <v>847</v>
      </c>
      <c r="CP90" s="12" t="s">
        <v>889</v>
      </c>
      <c r="CQ90" s="12" t="s">
        <v>890</v>
      </c>
      <c r="CR90" s="12" t="s">
        <v>847</v>
      </c>
      <c r="CS90" s="12" t="s">
        <v>891</v>
      </c>
      <c r="CT90" s="12" t="s">
        <v>892</v>
      </c>
      <c r="CU90" s="12" t="s">
        <v>893</v>
      </c>
      <c r="CV90" s="12" t="s">
        <v>841</v>
      </c>
      <c r="CW90" s="12" t="s">
        <v>3168</v>
      </c>
      <c r="CX90" s="12" t="s">
        <v>894</v>
      </c>
      <c r="CY90" s="12" t="s">
        <v>895</v>
      </c>
      <c r="CZ90" s="12" t="s">
        <v>896</v>
      </c>
      <c r="DA90" s="12" t="s">
        <v>897</v>
      </c>
      <c r="DB90" s="12" t="s">
        <v>898</v>
      </c>
      <c r="DC90" s="12" t="s">
        <v>899</v>
      </c>
    </row>
    <row r="91">
      <c r="A91" s="12" t="s">
        <v>968</v>
      </c>
      <c r="B91" s="12" t="s">
        <v>381</v>
      </c>
      <c r="C91" s="12" t="s">
        <v>366</v>
      </c>
      <c r="D91" s="12" t="s">
        <v>833</v>
      </c>
      <c r="E91" s="12" t="s">
        <v>834</v>
      </c>
      <c r="F91" s="12"/>
      <c r="G91" s="12" t="s">
        <v>338</v>
      </c>
      <c r="H91" s="12" t="s">
        <v>374</v>
      </c>
      <c r="I91" s="12"/>
      <c r="J91" s="43">
        <f t="shared" si="1"/>
        <v>-0.08202312066</v>
      </c>
      <c r="K91" s="43">
        <f t="shared" si="2"/>
        <v>2.91060848</v>
      </c>
      <c r="L91" s="43">
        <f t="shared" si="3"/>
        <v>-0.08440162138</v>
      </c>
      <c r="M91" s="43">
        <f t="shared" si="4"/>
        <v>-1.910944733</v>
      </c>
      <c r="N91" s="12" t="s">
        <v>3188</v>
      </c>
      <c r="O91" s="12" t="s">
        <v>3189</v>
      </c>
      <c r="P91" s="43">
        <f t="shared" si="5"/>
        <v>3.149472594</v>
      </c>
      <c r="Q91" s="43">
        <f t="shared" si="6"/>
        <v>2.182859594</v>
      </c>
      <c r="R91" s="12" t="s">
        <v>3190</v>
      </c>
      <c r="S91" s="12" t="s">
        <v>3191</v>
      </c>
      <c r="T91" s="43">
        <f t="shared" si="7"/>
        <v>31.9840824</v>
      </c>
      <c r="U91" s="43">
        <f t="shared" si="8"/>
        <v>0.4417875</v>
      </c>
      <c r="V91" s="12" t="s">
        <v>839</v>
      </c>
      <c r="W91" s="12" t="s">
        <v>3192</v>
      </c>
      <c r="X91" s="12" t="s">
        <v>841</v>
      </c>
      <c r="Y91" s="12" t="s">
        <v>841</v>
      </c>
      <c r="Z91" s="12" t="s">
        <v>841</v>
      </c>
      <c r="AA91" s="12" t="s">
        <v>3193</v>
      </c>
      <c r="AB91" s="12" t="s">
        <v>3194</v>
      </c>
      <c r="AC91" s="12" t="s">
        <v>3195</v>
      </c>
      <c r="AD91" s="12" t="s">
        <v>845</v>
      </c>
      <c r="AE91" s="12" t="s">
        <v>846</v>
      </c>
      <c r="AF91" s="43">
        <f t="shared" si="9"/>
        <v>17.522312</v>
      </c>
      <c r="AG91" s="12" t="s">
        <v>847</v>
      </c>
      <c r="AH91" s="12" t="s">
        <v>3196</v>
      </c>
      <c r="AI91" s="12" t="s">
        <v>3197</v>
      </c>
      <c r="AJ91" s="12" t="s">
        <v>3198</v>
      </c>
      <c r="AK91" s="12" t="s">
        <v>3199</v>
      </c>
      <c r="AL91" s="43">
        <f t="shared" si="10"/>
        <v>24.84</v>
      </c>
      <c r="AM91" s="12" t="s">
        <v>3065</v>
      </c>
      <c r="AN91" s="12" t="s">
        <v>1159</v>
      </c>
      <c r="AO91" s="12" t="s">
        <v>3200</v>
      </c>
      <c r="AP91" s="12" t="s">
        <v>3201</v>
      </c>
      <c r="AQ91" s="12" t="s">
        <v>2920</v>
      </c>
      <c r="AR91" s="12" t="s">
        <v>3015</v>
      </c>
      <c r="AS91" s="12" t="s">
        <v>3123</v>
      </c>
      <c r="AT91" s="12" t="s">
        <v>366</v>
      </c>
      <c r="AU91" s="12" t="s">
        <v>3124</v>
      </c>
      <c r="AV91" s="12" t="s">
        <v>832</v>
      </c>
      <c r="AW91" s="12" t="s">
        <v>1570</v>
      </c>
      <c r="AX91" s="12" t="s">
        <v>868</v>
      </c>
      <c r="AY91" s="12" t="s">
        <v>868</v>
      </c>
      <c r="AZ91" s="12" t="s">
        <v>3202</v>
      </c>
      <c r="BA91" s="12" t="s">
        <v>868</v>
      </c>
      <c r="BB91" s="12" t="s">
        <v>868</v>
      </c>
      <c r="BC91" s="12" t="s">
        <v>866</v>
      </c>
      <c r="BD91" s="12" t="s">
        <v>867</v>
      </c>
      <c r="BE91" s="12" t="s">
        <v>868</v>
      </c>
      <c r="BF91" s="12" t="s">
        <v>869</v>
      </c>
      <c r="BG91" s="12" t="s">
        <v>870</v>
      </c>
      <c r="BH91" s="12" t="s">
        <v>841</v>
      </c>
      <c r="BI91" s="12" t="s">
        <v>871</v>
      </c>
      <c r="BJ91" s="12" t="s">
        <v>841</v>
      </c>
      <c r="BK91" s="12" t="s">
        <v>841</v>
      </c>
      <c r="BL91" s="12" t="s">
        <v>872</v>
      </c>
      <c r="BM91" s="12" t="s">
        <v>873</v>
      </c>
      <c r="BN91" s="12" t="s">
        <v>866</v>
      </c>
      <c r="BO91" s="12" t="s">
        <v>874</v>
      </c>
      <c r="BP91" s="12" t="s">
        <v>875</v>
      </c>
      <c r="BQ91" s="12" t="s">
        <v>876</v>
      </c>
      <c r="BR91" s="12" t="s">
        <v>869</v>
      </c>
      <c r="BS91" s="12" t="s">
        <v>869</v>
      </c>
      <c r="BT91" s="12" t="s">
        <v>877</v>
      </c>
      <c r="BU91" s="12" t="s">
        <v>877</v>
      </c>
      <c r="BV91" s="12" t="s">
        <v>877</v>
      </c>
      <c r="BW91" s="12" t="s">
        <v>841</v>
      </c>
      <c r="BX91" s="12" t="s">
        <v>878</v>
      </c>
      <c r="BY91" s="12" t="s">
        <v>841</v>
      </c>
      <c r="BZ91" s="12" t="s">
        <v>841</v>
      </c>
      <c r="CA91" s="12" t="s">
        <v>841</v>
      </c>
      <c r="CB91" s="12" t="s">
        <v>841</v>
      </c>
      <c r="CC91" s="12" t="s">
        <v>3203</v>
      </c>
      <c r="CD91" s="12" t="s">
        <v>3204</v>
      </c>
      <c r="CE91" s="12" t="s">
        <v>3205</v>
      </c>
      <c r="CF91" s="12" t="s">
        <v>3206</v>
      </c>
      <c r="CG91" s="12" t="s">
        <v>3207</v>
      </c>
      <c r="CH91" s="12" t="s">
        <v>3208</v>
      </c>
      <c r="CI91" s="12" t="s">
        <v>3209</v>
      </c>
      <c r="CJ91" s="12" t="s">
        <v>3210</v>
      </c>
      <c r="CK91" s="12" t="s">
        <v>3193</v>
      </c>
      <c r="CL91" s="12" t="s">
        <v>3211</v>
      </c>
      <c r="CM91" s="12" t="s">
        <v>888</v>
      </c>
      <c r="CN91" s="12" t="s">
        <v>841</v>
      </c>
      <c r="CO91" s="12" t="s">
        <v>847</v>
      </c>
      <c r="CP91" s="12" t="s">
        <v>889</v>
      </c>
      <c r="CQ91" s="12" t="s">
        <v>890</v>
      </c>
      <c r="CR91" s="12" t="s">
        <v>847</v>
      </c>
      <c r="CS91" s="12" t="s">
        <v>891</v>
      </c>
      <c r="CT91" s="12" t="s">
        <v>892</v>
      </c>
      <c r="CU91" s="12" t="s">
        <v>893</v>
      </c>
      <c r="CV91" s="12" t="s">
        <v>841</v>
      </c>
      <c r="CW91" s="12" t="s">
        <v>3192</v>
      </c>
      <c r="CX91" s="12" t="s">
        <v>894</v>
      </c>
      <c r="CY91" s="12" t="s">
        <v>895</v>
      </c>
      <c r="CZ91" s="12" t="s">
        <v>896</v>
      </c>
      <c r="DA91" s="12" t="s">
        <v>897</v>
      </c>
      <c r="DB91" s="12" t="s">
        <v>898</v>
      </c>
      <c r="DC91" s="12" t="s">
        <v>899</v>
      </c>
    </row>
    <row r="92">
      <c r="A92" s="12" t="s">
        <v>997</v>
      </c>
      <c r="B92" s="12" t="s">
        <v>385</v>
      </c>
      <c r="C92" s="12" t="s">
        <v>366</v>
      </c>
      <c r="D92" s="12" t="s">
        <v>833</v>
      </c>
      <c r="E92" s="12" t="s">
        <v>834</v>
      </c>
      <c r="F92" s="12"/>
      <c r="G92" s="12" t="s">
        <v>338</v>
      </c>
      <c r="H92" s="12" t="s">
        <v>384</v>
      </c>
      <c r="I92" s="12"/>
      <c r="J92" s="43">
        <f t="shared" si="1"/>
        <v>-12.33018393</v>
      </c>
      <c r="K92" s="43">
        <f t="shared" si="2"/>
        <v>2.91060848</v>
      </c>
      <c r="L92" s="43">
        <f t="shared" si="3"/>
        <v>3.809974037</v>
      </c>
      <c r="M92" s="43">
        <f t="shared" si="4"/>
        <v>-3.774016676</v>
      </c>
      <c r="N92" s="12" t="s">
        <v>3212</v>
      </c>
      <c r="O92" s="12" t="s">
        <v>3213</v>
      </c>
      <c r="P92" s="43">
        <f t="shared" si="5"/>
        <v>0.7534888015</v>
      </c>
      <c r="Q92" s="43">
        <f t="shared" si="6"/>
        <v>-0.09676319848</v>
      </c>
      <c r="R92" s="12" t="s">
        <v>3214</v>
      </c>
      <c r="S92" s="12" t="s">
        <v>3215</v>
      </c>
      <c r="T92" s="43">
        <f t="shared" si="7"/>
        <v>7.65196305</v>
      </c>
      <c r="U92" s="43">
        <f t="shared" si="8"/>
        <v>0.4417875</v>
      </c>
      <c r="V92" s="12" t="s">
        <v>839</v>
      </c>
      <c r="W92" s="12" t="s">
        <v>3216</v>
      </c>
      <c r="X92" s="12" t="s">
        <v>841</v>
      </c>
      <c r="Y92" s="12" t="s">
        <v>841</v>
      </c>
      <c r="Z92" s="12" t="s">
        <v>841</v>
      </c>
      <c r="AA92" s="12" t="s">
        <v>3217</v>
      </c>
      <c r="AB92" s="12" t="s">
        <v>3218</v>
      </c>
      <c r="AC92" s="12" t="s">
        <v>3219</v>
      </c>
      <c r="AD92" s="12" t="s">
        <v>845</v>
      </c>
      <c r="AE92" s="12" t="s">
        <v>846</v>
      </c>
      <c r="AF92" s="43">
        <f t="shared" si="9"/>
        <v>29.793492</v>
      </c>
      <c r="AG92" s="12" t="s">
        <v>847</v>
      </c>
      <c r="AH92" s="12" t="s">
        <v>3199</v>
      </c>
      <c r="AI92" s="12" t="s">
        <v>3220</v>
      </c>
      <c r="AJ92" s="12" t="s">
        <v>3221</v>
      </c>
      <c r="AK92" s="12" t="s">
        <v>3222</v>
      </c>
      <c r="AL92" s="43">
        <f t="shared" si="10"/>
        <v>2.86</v>
      </c>
      <c r="AM92" s="12" t="s">
        <v>3065</v>
      </c>
      <c r="AN92" s="12" t="s">
        <v>1159</v>
      </c>
      <c r="AO92" s="12" t="s">
        <v>3223</v>
      </c>
      <c r="AP92" s="12" t="s">
        <v>3224</v>
      </c>
      <c r="AQ92" s="12" t="s">
        <v>3225</v>
      </c>
      <c r="AR92" s="12" t="s">
        <v>3226</v>
      </c>
      <c r="AS92" s="12" t="s">
        <v>3123</v>
      </c>
      <c r="AT92" s="12" t="s">
        <v>366</v>
      </c>
      <c r="AU92" s="12" t="s">
        <v>3124</v>
      </c>
      <c r="AV92" s="12" t="s">
        <v>832</v>
      </c>
      <c r="AW92" s="12" t="s">
        <v>3227</v>
      </c>
      <c r="AX92" s="12" t="s">
        <v>3228</v>
      </c>
      <c r="AY92" s="12" t="s">
        <v>3229</v>
      </c>
      <c r="AZ92" s="12" t="s">
        <v>3041</v>
      </c>
      <c r="BA92" s="12" t="s">
        <v>2331</v>
      </c>
      <c r="BB92" s="12" t="s">
        <v>3230</v>
      </c>
      <c r="BC92" s="12" t="s">
        <v>866</v>
      </c>
      <c r="BD92" s="12" t="s">
        <v>867</v>
      </c>
      <c r="BE92" s="12" t="s">
        <v>868</v>
      </c>
      <c r="BF92" s="12" t="s">
        <v>869</v>
      </c>
      <c r="BG92" s="12" t="s">
        <v>870</v>
      </c>
      <c r="BH92" s="12" t="s">
        <v>841</v>
      </c>
      <c r="BI92" s="12" t="s">
        <v>871</v>
      </c>
      <c r="BJ92" s="12" t="s">
        <v>841</v>
      </c>
      <c r="BK92" s="12" t="s">
        <v>841</v>
      </c>
      <c r="BL92" s="12" t="s">
        <v>872</v>
      </c>
      <c r="BM92" s="12" t="s">
        <v>873</v>
      </c>
      <c r="BN92" s="12" t="s">
        <v>866</v>
      </c>
      <c r="BO92" s="12" t="s">
        <v>874</v>
      </c>
      <c r="BP92" s="12" t="s">
        <v>875</v>
      </c>
      <c r="BQ92" s="12" t="s">
        <v>876</v>
      </c>
      <c r="BR92" s="12" t="s">
        <v>869</v>
      </c>
      <c r="BS92" s="12" t="s">
        <v>869</v>
      </c>
      <c r="BT92" s="12" t="s">
        <v>877</v>
      </c>
      <c r="BU92" s="12" t="s">
        <v>877</v>
      </c>
      <c r="BV92" s="12" t="s">
        <v>877</v>
      </c>
      <c r="BW92" s="12" t="s">
        <v>841</v>
      </c>
      <c r="BX92" s="12" t="s">
        <v>878</v>
      </c>
      <c r="BY92" s="12" t="s">
        <v>841</v>
      </c>
      <c r="BZ92" s="12" t="s">
        <v>841</v>
      </c>
      <c r="CA92" s="12" t="s">
        <v>841</v>
      </c>
      <c r="CB92" s="12" t="s">
        <v>841</v>
      </c>
      <c r="CC92" s="12" t="s">
        <v>3231</v>
      </c>
      <c r="CD92" s="12" t="s">
        <v>3232</v>
      </c>
      <c r="CE92" s="12" t="s">
        <v>3233</v>
      </c>
      <c r="CF92" s="12" t="s">
        <v>3234</v>
      </c>
      <c r="CG92" s="12" t="s">
        <v>3235</v>
      </c>
      <c r="CH92" s="12" t="s">
        <v>3236</v>
      </c>
      <c r="CI92" s="12" t="s">
        <v>3237</v>
      </c>
      <c r="CJ92" s="12" t="s">
        <v>3238</v>
      </c>
      <c r="CK92" s="12" t="s">
        <v>3217</v>
      </c>
      <c r="CL92" s="12" t="s">
        <v>3211</v>
      </c>
      <c r="CM92" s="12" t="s">
        <v>888</v>
      </c>
      <c r="CN92" s="12" t="s">
        <v>841</v>
      </c>
      <c r="CO92" s="12" t="s">
        <v>847</v>
      </c>
      <c r="CP92" s="12" t="s">
        <v>889</v>
      </c>
      <c r="CQ92" s="12" t="s">
        <v>890</v>
      </c>
      <c r="CR92" s="12" t="s">
        <v>847</v>
      </c>
      <c r="CS92" s="12" t="s">
        <v>891</v>
      </c>
      <c r="CT92" s="12" t="s">
        <v>892</v>
      </c>
      <c r="CU92" s="12" t="s">
        <v>893</v>
      </c>
      <c r="CV92" s="12" t="s">
        <v>841</v>
      </c>
      <c r="CW92" s="12" t="s">
        <v>3216</v>
      </c>
      <c r="CX92" s="12" t="s">
        <v>894</v>
      </c>
      <c r="CY92" s="12" t="s">
        <v>895</v>
      </c>
      <c r="CZ92" s="12" t="s">
        <v>896</v>
      </c>
      <c r="DA92" s="12" t="s">
        <v>897</v>
      </c>
      <c r="DB92" s="12" t="s">
        <v>898</v>
      </c>
      <c r="DC92" s="12" t="s">
        <v>899</v>
      </c>
    </row>
    <row r="93">
      <c r="A93" s="12" t="s">
        <v>1029</v>
      </c>
      <c r="B93" s="12" t="s">
        <v>388</v>
      </c>
      <c r="C93" s="12" t="s">
        <v>366</v>
      </c>
      <c r="D93" s="12" t="s">
        <v>833</v>
      </c>
      <c r="E93" s="12" t="s">
        <v>834</v>
      </c>
      <c r="F93" s="12"/>
      <c r="G93" s="12" t="s">
        <v>338</v>
      </c>
      <c r="H93" s="12" t="s">
        <v>384</v>
      </c>
      <c r="I93" s="12"/>
      <c r="J93" s="43">
        <f t="shared" si="1"/>
        <v>-2.373825981</v>
      </c>
      <c r="K93" s="43">
        <f t="shared" si="2"/>
        <v>2.909022</v>
      </c>
      <c r="L93" s="43">
        <f t="shared" si="3"/>
        <v>-12.90277163</v>
      </c>
      <c r="M93" s="43">
        <f t="shared" si="4"/>
        <v>-2.131706585</v>
      </c>
      <c r="N93" s="12" t="s">
        <v>3239</v>
      </c>
      <c r="O93" s="12" t="s">
        <v>3240</v>
      </c>
      <c r="P93" s="43">
        <f t="shared" si="5"/>
        <v>0.9265596865</v>
      </c>
      <c r="Q93" s="43">
        <f t="shared" si="6"/>
        <v>0.01612668648</v>
      </c>
      <c r="R93" s="12" t="s">
        <v>3241</v>
      </c>
      <c r="S93" s="12" t="s">
        <v>3242</v>
      </c>
      <c r="T93" s="43">
        <f t="shared" si="7"/>
        <v>9.410518855</v>
      </c>
      <c r="U93" s="43">
        <f t="shared" si="8"/>
        <v>0.4417875</v>
      </c>
      <c r="V93" s="12" t="s">
        <v>839</v>
      </c>
      <c r="W93" s="12" t="s">
        <v>3243</v>
      </c>
      <c r="X93" s="12" t="s">
        <v>841</v>
      </c>
      <c r="Y93" s="12" t="s">
        <v>841</v>
      </c>
      <c r="Z93" s="12" t="s">
        <v>841</v>
      </c>
      <c r="AA93" s="12" t="s">
        <v>3244</v>
      </c>
      <c r="AB93" s="12" t="s">
        <v>3245</v>
      </c>
      <c r="AC93" s="12" t="s">
        <v>3246</v>
      </c>
      <c r="AD93" s="12" t="s">
        <v>845</v>
      </c>
      <c r="AE93" s="12" t="s">
        <v>846</v>
      </c>
      <c r="AF93" s="43">
        <f t="shared" si="9"/>
        <v>39.6277152</v>
      </c>
      <c r="AG93" s="12" t="s">
        <v>847</v>
      </c>
      <c r="AH93" s="12" t="s">
        <v>3247</v>
      </c>
      <c r="AI93" s="12" t="s">
        <v>3248</v>
      </c>
      <c r="AJ93" s="12" t="s">
        <v>3249</v>
      </c>
      <c r="AK93" s="12" t="s">
        <v>3250</v>
      </c>
      <c r="AL93" s="43">
        <f t="shared" si="10"/>
        <v>5.81</v>
      </c>
      <c r="AM93" s="12" t="s">
        <v>3251</v>
      </c>
      <c r="AN93" s="12" t="s">
        <v>1072</v>
      </c>
      <c r="AO93" s="12" t="s">
        <v>3252</v>
      </c>
      <c r="AP93" s="12" t="s">
        <v>3253</v>
      </c>
      <c r="AQ93" s="12" t="s">
        <v>3254</v>
      </c>
      <c r="AR93" s="12" t="s">
        <v>3255</v>
      </c>
      <c r="AS93" s="12" t="s">
        <v>3123</v>
      </c>
      <c r="AT93" s="12" t="s">
        <v>366</v>
      </c>
      <c r="AU93" s="12" t="s">
        <v>3124</v>
      </c>
      <c r="AV93" s="12" t="s">
        <v>832</v>
      </c>
      <c r="AW93" s="12" t="s">
        <v>3256</v>
      </c>
      <c r="AX93" s="12" t="s">
        <v>3257</v>
      </c>
      <c r="AY93" s="12" t="s">
        <v>3258</v>
      </c>
      <c r="AZ93" s="12" t="s">
        <v>3259</v>
      </c>
      <c r="BA93" s="12" t="s">
        <v>3260</v>
      </c>
      <c r="BB93" s="12" t="s">
        <v>3261</v>
      </c>
      <c r="BC93" s="12" t="s">
        <v>866</v>
      </c>
      <c r="BD93" s="12" t="s">
        <v>867</v>
      </c>
      <c r="BE93" s="12" t="s">
        <v>868</v>
      </c>
      <c r="BF93" s="12" t="s">
        <v>869</v>
      </c>
      <c r="BG93" s="12" t="s">
        <v>870</v>
      </c>
      <c r="BH93" s="12" t="s">
        <v>841</v>
      </c>
      <c r="BI93" s="12" t="s">
        <v>871</v>
      </c>
      <c r="BJ93" s="12" t="s">
        <v>841</v>
      </c>
      <c r="BK93" s="12" t="s">
        <v>841</v>
      </c>
      <c r="BL93" s="12" t="s">
        <v>872</v>
      </c>
      <c r="BM93" s="12" t="s">
        <v>873</v>
      </c>
      <c r="BN93" s="12" t="s">
        <v>866</v>
      </c>
      <c r="BO93" s="12" t="s">
        <v>874</v>
      </c>
      <c r="BP93" s="12" t="s">
        <v>875</v>
      </c>
      <c r="BQ93" s="12" t="s">
        <v>876</v>
      </c>
      <c r="BR93" s="12" t="s">
        <v>869</v>
      </c>
      <c r="BS93" s="12" t="s">
        <v>869</v>
      </c>
      <c r="BT93" s="12" t="s">
        <v>877</v>
      </c>
      <c r="BU93" s="12" t="s">
        <v>877</v>
      </c>
      <c r="BV93" s="12" t="s">
        <v>877</v>
      </c>
      <c r="BW93" s="12" t="s">
        <v>841</v>
      </c>
      <c r="BX93" s="12" t="s">
        <v>878</v>
      </c>
      <c r="BY93" s="12" t="s">
        <v>841</v>
      </c>
      <c r="BZ93" s="12" t="s">
        <v>841</v>
      </c>
      <c r="CA93" s="12" t="s">
        <v>841</v>
      </c>
      <c r="CB93" s="12" t="s">
        <v>841</v>
      </c>
      <c r="CC93" s="12" t="s">
        <v>3262</v>
      </c>
      <c r="CD93" s="12" t="s">
        <v>3263</v>
      </c>
      <c r="CE93" s="12" t="s">
        <v>3264</v>
      </c>
      <c r="CF93" s="12" t="s">
        <v>3265</v>
      </c>
      <c r="CG93" s="12" t="s">
        <v>3266</v>
      </c>
      <c r="CH93" s="12" t="s">
        <v>3267</v>
      </c>
      <c r="CI93" s="12" t="s">
        <v>3268</v>
      </c>
      <c r="CJ93" s="12" t="s">
        <v>3269</v>
      </c>
      <c r="CK93" s="12" t="s">
        <v>3244</v>
      </c>
      <c r="CL93" s="12" t="s">
        <v>3270</v>
      </c>
      <c r="CM93" s="12" t="s">
        <v>888</v>
      </c>
      <c r="CN93" s="12" t="s">
        <v>841</v>
      </c>
      <c r="CO93" s="12" t="s">
        <v>847</v>
      </c>
      <c r="CP93" s="12" t="s">
        <v>889</v>
      </c>
      <c r="CQ93" s="12" t="s">
        <v>890</v>
      </c>
      <c r="CR93" s="12" t="s">
        <v>847</v>
      </c>
      <c r="CS93" s="12" t="s">
        <v>891</v>
      </c>
      <c r="CT93" s="12" t="s">
        <v>892</v>
      </c>
      <c r="CU93" s="12" t="s">
        <v>893</v>
      </c>
      <c r="CV93" s="12" t="s">
        <v>841</v>
      </c>
      <c r="CW93" s="12" t="s">
        <v>3243</v>
      </c>
      <c r="CX93" s="12" t="s">
        <v>894</v>
      </c>
      <c r="CY93" s="12" t="s">
        <v>895</v>
      </c>
      <c r="CZ93" s="12" t="s">
        <v>896</v>
      </c>
      <c r="DA93" s="12" t="s">
        <v>897</v>
      </c>
      <c r="DB93" s="12" t="s">
        <v>898</v>
      </c>
      <c r="DC93" s="12" t="s">
        <v>899</v>
      </c>
    </row>
    <row r="94">
      <c r="A94" s="12" t="s">
        <v>1058</v>
      </c>
      <c r="B94" s="12" t="s">
        <v>389</v>
      </c>
      <c r="C94" s="12" t="s">
        <v>366</v>
      </c>
      <c r="D94" s="12" t="s">
        <v>833</v>
      </c>
      <c r="E94" s="12" t="s">
        <v>834</v>
      </c>
      <c r="F94" s="12"/>
      <c r="G94" s="12" t="s">
        <v>338</v>
      </c>
      <c r="H94" s="12" t="s">
        <v>384</v>
      </c>
      <c r="I94" s="12"/>
      <c r="J94" s="43">
        <f t="shared" si="1"/>
        <v>0.1260131964</v>
      </c>
      <c r="K94" s="43">
        <f t="shared" si="2"/>
        <v>2.909022</v>
      </c>
      <c r="L94" s="43">
        <f t="shared" si="3"/>
        <v>0.1207811893</v>
      </c>
      <c r="M94" s="43">
        <f t="shared" si="4"/>
        <v>4.14874337</v>
      </c>
      <c r="N94" s="12" t="s">
        <v>3271</v>
      </c>
      <c r="O94" s="12" t="s">
        <v>3272</v>
      </c>
      <c r="P94" s="43">
        <f t="shared" si="5"/>
        <v>4.356826042</v>
      </c>
      <c r="Q94" s="43">
        <f t="shared" si="6"/>
        <v>3.290294042</v>
      </c>
      <c r="R94" s="12" t="s">
        <v>3273</v>
      </c>
      <c r="S94" s="12" t="s">
        <v>3274</v>
      </c>
      <c r="T94" s="43">
        <f t="shared" si="7"/>
        <v>44.23173647</v>
      </c>
      <c r="U94" s="43">
        <f t="shared" si="8"/>
        <v>0.4417875</v>
      </c>
      <c r="V94" s="12" t="s">
        <v>839</v>
      </c>
      <c r="W94" s="12" t="s">
        <v>3275</v>
      </c>
      <c r="X94" s="12" t="s">
        <v>841</v>
      </c>
      <c r="Y94" s="12" t="s">
        <v>841</v>
      </c>
      <c r="Z94" s="12" t="s">
        <v>841</v>
      </c>
      <c r="AA94" s="12" t="s">
        <v>3276</v>
      </c>
      <c r="AB94" s="12" t="s">
        <v>3277</v>
      </c>
      <c r="AC94" s="12" t="s">
        <v>3278</v>
      </c>
      <c r="AD94" s="12" t="s">
        <v>845</v>
      </c>
      <c r="AE94" s="12" t="s">
        <v>846</v>
      </c>
      <c r="AF94" s="43">
        <f t="shared" si="9"/>
        <v>130.5030576</v>
      </c>
      <c r="AG94" s="12" t="s">
        <v>847</v>
      </c>
      <c r="AH94" s="12" t="s">
        <v>3279</v>
      </c>
      <c r="AI94" s="12" t="s">
        <v>3280</v>
      </c>
      <c r="AJ94" s="12" t="s">
        <v>3281</v>
      </c>
      <c r="AK94" s="12" t="s">
        <v>3282</v>
      </c>
      <c r="AL94" s="43">
        <f t="shared" si="10"/>
        <v>30.39</v>
      </c>
      <c r="AM94" s="12" t="s">
        <v>3283</v>
      </c>
      <c r="AN94" s="12" t="s">
        <v>1072</v>
      </c>
      <c r="AO94" s="12" t="s">
        <v>3284</v>
      </c>
      <c r="AP94" s="12" t="s">
        <v>3285</v>
      </c>
      <c r="AQ94" s="12" t="s">
        <v>3286</v>
      </c>
      <c r="AR94" s="12" t="s">
        <v>3287</v>
      </c>
      <c r="AS94" s="12" t="s">
        <v>3123</v>
      </c>
      <c r="AT94" s="12" t="s">
        <v>366</v>
      </c>
      <c r="AU94" s="12" t="s">
        <v>3124</v>
      </c>
      <c r="AV94" s="12" t="s">
        <v>832</v>
      </c>
      <c r="AW94" s="12" t="s">
        <v>860</v>
      </c>
      <c r="AX94" s="12" t="s">
        <v>919</v>
      </c>
      <c r="AY94" s="12" t="s">
        <v>923</v>
      </c>
      <c r="AZ94" s="12" t="s">
        <v>3288</v>
      </c>
      <c r="BA94" s="12" t="s">
        <v>3289</v>
      </c>
      <c r="BB94" s="12" t="s">
        <v>3290</v>
      </c>
      <c r="BC94" s="12" t="s">
        <v>866</v>
      </c>
      <c r="BD94" s="12" t="s">
        <v>867</v>
      </c>
      <c r="BE94" s="12" t="s">
        <v>868</v>
      </c>
      <c r="BF94" s="12" t="s">
        <v>869</v>
      </c>
      <c r="BG94" s="12" t="s">
        <v>870</v>
      </c>
      <c r="BH94" s="12" t="s">
        <v>841</v>
      </c>
      <c r="BI94" s="12" t="s">
        <v>871</v>
      </c>
      <c r="BJ94" s="12" t="s">
        <v>841</v>
      </c>
      <c r="BK94" s="12" t="s">
        <v>841</v>
      </c>
      <c r="BL94" s="12" t="s">
        <v>872</v>
      </c>
      <c r="BM94" s="12" t="s">
        <v>873</v>
      </c>
      <c r="BN94" s="12" t="s">
        <v>866</v>
      </c>
      <c r="BO94" s="12" t="s">
        <v>874</v>
      </c>
      <c r="BP94" s="12" t="s">
        <v>875</v>
      </c>
      <c r="BQ94" s="12" t="s">
        <v>876</v>
      </c>
      <c r="BR94" s="12" t="s">
        <v>869</v>
      </c>
      <c r="BS94" s="12" t="s">
        <v>869</v>
      </c>
      <c r="BT94" s="12" t="s">
        <v>877</v>
      </c>
      <c r="BU94" s="12" t="s">
        <v>877</v>
      </c>
      <c r="BV94" s="12" t="s">
        <v>877</v>
      </c>
      <c r="BW94" s="12" t="s">
        <v>841</v>
      </c>
      <c r="BX94" s="12" t="s">
        <v>878</v>
      </c>
      <c r="BY94" s="12" t="s">
        <v>841</v>
      </c>
      <c r="BZ94" s="12" t="s">
        <v>841</v>
      </c>
      <c r="CA94" s="12" t="s">
        <v>841</v>
      </c>
      <c r="CB94" s="12" t="s">
        <v>841</v>
      </c>
      <c r="CC94" s="12" t="s">
        <v>3291</v>
      </c>
      <c r="CD94" s="12" t="s">
        <v>3292</v>
      </c>
      <c r="CE94" s="12" t="s">
        <v>3293</v>
      </c>
      <c r="CF94" s="12" t="s">
        <v>3294</v>
      </c>
      <c r="CG94" s="12" t="s">
        <v>3295</v>
      </c>
      <c r="CH94" s="12" t="s">
        <v>3296</v>
      </c>
      <c r="CI94" s="12" t="s">
        <v>3297</v>
      </c>
      <c r="CJ94" s="12" t="s">
        <v>3298</v>
      </c>
      <c r="CK94" s="12" t="s">
        <v>3276</v>
      </c>
      <c r="CL94" s="12" t="s">
        <v>3108</v>
      </c>
      <c r="CM94" s="12" t="s">
        <v>888</v>
      </c>
      <c r="CN94" s="12" t="s">
        <v>841</v>
      </c>
      <c r="CO94" s="12" t="s">
        <v>847</v>
      </c>
      <c r="CP94" s="12" t="s">
        <v>889</v>
      </c>
      <c r="CQ94" s="12" t="s">
        <v>890</v>
      </c>
      <c r="CR94" s="12" t="s">
        <v>847</v>
      </c>
      <c r="CS94" s="12" t="s">
        <v>891</v>
      </c>
      <c r="CT94" s="12" t="s">
        <v>892</v>
      </c>
      <c r="CU94" s="12" t="s">
        <v>893</v>
      </c>
      <c r="CV94" s="12" t="s">
        <v>841</v>
      </c>
      <c r="CW94" s="12" t="s">
        <v>3275</v>
      </c>
      <c r="CX94" s="12" t="s">
        <v>894</v>
      </c>
      <c r="CY94" s="12" t="s">
        <v>895</v>
      </c>
      <c r="CZ94" s="12" t="s">
        <v>896</v>
      </c>
      <c r="DA94" s="12" t="s">
        <v>897</v>
      </c>
      <c r="DB94" s="12" t="s">
        <v>898</v>
      </c>
      <c r="DC94" s="12" t="s">
        <v>899</v>
      </c>
    </row>
    <row r="95">
      <c r="A95" s="12" t="s">
        <v>1094</v>
      </c>
      <c r="B95" s="12" t="s">
        <v>391</v>
      </c>
      <c r="C95" s="12" t="s">
        <v>366</v>
      </c>
      <c r="D95" s="12" t="s">
        <v>833</v>
      </c>
      <c r="E95" s="12" t="s">
        <v>834</v>
      </c>
      <c r="F95" s="12"/>
      <c r="G95" s="12" t="s">
        <v>338</v>
      </c>
      <c r="H95" s="12" t="s">
        <v>384</v>
      </c>
      <c r="I95" s="12"/>
      <c r="J95" s="43">
        <f t="shared" si="1"/>
        <v>-0.08553774978</v>
      </c>
      <c r="K95" s="43">
        <f t="shared" si="2"/>
        <v>2.90981592</v>
      </c>
      <c r="L95" s="43">
        <f t="shared" si="3"/>
        <v>-0.08812839638</v>
      </c>
      <c r="M95" s="43">
        <f t="shared" si="4"/>
        <v>-2.647594598</v>
      </c>
      <c r="N95" s="12" t="s">
        <v>3299</v>
      </c>
      <c r="O95" s="12" t="s">
        <v>3300</v>
      </c>
      <c r="P95" s="43">
        <f t="shared" si="5"/>
        <v>3.768373419</v>
      </c>
      <c r="Q95" s="43">
        <f t="shared" si="6"/>
        <v>2.889367419</v>
      </c>
      <c r="R95" s="12" t="s">
        <v>3301</v>
      </c>
      <c r="S95" s="12" t="s">
        <v>3302</v>
      </c>
      <c r="T95" s="43">
        <f t="shared" si="7"/>
        <v>38.25759816</v>
      </c>
      <c r="U95" s="43">
        <f t="shared" si="8"/>
        <v>0.4417875</v>
      </c>
      <c r="V95" s="12" t="s">
        <v>839</v>
      </c>
      <c r="W95" s="12" t="s">
        <v>3303</v>
      </c>
      <c r="X95" s="12" t="s">
        <v>841</v>
      </c>
      <c r="Y95" s="12" t="s">
        <v>841</v>
      </c>
      <c r="Z95" s="12" t="s">
        <v>841</v>
      </c>
      <c r="AA95" s="12" t="s">
        <v>3304</v>
      </c>
      <c r="AB95" s="12" t="s">
        <v>3305</v>
      </c>
      <c r="AC95" s="12" t="s">
        <v>3306</v>
      </c>
      <c r="AD95" s="12" t="s">
        <v>845</v>
      </c>
      <c r="AE95" s="12" t="s">
        <v>846</v>
      </c>
      <c r="AF95" s="43">
        <f t="shared" si="9"/>
        <v>19.4321888</v>
      </c>
      <c r="AG95" s="12" t="s">
        <v>847</v>
      </c>
      <c r="AH95" s="12" t="s">
        <v>2214</v>
      </c>
      <c r="AI95" s="12" t="s">
        <v>3307</v>
      </c>
      <c r="AJ95" s="12" t="s">
        <v>3308</v>
      </c>
      <c r="AK95" s="12" t="s">
        <v>3309</v>
      </c>
      <c r="AL95" s="43">
        <f t="shared" si="10"/>
        <v>27.88</v>
      </c>
      <c r="AM95" s="12" t="s">
        <v>3283</v>
      </c>
      <c r="AN95" s="12" t="s">
        <v>914</v>
      </c>
      <c r="AO95" s="12" t="s">
        <v>3310</v>
      </c>
      <c r="AP95" s="12" t="s">
        <v>3311</v>
      </c>
      <c r="AQ95" s="12" t="s">
        <v>3312</v>
      </c>
      <c r="AR95" s="12" t="s">
        <v>3313</v>
      </c>
      <c r="AS95" s="12" t="s">
        <v>3314</v>
      </c>
      <c r="AT95" s="12" t="s">
        <v>366</v>
      </c>
      <c r="AU95" s="12" t="s">
        <v>1194</v>
      </c>
      <c r="AV95" s="12" t="s">
        <v>832</v>
      </c>
      <c r="AW95" s="12" t="s">
        <v>1457</v>
      </c>
      <c r="AX95" s="12" t="s">
        <v>1286</v>
      </c>
      <c r="AY95" s="12" t="s">
        <v>1164</v>
      </c>
      <c r="AZ95" s="12" t="s">
        <v>3315</v>
      </c>
      <c r="BA95" s="12" t="s">
        <v>3316</v>
      </c>
      <c r="BB95" s="12" t="s">
        <v>3317</v>
      </c>
      <c r="BC95" s="12" t="s">
        <v>866</v>
      </c>
      <c r="BD95" s="12" t="s">
        <v>867</v>
      </c>
      <c r="BE95" s="12" t="s">
        <v>868</v>
      </c>
      <c r="BF95" s="12" t="s">
        <v>869</v>
      </c>
      <c r="BG95" s="12" t="s">
        <v>870</v>
      </c>
      <c r="BH95" s="12" t="s">
        <v>841</v>
      </c>
      <c r="BI95" s="12" t="s">
        <v>871</v>
      </c>
      <c r="BJ95" s="12" t="s">
        <v>841</v>
      </c>
      <c r="BK95" s="12" t="s">
        <v>841</v>
      </c>
      <c r="BL95" s="12" t="s">
        <v>872</v>
      </c>
      <c r="BM95" s="12" t="s">
        <v>873</v>
      </c>
      <c r="BN95" s="12" t="s">
        <v>866</v>
      </c>
      <c r="BO95" s="12" t="s">
        <v>874</v>
      </c>
      <c r="BP95" s="12" t="s">
        <v>875</v>
      </c>
      <c r="BQ95" s="12" t="s">
        <v>876</v>
      </c>
      <c r="BR95" s="12" t="s">
        <v>869</v>
      </c>
      <c r="BS95" s="12" t="s">
        <v>869</v>
      </c>
      <c r="BT95" s="12" t="s">
        <v>877</v>
      </c>
      <c r="BU95" s="12" t="s">
        <v>877</v>
      </c>
      <c r="BV95" s="12" t="s">
        <v>877</v>
      </c>
      <c r="BW95" s="12" t="s">
        <v>841</v>
      </c>
      <c r="BX95" s="12" t="s">
        <v>878</v>
      </c>
      <c r="BY95" s="12" t="s">
        <v>841</v>
      </c>
      <c r="BZ95" s="12" t="s">
        <v>841</v>
      </c>
      <c r="CA95" s="12" t="s">
        <v>841</v>
      </c>
      <c r="CB95" s="12" t="s">
        <v>841</v>
      </c>
      <c r="CC95" s="12" t="s">
        <v>3318</v>
      </c>
      <c r="CD95" s="12" t="s">
        <v>3319</v>
      </c>
      <c r="CE95" s="12" t="s">
        <v>3320</v>
      </c>
      <c r="CF95" s="12" t="s">
        <v>3321</v>
      </c>
      <c r="CG95" s="12" t="s">
        <v>3322</v>
      </c>
      <c r="CH95" s="12" t="s">
        <v>3323</v>
      </c>
      <c r="CI95" s="12" t="s">
        <v>3324</v>
      </c>
      <c r="CJ95" s="12" t="s">
        <v>3325</v>
      </c>
      <c r="CK95" s="12" t="s">
        <v>3304</v>
      </c>
      <c r="CL95" s="12" t="s">
        <v>3211</v>
      </c>
      <c r="CM95" s="12" t="s">
        <v>888</v>
      </c>
      <c r="CN95" s="12" t="s">
        <v>841</v>
      </c>
      <c r="CO95" s="12" t="s">
        <v>847</v>
      </c>
      <c r="CP95" s="12" t="s">
        <v>889</v>
      </c>
      <c r="CQ95" s="12" t="s">
        <v>890</v>
      </c>
      <c r="CR95" s="12" t="s">
        <v>847</v>
      </c>
      <c r="CS95" s="12" t="s">
        <v>891</v>
      </c>
      <c r="CT95" s="12" t="s">
        <v>892</v>
      </c>
      <c r="CU95" s="12" t="s">
        <v>893</v>
      </c>
      <c r="CV95" s="12" t="s">
        <v>841</v>
      </c>
      <c r="CW95" s="12" t="s">
        <v>3303</v>
      </c>
      <c r="CX95" s="12" t="s">
        <v>894</v>
      </c>
      <c r="CY95" s="12" t="s">
        <v>895</v>
      </c>
      <c r="CZ95" s="12" t="s">
        <v>896</v>
      </c>
      <c r="DA95" s="12" t="s">
        <v>897</v>
      </c>
      <c r="DB95" s="12" t="s">
        <v>898</v>
      </c>
      <c r="DC95" s="12" t="s">
        <v>899</v>
      </c>
    </row>
    <row r="96">
      <c r="A96" s="12" t="s">
        <v>1120</v>
      </c>
      <c r="B96" s="12" t="s">
        <v>392</v>
      </c>
      <c r="C96" s="12" t="s">
        <v>366</v>
      </c>
      <c r="D96" s="12" t="s">
        <v>833</v>
      </c>
      <c r="E96" s="12" t="s">
        <v>834</v>
      </c>
      <c r="F96" s="12"/>
      <c r="G96" s="12" t="s">
        <v>338</v>
      </c>
      <c r="H96" s="12" t="s">
        <v>384</v>
      </c>
      <c r="I96" s="12"/>
      <c r="J96" s="43">
        <f t="shared" si="1"/>
        <v>-0.1158092883</v>
      </c>
      <c r="K96" s="43">
        <f t="shared" si="2"/>
        <v>2.909022</v>
      </c>
      <c r="L96" s="43">
        <f t="shared" si="3"/>
        <v>-0.1206108529</v>
      </c>
      <c r="M96" s="43">
        <f t="shared" si="4"/>
        <v>-3.762509078</v>
      </c>
      <c r="N96" s="12" t="s">
        <v>3326</v>
      </c>
      <c r="O96" s="12" t="s">
        <v>3327</v>
      </c>
      <c r="P96" s="43">
        <f t="shared" si="5"/>
        <v>3.854982444</v>
      </c>
      <c r="Q96" s="43">
        <f t="shared" si="6"/>
        <v>2.998995444</v>
      </c>
      <c r="R96" s="12" t="s">
        <v>3328</v>
      </c>
      <c r="S96" s="12" t="s">
        <v>3329</v>
      </c>
      <c r="T96" s="43">
        <f t="shared" si="7"/>
        <v>39.1408513</v>
      </c>
      <c r="U96" s="43">
        <f t="shared" si="8"/>
        <v>0.4417875</v>
      </c>
      <c r="V96" s="12" t="s">
        <v>839</v>
      </c>
      <c r="W96" s="12" t="s">
        <v>3330</v>
      </c>
      <c r="X96" s="12" t="s">
        <v>841</v>
      </c>
      <c r="Y96" s="12" t="s">
        <v>841</v>
      </c>
      <c r="Z96" s="12" t="s">
        <v>841</v>
      </c>
      <c r="AA96" s="12" t="s">
        <v>3331</v>
      </c>
      <c r="AB96" s="12" t="s">
        <v>3332</v>
      </c>
      <c r="AC96" s="12" t="s">
        <v>3333</v>
      </c>
      <c r="AD96" s="12" t="s">
        <v>845</v>
      </c>
      <c r="AE96" s="12" t="s">
        <v>846</v>
      </c>
      <c r="AF96" s="43">
        <f t="shared" si="9"/>
        <v>21.332276</v>
      </c>
      <c r="AG96" s="12" t="s">
        <v>847</v>
      </c>
      <c r="AH96" s="12" t="s">
        <v>3334</v>
      </c>
      <c r="AI96" s="12" t="s">
        <v>3335</v>
      </c>
      <c r="AJ96" s="12" t="s">
        <v>3336</v>
      </c>
      <c r="AK96" s="12" t="s">
        <v>3337</v>
      </c>
      <c r="AL96" s="43">
        <f t="shared" si="10"/>
        <v>28.27</v>
      </c>
      <c r="AM96" s="12" t="s">
        <v>3121</v>
      </c>
      <c r="AN96" s="12" t="s">
        <v>1072</v>
      </c>
      <c r="AO96" s="12" t="s">
        <v>3338</v>
      </c>
      <c r="AP96" s="12" t="s">
        <v>3339</v>
      </c>
      <c r="AQ96" s="12" t="s">
        <v>2920</v>
      </c>
      <c r="AR96" s="12" t="s">
        <v>3340</v>
      </c>
      <c r="AS96" s="12" t="s">
        <v>3314</v>
      </c>
      <c r="AT96" s="12" t="s">
        <v>366</v>
      </c>
      <c r="AU96" s="12" t="s">
        <v>1194</v>
      </c>
      <c r="AV96" s="12" t="s">
        <v>832</v>
      </c>
      <c r="AW96" s="12" t="s">
        <v>1403</v>
      </c>
      <c r="AX96" s="12" t="s">
        <v>1195</v>
      </c>
      <c r="AY96" s="12" t="s">
        <v>1513</v>
      </c>
      <c r="AZ96" s="12" t="s">
        <v>3341</v>
      </c>
      <c r="BA96" s="12" t="s">
        <v>3342</v>
      </c>
      <c r="BB96" s="12" t="s">
        <v>3343</v>
      </c>
      <c r="BC96" s="12" t="s">
        <v>866</v>
      </c>
      <c r="BD96" s="12" t="s">
        <v>867</v>
      </c>
      <c r="BE96" s="12" t="s">
        <v>868</v>
      </c>
      <c r="BF96" s="12" t="s">
        <v>869</v>
      </c>
      <c r="BG96" s="12" t="s">
        <v>870</v>
      </c>
      <c r="BH96" s="12" t="s">
        <v>841</v>
      </c>
      <c r="BI96" s="12" t="s">
        <v>871</v>
      </c>
      <c r="BJ96" s="12" t="s">
        <v>841</v>
      </c>
      <c r="BK96" s="12" t="s">
        <v>841</v>
      </c>
      <c r="BL96" s="12" t="s">
        <v>872</v>
      </c>
      <c r="BM96" s="12" t="s">
        <v>873</v>
      </c>
      <c r="BN96" s="12" t="s">
        <v>866</v>
      </c>
      <c r="BO96" s="12" t="s">
        <v>874</v>
      </c>
      <c r="BP96" s="12" t="s">
        <v>875</v>
      </c>
      <c r="BQ96" s="12" t="s">
        <v>876</v>
      </c>
      <c r="BR96" s="12" t="s">
        <v>869</v>
      </c>
      <c r="BS96" s="12" t="s">
        <v>869</v>
      </c>
      <c r="BT96" s="12" t="s">
        <v>877</v>
      </c>
      <c r="BU96" s="12" t="s">
        <v>877</v>
      </c>
      <c r="BV96" s="12" t="s">
        <v>877</v>
      </c>
      <c r="BW96" s="12" t="s">
        <v>841</v>
      </c>
      <c r="BX96" s="12" t="s">
        <v>878</v>
      </c>
      <c r="BY96" s="12" t="s">
        <v>841</v>
      </c>
      <c r="BZ96" s="12" t="s">
        <v>841</v>
      </c>
      <c r="CA96" s="12" t="s">
        <v>841</v>
      </c>
      <c r="CB96" s="12" t="s">
        <v>841</v>
      </c>
      <c r="CC96" s="12" t="s">
        <v>3344</v>
      </c>
      <c r="CD96" s="12" t="s">
        <v>3345</v>
      </c>
      <c r="CE96" s="12" t="s">
        <v>3346</v>
      </c>
      <c r="CF96" s="12" t="s">
        <v>3347</v>
      </c>
      <c r="CG96" s="12" t="s">
        <v>3348</v>
      </c>
      <c r="CH96" s="12" t="s">
        <v>3349</v>
      </c>
      <c r="CI96" s="12" t="s">
        <v>3350</v>
      </c>
      <c r="CJ96" s="12" t="s">
        <v>3351</v>
      </c>
      <c r="CK96" s="12" t="s">
        <v>3352</v>
      </c>
      <c r="CL96" s="12" t="s">
        <v>3053</v>
      </c>
      <c r="CM96" s="12" t="s">
        <v>888</v>
      </c>
      <c r="CN96" s="12" t="s">
        <v>841</v>
      </c>
      <c r="CO96" s="12" t="s">
        <v>847</v>
      </c>
      <c r="CP96" s="12" t="s">
        <v>889</v>
      </c>
      <c r="CQ96" s="12" t="s">
        <v>890</v>
      </c>
      <c r="CR96" s="12" t="s">
        <v>847</v>
      </c>
      <c r="CS96" s="12" t="s">
        <v>891</v>
      </c>
      <c r="CT96" s="12" t="s">
        <v>892</v>
      </c>
      <c r="CU96" s="12" t="s">
        <v>893</v>
      </c>
      <c r="CV96" s="12" t="s">
        <v>841</v>
      </c>
      <c r="CW96" s="12" t="s">
        <v>3330</v>
      </c>
      <c r="CX96" s="12" t="s">
        <v>894</v>
      </c>
      <c r="CY96" s="12" t="s">
        <v>895</v>
      </c>
      <c r="CZ96" s="12" t="s">
        <v>896</v>
      </c>
      <c r="DA96" s="12" t="s">
        <v>897</v>
      </c>
      <c r="DB96" s="12" t="s">
        <v>898</v>
      </c>
      <c r="DC96" s="12" t="s">
        <v>899</v>
      </c>
    </row>
    <row r="97">
      <c r="A97" s="12" t="s">
        <v>1146</v>
      </c>
      <c r="B97" s="12" t="s">
        <v>394</v>
      </c>
      <c r="C97" s="12" t="s">
        <v>366</v>
      </c>
      <c r="D97" s="12" t="s">
        <v>833</v>
      </c>
      <c r="E97" s="12" t="s">
        <v>834</v>
      </c>
      <c r="F97" s="12"/>
      <c r="G97" s="12" t="s">
        <v>338</v>
      </c>
      <c r="H97" s="12" t="s">
        <v>384</v>
      </c>
      <c r="I97" s="12"/>
      <c r="J97" s="43">
        <f t="shared" si="1"/>
        <v>-0.1198729437</v>
      </c>
      <c r="K97" s="43">
        <f t="shared" si="2"/>
        <v>2.90822672</v>
      </c>
      <c r="L97" s="43">
        <f t="shared" si="3"/>
        <v>-0.125026351</v>
      </c>
      <c r="M97" s="43">
        <f t="shared" si="4"/>
        <v>-3.889392237</v>
      </c>
      <c r="N97" s="12" t="s">
        <v>3353</v>
      </c>
      <c r="O97" s="12" t="s">
        <v>3354</v>
      </c>
      <c r="P97" s="43">
        <f t="shared" si="5"/>
        <v>3.825921824</v>
      </c>
      <c r="Q97" s="43">
        <f t="shared" si="6"/>
        <v>2.991701824</v>
      </c>
      <c r="R97" s="12" t="s">
        <v>3355</v>
      </c>
      <c r="S97" s="12" t="s">
        <v>3356</v>
      </c>
      <c r="T97" s="43">
        <f t="shared" si="7"/>
        <v>38.84184593</v>
      </c>
      <c r="U97" s="43">
        <f t="shared" si="8"/>
        <v>0.4417875</v>
      </c>
      <c r="V97" s="12" t="s">
        <v>839</v>
      </c>
      <c r="W97" s="12" t="s">
        <v>3357</v>
      </c>
      <c r="X97" s="12" t="s">
        <v>841</v>
      </c>
      <c r="Y97" s="12" t="s">
        <v>841</v>
      </c>
      <c r="Z97" s="12" t="s">
        <v>841</v>
      </c>
      <c r="AA97" s="12" t="s">
        <v>3358</v>
      </c>
      <c r="AB97" s="12" t="s">
        <v>3359</v>
      </c>
      <c r="AC97" s="12" t="s">
        <v>3360</v>
      </c>
      <c r="AD97" s="12" t="s">
        <v>845</v>
      </c>
      <c r="AE97" s="12" t="s">
        <v>846</v>
      </c>
      <c r="AF97" s="43">
        <f t="shared" si="9"/>
        <v>17.463394</v>
      </c>
      <c r="AG97" s="12" t="s">
        <v>847</v>
      </c>
      <c r="AH97" s="12" t="s">
        <v>3361</v>
      </c>
      <c r="AI97" s="12" t="s">
        <v>3362</v>
      </c>
      <c r="AJ97" s="12" t="s">
        <v>3363</v>
      </c>
      <c r="AK97" s="12" t="s">
        <v>3364</v>
      </c>
      <c r="AL97" s="43">
        <f t="shared" si="10"/>
        <v>28.14</v>
      </c>
      <c r="AM97" s="12" t="s">
        <v>3283</v>
      </c>
      <c r="AN97" s="12" t="s">
        <v>853</v>
      </c>
      <c r="AO97" s="12" t="s">
        <v>3365</v>
      </c>
      <c r="AP97" s="12" t="s">
        <v>3366</v>
      </c>
      <c r="AQ97" s="12" t="s">
        <v>2777</v>
      </c>
      <c r="AR97" s="12" t="s">
        <v>3367</v>
      </c>
      <c r="AS97" s="12" t="s">
        <v>3314</v>
      </c>
      <c r="AT97" s="12" t="s">
        <v>366</v>
      </c>
      <c r="AU97" s="12" t="s">
        <v>1194</v>
      </c>
      <c r="AV97" s="12" t="s">
        <v>832</v>
      </c>
      <c r="AW97" s="12" t="s">
        <v>1342</v>
      </c>
      <c r="AX97" s="12" t="s">
        <v>1226</v>
      </c>
      <c r="AY97" s="12" t="s">
        <v>1542</v>
      </c>
      <c r="AZ97" s="12" t="s">
        <v>3368</v>
      </c>
      <c r="BA97" s="12" t="s">
        <v>3369</v>
      </c>
      <c r="BB97" s="12" t="s">
        <v>3370</v>
      </c>
      <c r="BC97" s="12" t="s">
        <v>866</v>
      </c>
      <c r="BD97" s="12" t="s">
        <v>867</v>
      </c>
      <c r="BE97" s="12" t="s">
        <v>868</v>
      </c>
      <c r="BF97" s="12" t="s">
        <v>869</v>
      </c>
      <c r="BG97" s="12" t="s">
        <v>870</v>
      </c>
      <c r="BH97" s="12" t="s">
        <v>841</v>
      </c>
      <c r="BI97" s="12" t="s">
        <v>871</v>
      </c>
      <c r="BJ97" s="12" t="s">
        <v>841</v>
      </c>
      <c r="BK97" s="12" t="s">
        <v>841</v>
      </c>
      <c r="BL97" s="12" t="s">
        <v>872</v>
      </c>
      <c r="BM97" s="12" t="s">
        <v>873</v>
      </c>
      <c r="BN97" s="12" t="s">
        <v>866</v>
      </c>
      <c r="BO97" s="12" t="s">
        <v>874</v>
      </c>
      <c r="BP97" s="12" t="s">
        <v>875</v>
      </c>
      <c r="BQ97" s="12" t="s">
        <v>876</v>
      </c>
      <c r="BR97" s="12" t="s">
        <v>869</v>
      </c>
      <c r="BS97" s="12" t="s">
        <v>869</v>
      </c>
      <c r="BT97" s="12" t="s">
        <v>877</v>
      </c>
      <c r="BU97" s="12" t="s">
        <v>877</v>
      </c>
      <c r="BV97" s="12" t="s">
        <v>877</v>
      </c>
      <c r="BW97" s="12" t="s">
        <v>841</v>
      </c>
      <c r="BX97" s="12" t="s">
        <v>878</v>
      </c>
      <c r="BY97" s="12" t="s">
        <v>841</v>
      </c>
      <c r="BZ97" s="12" t="s">
        <v>841</v>
      </c>
      <c r="CA97" s="12" t="s">
        <v>841</v>
      </c>
      <c r="CB97" s="12" t="s">
        <v>841</v>
      </c>
      <c r="CC97" s="12" t="s">
        <v>3371</v>
      </c>
      <c r="CD97" s="12" t="s">
        <v>3372</v>
      </c>
      <c r="CE97" s="12" t="s">
        <v>3373</v>
      </c>
      <c r="CF97" s="12" t="s">
        <v>3374</v>
      </c>
      <c r="CG97" s="12" t="s">
        <v>3375</v>
      </c>
      <c r="CH97" s="12" t="s">
        <v>3376</v>
      </c>
      <c r="CI97" s="12" t="s">
        <v>3377</v>
      </c>
      <c r="CJ97" s="12" t="s">
        <v>3378</v>
      </c>
      <c r="CK97" s="12" t="s">
        <v>3358</v>
      </c>
      <c r="CL97" s="12" t="s">
        <v>1496</v>
      </c>
      <c r="CM97" s="12" t="s">
        <v>888</v>
      </c>
      <c r="CN97" s="12" t="s">
        <v>841</v>
      </c>
      <c r="CO97" s="12" t="s">
        <v>847</v>
      </c>
      <c r="CP97" s="12" t="s">
        <v>889</v>
      </c>
      <c r="CQ97" s="12" t="s">
        <v>890</v>
      </c>
      <c r="CR97" s="12" t="s">
        <v>847</v>
      </c>
      <c r="CS97" s="12" t="s">
        <v>891</v>
      </c>
      <c r="CT97" s="12" t="s">
        <v>892</v>
      </c>
      <c r="CU97" s="12" t="s">
        <v>893</v>
      </c>
      <c r="CV97" s="12" t="s">
        <v>841</v>
      </c>
      <c r="CW97" s="12" t="s">
        <v>3357</v>
      </c>
      <c r="CX97" s="12" t="s">
        <v>894</v>
      </c>
      <c r="CY97" s="12" t="s">
        <v>895</v>
      </c>
      <c r="CZ97" s="12" t="s">
        <v>896</v>
      </c>
      <c r="DA97" s="12" t="s">
        <v>897</v>
      </c>
      <c r="DB97" s="12" t="s">
        <v>898</v>
      </c>
      <c r="DC97" s="12" t="s">
        <v>899</v>
      </c>
    </row>
    <row r="98">
      <c r="A98" s="12" t="s">
        <v>1177</v>
      </c>
      <c r="B98" s="12" t="s">
        <v>395</v>
      </c>
      <c r="C98" s="12" t="s">
        <v>366</v>
      </c>
      <c r="D98" s="12" t="s">
        <v>833</v>
      </c>
      <c r="E98" s="12" t="s">
        <v>834</v>
      </c>
      <c r="F98" s="12"/>
      <c r="G98" s="12" t="s">
        <v>338</v>
      </c>
      <c r="H98" s="12" t="s">
        <v>384</v>
      </c>
      <c r="I98" s="12"/>
      <c r="J98" s="43">
        <f t="shared" si="1"/>
        <v>-0.0886008989</v>
      </c>
      <c r="K98" s="43">
        <f t="shared" si="2"/>
        <v>2.90981592</v>
      </c>
      <c r="L98" s="43">
        <f t="shared" si="3"/>
        <v>-0.09138343026</v>
      </c>
      <c r="M98" s="43">
        <f t="shared" si="4"/>
        <v>-2.864558896</v>
      </c>
      <c r="N98" s="12" t="s">
        <v>3379</v>
      </c>
      <c r="O98" s="12" t="s">
        <v>3380</v>
      </c>
      <c r="P98" s="43">
        <f t="shared" si="5"/>
        <v>3.906869302</v>
      </c>
      <c r="Q98" s="43">
        <f t="shared" si="6"/>
        <v>3.012361302</v>
      </c>
      <c r="R98" s="12" t="s">
        <v>3381</v>
      </c>
      <c r="S98" s="12" t="s">
        <v>3382</v>
      </c>
      <c r="T98" s="43">
        <f t="shared" si="7"/>
        <v>39.66364773</v>
      </c>
      <c r="U98" s="43">
        <f t="shared" si="8"/>
        <v>0.4417875</v>
      </c>
      <c r="V98" s="12" t="s">
        <v>839</v>
      </c>
      <c r="W98" s="12" t="s">
        <v>3383</v>
      </c>
      <c r="X98" s="12" t="s">
        <v>841</v>
      </c>
      <c r="Y98" s="12" t="s">
        <v>841</v>
      </c>
      <c r="Z98" s="12" t="s">
        <v>841</v>
      </c>
      <c r="AA98" s="12" t="s">
        <v>3384</v>
      </c>
      <c r="AB98" s="12" t="s">
        <v>3385</v>
      </c>
      <c r="AC98" s="12" t="s">
        <v>3386</v>
      </c>
      <c r="AD98" s="12" t="s">
        <v>845</v>
      </c>
      <c r="AE98" s="12" t="s">
        <v>846</v>
      </c>
      <c r="AF98" s="43">
        <f t="shared" si="9"/>
        <v>168.918058</v>
      </c>
      <c r="AG98" s="12" t="s">
        <v>847</v>
      </c>
      <c r="AH98" s="12" t="s">
        <v>3387</v>
      </c>
      <c r="AI98" s="12" t="s">
        <v>3388</v>
      </c>
      <c r="AJ98" s="12" t="s">
        <v>3389</v>
      </c>
      <c r="AK98" s="12" t="s">
        <v>3390</v>
      </c>
      <c r="AL98" s="43">
        <f t="shared" si="10"/>
        <v>28.5</v>
      </c>
      <c r="AM98" s="12" t="s">
        <v>3283</v>
      </c>
      <c r="AN98" s="12" t="s">
        <v>914</v>
      </c>
      <c r="AO98" s="12" t="s">
        <v>3391</v>
      </c>
      <c r="AP98" s="12" t="s">
        <v>3392</v>
      </c>
      <c r="AQ98" s="12" t="s">
        <v>3393</v>
      </c>
      <c r="AR98" s="12" t="s">
        <v>3394</v>
      </c>
      <c r="AS98" s="12" t="s">
        <v>3314</v>
      </c>
      <c r="AT98" s="12" t="s">
        <v>366</v>
      </c>
      <c r="AU98" s="12" t="s">
        <v>1194</v>
      </c>
      <c r="AV98" s="12" t="s">
        <v>832</v>
      </c>
      <c r="AW98" s="12" t="s">
        <v>1047</v>
      </c>
      <c r="AX98" s="12" t="s">
        <v>1372</v>
      </c>
      <c r="AY98" s="12" t="s">
        <v>868</v>
      </c>
      <c r="AZ98" s="12" t="s">
        <v>1165</v>
      </c>
      <c r="BA98" s="12" t="s">
        <v>3395</v>
      </c>
      <c r="BB98" s="12" t="s">
        <v>868</v>
      </c>
      <c r="BC98" s="12" t="s">
        <v>866</v>
      </c>
      <c r="BD98" s="12" t="s">
        <v>867</v>
      </c>
      <c r="BE98" s="12" t="s">
        <v>868</v>
      </c>
      <c r="BF98" s="12" t="s">
        <v>869</v>
      </c>
      <c r="BG98" s="12" t="s">
        <v>870</v>
      </c>
      <c r="BH98" s="12" t="s">
        <v>841</v>
      </c>
      <c r="BI98" s="12" t="s">
        <v>871</v>
      </c>
      <c r="BJ98" s="12" t="s">
        <v>841</v>
      </c>
      <c r="BK98" s="12" t="s">
        <v>841</v>
      </c>
      <c r="BL98" s="12" t="s">
        <v>872</v>
      </c>
      <c r="BM98" s="12" t="s">
        <v>873</v>
      </c>
      <c r="BN98" s="12" t="s">
        <v>866</v>
      </c>
      <c r="BO98" s="12" t="s">
        <v>874</v>
      </c>
      <c r="BP98" s="12" t="s">
        <v>875</v>
      </c>
      <c r="BQ98" s="12" t="s">
        <v>876</v>
      </c>
      <c r="BR98" s="12" t="s">
        <v>869</v>
      </c>
      <c r="BS98" s="12" t="s">
        <v>869</v>
      </c>
      <c r="BT98" s="12" t="s">
        <v>877</v>
      </c>
      <c r="BU98" s="12" t="s">
        <v>877</v>
      </c>
      <c r="BV98" s="12" t="s">
        <v>877</v>
      </c>
      <c r="BW98" s="12" t="s">
        <v>841</v>
      </c>
      <c r="BX98" s="12" t="s">
        <v>878</v>
      </c>
      <c r="BY98" s="12" t="s">
        <v>841</v>
      </c>
      <c r="BZ98" s="12" t="s">
        <v>841</v>
      </c>
      <c r="CA98" s="12" t="s">
        <v>841</v>
      </c>
      <c r="CB98" s="12" t="s">
        <v>841</v>
      </c>
      <c r="CC98" s="12" t="s">
        <v>3396</v>
      </c>
      <c r="CD98" s="12" t="s">
        <v>3397</v>
      </c>
      <c r="CE98" s="12" t="s">
        <v>3398</v>
      </c>
      <c r="CF98" s="12" t="s">
        <v>3399</v>
      </c>
      <c r="CG98" s="12" t="s">
        <v>3400</v>
      </c>
      <c r="CH98" s="12" t="s">
        <v>3401</v>
      </c>
      <c r="CI98" s="12" t="s">
        <v>3402</v>
      </c>
      <c r="CJ98" s="12" t="s">
        <v>3403</v>
      </c>
      <c r="CK98" s="12" t="s">
        <v>3384</v>
      </c>
      <c r="CL98" s="12" t="s">
        <v>3108</v>
      </c>
      <c r="CM98" s="12" t="s">
        <v>888</v>
      </c>
      <c r="CN98" s="12" t="s">
        <v>841</v>
      </c>
      <c r="CO98" s="12" t="s">
        <v>847</v>
      </c>
      <c r="CP98" s="12" t="s">
        <v>889</v>
      </c>
      <c r="CQ98" s="12" t="s">
        <v>890</v>
      </c>
      <c r="CR98" s="12" t="s">
        <v>847</v>
      </c>
      <c r="CS98" s="12" t="s">
        <v>891</v>
      </c>
      <c r="CT98" s="12" t="s">
        <v>892</v>
      </c>
      <c r="CU98" s="12" t="s">
        <v>893</v>
      </c>
      <c r="CV98" s="12" t="s">
        <v>841</v>
      </c>
      <c r="CW98" s="12" t="s">
        <v>3383</v>
      </c>
      <c r="CX98" s="12" t="s">
        <v>894</v>
      </c>
      <c r="CY98" s="12" t="s">
        <v>895</v>
      </c>
      <c r="CZ98" s="12" t="s">
        <v>896</v>
      </c>
      <c r="DA98" s="12" t="s">
        <v>897</v>
      </c>
      <c r="DB98" s="12" t="s">
        <v>898</v>
      </c>
      <c r="DC98" s="12" t="s">
        <v>899</v>
      </c>
    </row>
    <row r="99">
      <c r="A99" s="12" t="s">
        <v>1209</v>
      </c>
      <c r="B99" s="12" t="s">
        <v>396</v>
      </c>
      <c r="C99" s="12" t="s">
        <v>366</v>
      </c>
      <c r="D99" s="12" t="s">
        <v>833</v>
      </c>
      <c r="E99" s="12" t="s">
        <v>834</v>
      </c>
      <c r="F99" s="12"/>
      <c r="G99" s="12" t="s">
        <v>338</v>
      </c>
      <c r="H99" s="12" t="s">
        <v>384</v>
      </c>
      <c r="I99" s="12"/>
      <c r="J99" s="43">
        <f t="shared" si="1"/>
        <v>0.0009671720181</v>
      </c>
      <c r="K99" s="43">
        <f t="shared" si="2"/>
        <v>2.90981592</v>
      </c>
      <c r="L99" s="43">
        <f t="shared" si="3"/>
        <v>0.0009668506538</v>
      </c>
      <c r="M99" s="43">
        <f t="shared" si="4"/>
        <v>0.02931657753</v>
      </c>
      <c r="N99" s="12" t="s">
        <v>3404</v>
      </c>
      <c r="O99" s="12" t="s">
        <v>3405</v>
      </c>
      <c r="P99" s="43">
        <f t="shared" si="5"/>
        <v>3.861716021</v>
      </c>
      <c r="Q99" s="43">
        <f t="shared" si="6"/>
        <v>2.914074021</v>
      </c>
      <c r="R99" s="12" t="s">
        <v>3406</v>
      </c>
      <c r="S99" s="12" t="s">
        <v>3407</v>
      </c>
      <c r="T99" s="43">
        <f t="shared" si="7"/>
        <v>39.20125897</v>
      </c>
      <c r="U99" s="43">
        <f t="shared" si="8"/>
        <v>0.4417875</v>
      </c>
      <c r="V99" s="12" t="s">
        <v>839</v>
      </c>
      <c r="W99" s="12" t="s">
        <v>3408</v>
      </c>
      <c r="X99" s="12" t="s">
        <v>841</v>
      </c>
      <c r="Y99" s="12" t="s">
        <v>841</v>
      </c>
      <c r="Z99" s="12" t="s">
        <v>841</v>
      </c>
      <c r="AA99" s="12" t="s">
        <v>3409</v>
      </c>
      <c r="AB99" s="12" t="s">
        <v>3410</v>
      </c>
      <c r="AC99" s="12" t="s">
        <v>3411</v>
      </c>
      <c r="AD99" s="12" t="s">
        <v>845</v>
      </c>
      <c r="AE99" s="12" t="s">
        <v>846</v>
      </c>
      <c r="AF99" s="43">
        <f t="shared" si="9"/>
        <v>12.6308688</v>
      </c>
      <c r="AG99" s="12" t="s">
        <v>847</v>
      </c>
      <c r="AH99" s="12" t="s">
        <v>3412</v>
      </c>
      <c r="AI99" s="12" t="s">
        <v>1564</v>
      </c>
      <c r="AJ99" s="12" t="s">
        <v>3413</v>
      </c>
      <c r="AK99" s="12" t="s">
        <v>3414</v>
      </c>
      <c r="AL99" s="43">
        <f t="shared" si="10"/>
        <v>28.3</v>
      </c>
      <c r="AM99" s="12" t="s">
        <v>3415</v>
      </c>
      <c r="AN99" s="12" t="s">
        <v>914</v>
      </c>
      <c r="AO99" s="12" t="s">
        <v>3416</v>
      </c>
      <c r="AP99" s="12" t="s">
        <v>3417</v>
      </c>
      <c r="AQ99" s="12" t="s">
        <v>2629</v>
      </c>
      <c r="AR99" s="12" t="s">
        <v>3394</v>
      </c>
      <c r="AS99" s="12" t="s">
        <v>3314</v>
      </c>
      <c r="AT99" s="12" t="s">
        <v>366</v>
      </c>
      <c r="AU99" s="12" t="s">
        <v>1194</v>
      </c>
      <c r="AV99" s="12" t="s">
        <v>832</v>
      </c>
      <c r="AW99" s="12" t="s">
        <v>861</v>
      </c>
      <c r="AX99" s="12" t="s">
        <v>868</v>
      </c>
      <c r="AY99" s="12" t="s">
        <v>868</v>
      </c>
      <c r="AZ99" s="12" t="s">
        <v>3418</v>
      </c>
      <c r="BA99" s="12" t="s">
        <v>868</v>
      </c>
      <c r="BB99" s="12" t="s">
        <v>868</v>
      </c>
      <c r="BC99" s="12" t="s">
        <v>866</v>
      </c>
      <c r="BD99" s="12" t="s">
        <v>867</v>
      </c>
      <c r="BE99" s="12" t="s">
        <v>868</v>
      </c>
      <c r="BF99" s="12" t="s">
        <v>869</v>
      </c>
      <c r="BG99" s="12" t="s">
        <v>870</v>
      </c>
      <c r="BH99" s="12" t="s">
        <v>841</v>
      </c>
      <c r="BI99" s="12" t="s">
        <v>871</v>
      </c>
      <c r="BJ99" s="12" t="s">
        <v>841</v>
      </c>
      <c r="BK99" s="12" t="s">
        <v>841</v>
      </c>
      <c r="BL99" s="12" t="s">
        <v>872</v>
      </c>
      <c r="BM99" s="12" t="s">
        <v>873</v>
      </c>
      <c r="BN99" s="12" t="s">
        <v>866</v>
      </c>
      <c r="BO99" s="12" t="s">
        <v>874</v>
      </c>
      <c r="BP99" s="12" t="s">
        <v>875</v>
      </c>
      <c r="BQ99" s="12" t="s">
        <v>876</v>
      </c>
      <c r="BR99" s="12" t="s">
        <v>869</v>
      </c>
      <c r="BS99" s="12" t="s">
        <v>869</v>
      </c>
      <c r="BT99" s="12" t="s">
        <v>877</v>
      </c>
      <c r="BU99" s="12" t="s">
        <v>877</v>
      </c>
      <c r="BV99" s="12" t="s">
        <v>877</v>
      </c>
      <c r="BW99" s="12" t="s">
        <v>841</v>
      </c>
      <c r="BX99" s="12" t="s">
        <v>878</v>
      </c>
      <c r="BY99" s="12" t="s">
        <v>841</v>
      </c>
      <c r="BZ99" s="12" t="s">
        <v>841</v>
      </c>
      <c r="CA99" s="12" t="s">
        <v>841</v>
      </c>
      <c r="CB99" s="12" t="s">
        <v>841</v>
      </c>
      <c r="CC99" s="12" t="s">
        <v>3419</v>
      </c>
      <c r="CD99" s="12" t="s">
        <v>3420</v>
      </c>
      <c r="CE99" s="12" t="s">
        <v>3421</v>
      </c>
      <c r="CF99" s="12" t="s">
        <v>3422</v>
      </c>
      <c r="CG99" s="12" t="s">
        <v>3423</v>
      </c>
      <c r="CH99" s="12" t="s">
        <v>3424</v>
      </c>
      <c r="CI99" s="12" t="s">
        <v>3425</v>
      </c>
      <c r="CJ99" s="12" t="s">
        <v>3426</v>
      </c>
      <c r="CK99" s="12" t="s">
        <v>3427</v>
      </c>
      <c r="CL99" s="12" t="s">
        <v>3108</v>
      </c>
      <c r="CM99" s="12" t="s">
        <v>888</v>
      </c>
      <c r="CN99" s="12" t="s">
        <v>841</v>
      </c>
      <c r="CO99" s="12" t="s">
        <v>847</v>
      </c>
      <c r="CP99" s="12" t="s">
        <v>889</v>
      </c>
      <c r="CQ99" s="12" t="s">
        <v>890</v>
      </c>
      <c r="CR99" s="12" t="s">
        <v>847</v>
      </c>
      <c r="CS99" s="12" t="s">
        <v>891</v>
      </c>
      <c r="CT99" s="12" t="s">
        <v>892</v>
      </c>
      <c r="CU99" s="12" t="s">
        <v>893</v>
      </c>
      <c r="CV99" s="12" t="s">
        <v>841</v>
      </c>
      <c r="CW99" s="12" t="s">
        <v>3408</v>
      </c>
      <c r="CX99" s="12" t="s">
        <v>894</v>
      </c>
      <c r="CY99" s="12" t="s">
        <v>895</v>
      </c>
      <c r="CZ99" s="12" t="s">
        <v>896</v>
      </c>
      <c r="DA99" s="12" t="s">
        <v>897</v>
      </c>
      <c r="DB99" s="12" t="s">
        <v>898</v>
      </c>
      <c r="DC99" s="12" t="s">
        <v>899</v>
      </c>
    </row>
    <row r="100">
      <c r="A100" s="12" t="s">
        <v>832</v>
      </c>
      <c r="B100" s="12" t="s">
        <v>398</v>
      </c>
      <c r="C100" s="12" t="s">
        <v>366</v>
      </c>
      <c r="D100" s="12" t="s">
        <v>833</v>
      </c>
      <c r="E100" s="12" t="s">
        <v>834</v>
      </c>
      <c r="F100" s="12"/>
      <c r="G100" s="12" t="s">
        <v>338</v>
      </c>
      <c r="H100" s="12" t="s">
        <v>397</v>
      </c>
      <c r="I100" s="12"/>
      <c r="J100" s="43">
        <f t="shared" si="1"/>
        <v>-0.1484062585</v>
      </c>
      <c r="K100" s="43">
        <f t="shared" si="2"/>
        <v>2.90981592</v>
      </c>
      <c r="L100" s="43">
        <f t="shared" si="3"/>
        <v>-0.1563820463</v>
      </c>
      <c r="M100" s="43">
        <f t="shared" si="4"/>
        <v>-4.540496259</v>
      </c>
      <c r="N100" s="12" t="s">
        <v>3428</v>
      </c>
      <c r="O100" s="12" t="s">
        <v>3429</v>
      </c>
      <c r="P100" s="43">
        <f t="shared" si="5"/>
        <v>3.6662582</v>
      </c>
      <c r="Q100" s="43">
        <f t="shared" si="6"/>
        <v>2.7934452</v>
      </c>
      <c r="R100" s="12" t="s">
        <v>3430</v>
      </c>
      <c r="S100" s="12" t="s">
        <v>3431</v>
      </c>
      <c r="T100" s="43">
        <f t="shared" si="7"/>
        <v>37.22845451</v>
      </c>
      <c r="U100" s="43">
        <f t="shared" si="8"/>
        <v>0.4417875</v>
      </c>
      <c r="V100" s="12" t="s">
        <v>839</v>
      </c>
      <c r="W100" s="12" t="s">
        <v>3432</v>
      </c>
      <c r="X100" s="12" t="s">
        <v>841</v>
      </c>
      <c r="Y100" s="12" t="s">
        <v>841</v>
      </c>
      <c r="Z100" s="12" t="s">
        <v>841</v>
      </c>
      <c r="AA100" s="12" t="s">
        <v>3433</v>
      </c>
      <c r="AB100" s="12" t="s">
        <v>3434</v>
      </c>
      <c r="AC100" s="12" t="s">
        <v>3435</v>
      </c>
      <c r="AD100" s="12" t="s">
        <v>845</v>
      </c>
      <c r="AE100" s="12" t="s">
        <v>846</v>
      </c>
      <c r="AF100" s="43">
        <f t="shared" si="9"/>
        <v>2.5736172</v>
      </c>
      <c r="AG100" s="12" t="s">
        <v>847</v>
      </c>
      <c r="AH100" s="12" t="s">
        <v>3436</v>
      </c>
      <c r="AI100" s="12" t="s">
        <v>3437</v>
      </c>
      <c r="AJ100" s="12" t="s">
        <v>3438</v>
      </c>
      <c r="AK100" s="12" t="s">
        <v>3439</v>
      </c>
      <c r="AL100" s="43">
        <f t="shared" si="10"/>
        <v>27.41</v>
      </c>
      <c r="AM100" s="12" t="s">
        <v>3036</v>
      </c>
      <c r="AN100" s="12" t="s">
        <v>914</v>
      </c>
      <c r="AO100" s="12" t="s">
        <v>3440</v>
      </c>
      <c r="AP100" s="12" t="s">
        <v>3441</v>
      </c>
      <c r="AQ100" s="12" t="s">
        <v>1177</v>
      </c>
      <c r="AR100" s="12" t="s">
        <v>3442</v>
      </c>
      <c r="AS100" s="12" t="s">
        <v>3443</v>
      </c>
      <c r="AT100" s="12" t="s">
        <v>366</v>
      </c>
      <c r="AU100" s="12" t="s">
        <v>3444</v>
      </c>
      <c r="AV100" s="12" t="s">
        <v>832</v>
      </c>
      <c r="AW100" s="12" t="s">
        <v>1287</v>
      </c>
      <c r="AX100" s="12" t="s">
        <v>1598</v>
      </c>
      <c r="AY100" s="12" t="s">
        <v>1457</v>
      </c>
      <c r="AZ100" s="12" t="s">
        <v>3445</v>
      </c>
      <c r="BA100" s="12" t="s">
        <v>3446</v>
      </c>
      <c r="BB100" s="12" t="s">
        <v>3447</v>
      </c>
      <c r="BC100" s="12" t="s">
        <v>866</v>
      </c>
      <c r="BD100" s="12" t="s">
        <v>867</v>
      </c>
      <c r="BE100" s="12" t="s">
        <v>868</v>
      </c>
      <c r="BF100" s="12" t="s">
        <v>869</v>
      </c>
      <c r="BG100" s="12" t="s">
        <v>870</v>
      </c>
      <c r="BH100" s="12" t="s">
        <v>841</v>
      </c>
      <c r="BI100" s="12" t="s">
        <v>871</v>
      </c>
      <c r="BJ100" s="12" t="s">
        <v>841</v>
      </c>
      <c r="BK100" s="12" t="s">
        <v>841</v>
      </c>
      <c r="BL100" s="12" t="s">
        <v>872</v>
      </c>
      <c r="BM100" s="12" t="s">
        <v>873</v>
      </c>
      <c r="BN100" s="12" t="s">
        <v>866</v>
      </c>
      <c r="BO100" s="12" t="s">
        <v>874</v>
      </c>
      <c r="BP100" s="12" t="s">
        <v>875</v>
      </c>
      <c r="BQ100" s="12" t="s">
        <v>876</v>
      </c>
      <c r="BR100" s="12" t="s">
        <v>869</v>
      </c>
      <c r="BS100" s="12" t="s">
        <v>869</v>
      </c>
      <c r="BT100" s="12" t="s">
        <v>877</v>
      </c>
      <c r="BU100" s="12" t="s">
        <v>877</v>
      </c>
      <c r="BV100" s="12" t="s">
        <v>877</v>
      </c>
      <c r="BW100" s="12" t="s">
        <v>841</v>
      </c>
      <c r="BX100" s="12" t="s">
        <v>878</v>
      </c>
      <c r="BY100" s="12" t="s">
        <v>841</v>
      </c>
      <c r="BZ100" s="12" t="s">
        <v>841</v>
      </c>
      <c r="CA100" s="12" t="s">
        <v>841</v>
      </c>
      <c r="CB100" s="12" t="s">
        <v>841</v>
      </c>
      <c r="CC100" s="12" t="s">
        <v>3448</v>
      </c>
      <c r="CD100" s="12" t="s">
        <v>3449</v>
      </c>
      <c r="CE100" s="12" t="s">
        <v>3450</v>
      </c>
      <c r="CF100" s="12" t="s">
        <v>3451</v>
      </c>
      <c r="CG100" s="12" t="s">
        <v>3452</v>
      </c>
      <c r="CH100" s="12" t="s">
        <v>3453</v>
      </c>
      <c r="CI100" s="12" t="s">
        <v>3454</v>
      </c>
      <c r="CJ100" s="12" t="s">
        <v>3455</v>
      </c>
      <c r="CK100" s="12" t="s">
        <v>3433</v>
      </c>
      <c r="CL100" s="12" t="s">
        <v>1057</v>
      </c>
      <c r="CM100" s="12" t="s">
        <v>888</v>
      </c>
      <c r="CN100" s="12" t="s">
        <v>841</v>
      </c>
      <c r="CO100" s="12" t="s">
        <v>847</v>
      </c>
      <c r="CP100" s="12" t="s">
        <v>889</v>
      </c>
      <c r="CQ100" s="12" t="s">
        <v>890</v>
      </c>
      <c r="CR100" s="12" t="s">
        <v>847</v>
      </c>
      <c r="CS100" s="12" t="s">
        <v>891</v>
      </c>
      <c r="CT100" s="12" t="s">
        <v>892</v>
      </c>
      <c r="CU100" s="12" t="s">
        <v>893</v>
      </c>
      <c r="CV100" s="12" t="s">
        <v>841</v>
      </c>
      <c r="CW100" s="12" t="s">
        <v>3432</v>
      </c>
      <c r="CX100" s="12" t="s">
        <v>894</v>
      </c>
      <c r="CY100" s="12" t="s">
        <v>895</v>
      </c>
      <c r="CZ100" s="12" t="s">
        <v>896</v>
      </c>
      <c r="DA100" s="12" t="s">
        <v>897</v>
      </c>
      <c r="DB100" s="12" t="s">
        <v>898</v>
      </c>
      <c r="DC100" s="12" t="s">
        <v>899</v>
      </c>
    </row>
    <row r="101">
      <c r="A101" s="12" t="s">
        <v>900</v>
      </c>
      <c r="B101" s="12" t="s">
        <v>400</v>
      </c>
      <c r="C101" s="12" t="s">
        <v>366</v>
      </c>
      <c r="D101" s="12" t="s">
        <v>833</v>
      </c>
      <c r="E101" s="12" t="s">
        <v>834</v>
      </c>
      <c r="F101" s="12"/>
      <c r="G101" s="12" t="s">
        <v>338</v>
      </c>
      <c r="H101" s="12" t="s">
        <v>397</v>
      </c>
      <c r="I101" s="12"/>
      <c r="J101" s="43">
        <f t="shared" si="1"/>
        <v>-0.03121942378</v>
      </c>
      <c r="K101" s="43">
        <f t="shared" si="2"/>
        <v>2.91060848</v>
      </c>
      <c r="L101" s="43">
        <f t="shared" si="3"/>
        <v>-0.03155791657</v>
      </c>
      <c r="M101" s="43">
        <f t="shared" si="4"/>
        <v>-0.8983983322</v>
      </c>
      <c r="N101" s="12" t="s">
        <v>3456</v>
      </c>
      <c r="O101" s="12" t="s">
        <v>3457</v>
      </c>
      <c r="P101" s="43">
        <f t="shared" si="5"/>
        <v>3.768373419</v>
      </c>
      <c r="Q101" s="43">
        <f t="shared" si="6"/>
        <v>2.735172419</v>
      </c>
      <c r="R101" s="12" t="s">
        <v>3458</v>
      </c>
      <c r="S101" s="12" t="s">
        <v>3459</v>
      </c>
      <c r="T101" s="43">
        <f t="shared" si="7"/>
        <v>38.26536778</v>
      </c>
      <c r="U101" s="43">
        <f t="shared" si="8"/>
        <v>0.4417875</v>
      </c>
      <c r="V101" s="12" t="s">
        <v>839</v>
      </c>
      <c r="W101" s="12" t="s">
        <v>3460</v>
      </c>
      <c r="X101" s="12" t="s">
        <v>841</v>
      </c>
      <c r="Y101" s="12" t="s">
        <v>841</v>
      </c>
      <c r="Z101" s="12" t="s">
        <v>841</v>
      </c>
      <c r="AA101" s="12" t="s">
        <v>3461</v>
      </c>
      <c r="AB101" s="12" t="s">
        <v>3462</v>
      </c>
      <c r="AC101" s="12" t="s">
        <v>3463</v>
      </c>
      <c r="AD101" s="12" t="s">
        <v>845</v>
      </c>
      <c r="AE101" s="12" t="s">
        <v>846</v>
      </c>
      <c r="AF101" s="43">
        <f t="shared" si="9"/>
        <v>2.79091</v>
      </c>
      <c r="AG101" s="12" t="s">
        <v>847</v>
      </c>
      <c r="AH101" s="12" t="s">
        <v>3464</v>
      </c>
      <c r="AI101" s="12" t="s">
        <v>3465</v>
      </c>
      <c r="AJ101" s="12" t="s">
        <v>3466</v>
      </c>
      <c r="AK101" s="12" t="s">
        <v>3309</v>
      </c>
      <c r="AL101" s="43">
        <f t="shared" si="10"/>
        <v>27.88</v>
      </c>
      <c r="AM101" s="12" t="s">
        <v>3036</v>
      </c>
      <c r="AN101" s="12" t="s">
        <v>1159</v>
      </c>
      <c r="AO101" s="12" t="s">
        <v>2775</v>
      </c>
      <c r="AP101" s="12" t="s">
        <v>2776</v>
      </c>
      <c r="AQ101" s="12" t="s">
        <v>1767</v>
      </c>
      <c r="AR101" s="12" t="s">
        <v>3367</v>
      </c>
      <c r="AS101" s="12" t="s">
        <v>3443</v>
      </c>
      <c r="AT101" s="12" t="s">
        <v>366</v>
      </c>
      <c r="AU101" s="12" t="s">
        <v>3444</v>
      </c>
      <c r="AV101" s="12" t="s">
        <v>832</v>
      </c>
      <c r="AW101" s="12" t="s">
        <v>860</v>
      </c>
      <c r="AX101" s="12" t="s">
        <v>923</v>
      </c>
      <c r="AY101" s="12" t="s">
        <v>868</v>
      </c>
      <c r="AZ101" s="12" t="s">
        <v>3467</v>
      </c>
      <c r="BA101" s="12" t="s">
        <v>3468</v>
      </c>
      <c r="BB101" s="12" t="s">
        <v>868</v>
      </c>
      <c r="BC101" s="12" t="s">
        <v>866</v>
      </c>
      <c r="BD101" s="12" t="s">
        <v>867</v>
      </c>
      <c r="BE101" s="12" t="s">
        <v>868</v>
      </c>
      <c r="BF101" s="12" t="s">
        <v>869</v>
      </c>
      <c r="BG101" s="12" t="s">
        <v>870</v>
      </c>
      <c r="BH101" s="12" t="s">
        <v>841</v>
      </c>
      <c r="BI101" s="12" t="s">
        <v>871</v>
      </c>
      <c r="BJ101" s="12" t="s">
        <v>841</v>
      </c>
      <c r="BK101" s="12" t="s">
        <v>841</v>
      </c>
      <c r="BL101" s="12" t="s">
        <v>872</v>
      </c>
      <c r="BM101" s="12" t="s">
        <v>873</v>
      </c>
      <c r="BN101" s="12" t="s">
        <v>866</v>
      </c>
      <c r="BO101" s="12" t="s">
        <v>874</v>
      </c>
      <c r="BP101" s="12" t="s">
        <v>875</v>
      </c>
      <c r="BQ101" s="12" t="s">
        <v>876</v>
      </c>
      <c r="BR101" s="12" t="s">
        <v>869</v>
      </c>
      <c r="BS101" s="12" t="s">
        <v>869</v>
      </c>
      <c r="BT101" s="12" t="s">
        <v>877</v>
      </c>
      <c r="BU101" s="12" t="s">
        <v>877</v>
      </c>
      <c r="BV101" s="12" t="s">
        <v>877</v>
      </c>
      <c r="BW101" s="12" t="s">
        <v>841</v>
      </c>
      <c r="BX101" s="12" t="s">
        <v>878</v>
      </c>
      <c r="BY101" s="12" t="s">
        <v>841</v>
      </c>
      <c r="BZ101" s="12" t="s">
        <v>841</v>
      </c>
      <c r="CA101" s="12" t="s">
        <v>841</v>
      </c>
      <c r="CB101" s="12" t="s">
        <v>841</v>
      </c>
      <c r="CC101" s="12" t="s">
        <v>3469</v>
      </c>
      <c r="CD101" s="12" t="s">
        <v>3470</v>
      </c>
      <c r="CE101" s="12" t="s">
        <v>3471</v>
      </c>
      <c r="CF101" s="12" t="s">
        <v>3472</v>
      </c>
      <c r="CG101" s="12" t="s">
        <v>3473</v>
      </c>
      <c r="CH101" s="12" t="s">
        <v>3474</v>
      </c>
      <c r="CI101" s="12" t="s">
        <v>3475</v>
      </c>
      <c r="CJ101" s="12" t="s">
        <v>3476</v>
      </c>
      <c r="CK101" s="12" t="s">
        <v>3461</v>
      </c>
      <c r="CL101" s="12" t="s">
        <v>1496</v>
      </c>
      <c r="CM101" s="12" t="s">
        <v>888</v>
      </c>
      <c r="CN101" s="12" t="s">
        <v>841</v>
      </c>
      <c r="CO101" s="12" t="s">
        <v>847</v>
      </c>
      <c r="CP101" s="12" t="s">
        <v>889</v>
      </c>
      <c r="CQ101" s="12" t="s">
        <v>890</v>
      </c>
      <c r="CR101" s="12" t="s">
        <v>847</v>
      </c>
      <c r="CS101" s="12" t="s">
        <v>891</v>
      </c>
      <c r="CT101" s="12" t="s">
        <v>892</v>
      </c>
      <c r="CU101" s="12" t="s">
        <v>893</v>
      </c>
      <c r="CV101" s="12" t="s">
        <v>841</v>
      </c>
      <c r="CW101" s="12" t="s">
        <v>3460</v>
      </c>
      <c r="CX101" s="12" t="s">
        <v>894</v>
      </c>
      <c r="CY101" s="12" t="s">
        <v>895</v>
      </c>
      <c r="CZ101" s="12" t="s">
        <v>896</v>
      </c>
      <c r="DA101" s="12" t="s">
        <v>897</v>
      </c>
      <c r="DB101" s="12" t="s">
        <v>898</v>
      </c>
      <c r="DC101" s="12" t="s">
        <v>899</v>
      </c>
    </row>
    <row r="102">
      <c r="A102" s="12" t="s">
        <v>934</v>
      </c>
      <c r="B102" s="12" t="s">
        <v>401</v>
      </c>
      <c r="C102" s="12" t="s">
        <v>366</v>
      </c>
      <c r="D102" s="12" t="s">
        <v>833</v>
      </c>
      <c r="E102" s="12" t="s">
        <v>834</v>
      </c>
      <c r="F102" s="12"/>
      <c r="G102" s="12" t="s">
        <v>338</v>
      </c>
      <c r="H102" s="12" t="s">
        <v>397</v>
      </c>
      <c r="I102" s="12"/>
      <c r="J102" s="43">
        <f t="shared" si="1"/>
        <v>0.04123313925</v>
      </c>
      <c r="K102" s="43">
        <f t="shared" si="2"/>
        <v>2.909022</v>
      </c>
      <c r="L102" s="43">
        <f t="shared" si="3"/>
        <v>0.04065685967</v>
      </c>
      <c r="M102" s="43">
        <f t="shared" si="4"/>
        <v>1.032888794</v>
      </c>
      <c r="N102" s="12" t="s">
        <v>3477</v>
      </c>
      <c r="O102" s="12" t="s">
        <v>3478</v>
      </c>
      <c r="P102" s="43">
        <f t="shared" si="5"/>
        <v>3.535251905</v>
      </c>
      <c r="Q102" s="43">
        <f t="shared" si="6"/>
        <v>2.443124905</v>
      </c>
      <c r="R102" s="12" t="s">
        <v>3479</v>
      </c>
      <c r="S102" s="12" t="s">
        <v>3480</v>
      </c>
      <c r="T102" s="43">
        <f t="shared" si="7"/>
        <v>35.89817126</v>
      </c>
      <c r="U102" s="43">
        <f t="shared" si="8"/>
        <v>0.4417875</v>
      </c>
      <c r="V102" s="12" t="s">
        <v>839</v>
      </c>
      <c r="W102" s="12" t="s">
        <v>3481</v>
      </c>
      <c r="X102" s="12" t="s">
        <v>841</v>
      </c>
      <c r="Y102" s="12" t="s">
        <v>841</v>
      </c>
      <c r="Z102" s="12" t="s">
        <v>841</v>
      </c>
      <c r="AA102" s="12" t="s">
        <v>3482</v>
      </c>
      <c r="AB102" s="12" t="s">
        <v>3483</v>
      </c>
      <c r="AC102" s="12" t="s">
        <v>3484</v>
      </c>
      <c r="AD102" s="12" t="s">
        <v>845</v>
      </c>
      <c r="AE102" s="12" t="s">
        <v>846</v>
      </c>
      <c r="AF102" s="43">
        <f t="shared" si="9"/>
        <v>6.65768</v>
      </c>
      <c r="AG102" s="12" t="s">
        <v>847</v>
      </c>
      <c r="AH102" s="12" t="s">
        <v>3485</v>
      </c>
      <c r="AI102" s="12" t="s">
        <v>3486</v>
      </c>
      <c r="AJ102" s="12" t="s">
        <v>3487</v>
      </c>
      <c r="AK102" s="12" t="s">
        <v>3488</v>
      </c>
      <c r="AL102" s="43">
        <f t="shared" si="10"/>
        <v>26.79</v>
      </c>
      <c r="AM102" s="12" t="s">
        <v>3036</v>
      </c>
      <c r="AN102" s="12" t="s">
        <v>1072</v>
      </c>
      <c r="AO102" s="12" t="s">
        <v>3489</v>
      </c>
      <c r="AP102" s="12" t="s">
        <v>3490</v>
      </c>
      <c r="AQ102" s="12" t="s">
        <v>1919</v>
      </c>
      <c r="AR102" s="12" t="s">
        <v>3491</v>
      </c>
      <c r="AS102" s="12" t="s">
        <v>3443</v>
      </c>
      <c r="AT102" s="12" t="s">
        <v>366</v>
      </c>
      <c r="AU102" s="12" t="s">
        <v>3444</v>
      </c>
      <c r="AV102" s="12" t="s">
        <v>832</v>
      </c>
      <c r="AW102" s="12" t="s">
        <v>923</v>
      </c>
      <c r="AX102" s="12" t="s">
        <v>868</v>
      </c>
      <c r="AY102" s="12" t="s">
        <v>868</v>
      </c>
      <c r="AZ102" s="12" t="s">
        <v>3492</v>
      </c>
      <c r="BA102" s="12" t="s">
        <v>868</v>
      </c>
      <c r="BB102" s="12" t="s">
        <v>868</v>
      </c>
      <c r="BC102" s="12" t="s">
        <v>866</v>
      </c>
      <c r="BD102" s="12" t="s">
        <v>867</v>
      </c>
      <c r="BE102" s="12" t="s">
        <v>868</v>
      </c>
      <c r="BF102" s="12" t="s">
        <v>869</v>
      </c>
      <c r="BG102" s="12" t="s">
        <v>870</v>
      </c>
      <c r="BH102" s="12" t="s">
        <v>841</v>
      </c>
      <c r="BI102" s="12" t="s">
        <v>871</v>
      </c>
      <c r="BJ102" s="12" t="s">
        <v>841</v>
      </c>
      <c r="BK102" s="12" t="s">
        <v>841</v>
      </c>
      <c r="BL102" s="12" t="s">
        <v>872</v>
      </c>
      <c r="BM102" s="12" t="s">
        <v>873</v>
      </c>
      <c r="BN102" s="12" t="s">
        <v>866</v>
      </c>
      <c r="BO102" s="12" t="s">
        <v>874</v>
      </c>
      <c r="BP102" s="12" t="s">
        <v>875</v>
      </c>
      <c r="BQ102" s="12" t="s">
        <v>876</v>
      </c>
      <c r="BR102" s="12" t="s">
        <v>869</v>
      </c>
      <c r="BS102" s="12" t="s">
        <v>869</v>
      </c>
      <c r="BT102" s="12" t="s">
        <v>877</v>
      </c>
      <c r="BU102" s="12" t="s">
        <v>877</v>
      </c>
      <c r="BV102" s="12" t="s">
        <v>877</v>
      </c>
      <c r="BW102" s="12" t="s">
        <v>841</v>
      </c>
      <c r="BX102" s="12" t="s">
        <v>878</v>
      </c>
      <c r="BY102" s="12" t="s">
        <v>841</v>
      </c>
      <c r="BZ102" s="12" t="s">
        <v>841</v>
      </c>
      <c r="CA102" s="12" t="s">
        <v>841</v>
      </c>
      <c r="CB102" s="12" t="s">
        <v>841</v>
      </c>
      <c r="CC102" s="12" t="s">
        <v>3493</v>
      </c>
      <c r="CD102" s="12" t="s">
        <v>3494</v>
      </c>
      <c r="CE102" s="12" t="s">
        <v>3495</v>
      </c>
      <c r="CF102" s="12" t="s">
        <v>3496</v>
      </c>
      <c r="CG102" s="12" t="s">
        <v>3497</v>
      </c>
      <c r="CH102" s="12" t="s">
        <v>3498</v>
      </c>
      <c r="CI102" s="12" t="s">
        <v>3499</v>
      </c>
      <c r="CJ102" s="12" t="s">
        <v>3500</v>
      </c>
      <c r="CK102" s="12" t="s">
        <v>3482</v>
      </c>
      <c r="CL102" s="12" t="s">
        <v>2231</v>
      </c>
      <c r="CM102" s="12" t="s">
        <v>888</v>
      </c>
      <c r="CN102" s="12" t="s">
        <v>841</v>
      </c>
      <c r="CO102" s="12" t="s">
        <v>847</v>
      </c>
      <c r="CP102" s="12" t="s">
        <v>889</v>
      </c>
      <c r="CQ102" s="12" t="s">
        <v>890</v>
      </c>
      <c r="CR102" s="12" t="s">
        <v>847</v>
      </c>
      <c r="CS102" s="12" t="s">
        <v>891</v>
      </c>
      <c r="CT102" s="12" t="s">
        <v>892</v>
      </c>
      <c r="CU102" s="12" t="s">
        <v>893</v>
      </c>
      <c r="CV102" s="12" t="s">
        <v>841</v>
      </c>
      <c r="CW102" s="12" t="s">
        <v>3481</v>
      </c>
      <c r="CX102" s="12" t="s">
        <v>894</v>
      </c>
      <c r="CY102" s="12" t="s">
        <v>895</v>
      </c>
      <c r="CZ102" s="12" t="s">
        <v>896</v>
      </c>
      <c r="DA102" s="12" t="s">
        <v>897</v>
      </c>
      <c r="DB102" s="12" t="s">
        <v>898</v>
      </c>
      <c r="DC102" s="12" t="s">
        <v>899</v>
      </c>
    </row>
    <row r="103">
      <c r="A103" s="12" t="s">
        <v>968</v>
      </c>
      <c r="B103" s="12" t="s">
        <v>405</v>
      </c>
      <c r="C103" s="12" t="s">
        <v>366</v>
      </c>
      <c r="D103" s="12" t="s">
        <v>833</v>
      </c>
      <c r="E103" s="12" t="s">
        <v>834</v>
      </c>
      <c r="F103" s="12"/>
      <c r="G103" s="12" t="s">
        <v>338</v>
      </c>
      <c r="H103" s="12" t="s">
        <v>404</v>
      </c>
      <c r="I103" s="12"/>
      <c r="J103" s="43">
        <f t="shared" si="1"/>
        <v>0.02284466681</v>
      </c>
      <c r="K103" s="43">
        <f t="shared" si="2"/>
        <v>2.909022</v>
      </c>
      <c r="L103" s="43">
        <f t="shared" si="3"/>
        <v>0.02266666458</v>
      </c>
      <c r="M103" s="43">
        <f t="shared" si="4"/>
        <v>0.5400401779</v>
      </c>
      <c r="N103" s="12" t="s">
        <v>3501</v>
      </c>
      <c r="O103" s="12" t="s">
        <v>3502</v>
      </c>
      <c r="P103" s="43">
        <f t="shared" si="5"/>
        <v>3.382253338</v>
      </c>
      <c r="Q103" s="43">
        <f t="shared" si="6"/>
        <v>2.292605338</v>
      </c>
      <c r="R103" s="12" t="s">
        <v>3503</v>
      </c>
      <c r="S103" s="12" t="s">
        <v>3504</v>
      </c>
      <c r="T103" s="43">
        <f t="shared" si="7"/>
        <v>34.35154721</v>
      </c>
      <c r="U103" s="43">
        <f t="shared" si="8"/>
        <v>0.4417875</v>
      </c>
      <c r="V103" s="12" t="s">
        <v>839</v>
      </c>
      <c r="W103" s="12" t="s">
        <v>3505</v>
      </c>
      <c r="X103" s="12" t="s">
        <v>841</v>
      </c>
      <c r="Y103" s="12" t="s">
        <v>841</v>
      </c>
      <c r="Z103" s="12" t="s">
        <v>841</v>
      </c>
      <c r="AA103" s="12" t="s">
        <v>3506</v>
      </c>
      <c r="AB103" s="12" t="s">
        <v>3507</v>
      </c>
      <c r="AC103" s="12" t="s">
        <v>3508</v>
      </c>
      <c r="AD103" s="12" t="s">
        <v>845</v>
      </c>
      <c r="AE103" s="12" t="s">
        <v>846</v>
      </c>
      <c r="AF103" s="43">
        <f t="shared" si="9"/>
        <v>3.1844076</v>
      </c>
      <c r="AG103" s="12" t="s">
        <v>847</v>
      </c>
      <c r="AH103" s="12" t="s">
        <v>3509</v>
      </c>
      <c r="AI103" s="12" t="s">
        <v>3510</v>
      </c>
      <c r="AJ103" s="12" t="s">
        <v>3511</v>
      </c>
      <c r="AK103" s="12" t="s">
        <v>3512</v>
      </c>
      <c r="AL103" s="43">
        <f t="shared" si="10"/>
        <v>26.04</v>
      </c>
      <c r="AM103" s="12" t="s">
        <v>3251</v>
      </c>
      <c r="AN103" s="12" t="s">
        <v>1072</v>
      </c>
      <c r="AO103" s="12" t="s">
        <v>3201</v>
      </c>
      <c r="AP103" s="12" t="s">
        <v>3513</v>
      </c>
      <c r="AQ103" s="12" t="s">
        <v>1177</v>
      </c>
      <c r="AR103" s="12" t="s">
        <v>3514</v>
      </c>
      <c r="AS103" s="12" t="s">
        <v>3443</v>
      </c>
      <c r="AT103" s="12" t="s">
        <v>366</v>
      </c>
      <c r="AU103" s="12" t="s">
        <v>3444</v>
      </c>
      <c r="AV103" s="12" t="s">
        <v>832</v>
      </c>
      <c r="AW103" s="12" t="s">
        <v>860</v>
      </c>
      <c r="AX103" s="12" t="s">
        <v>953</v>
      </c>
      <c r="AY103" s="12" t="s">
        <v>1080</v>
      </c>
      <c r="AZ103" s="12" t="s">
        <v>3515</v>
      </c>
      <c r="BA103" s="12" t="s">
        <v>3516</v>
      </c>
      <c r="BB103" s="12" t="s">
        <v>3517</v>
      </c>
      <c r="BC103" s="12" t="s">
        <v>866</v>
      </c>
      <c r="BD103" s="12" t="s">
        <v>867</v>
      </c>
      <c r="BE103" s="12" t="s">
        <v>868</v>
      </c>
      <c r="BF103" s="12" t="s">
        <v>869</v>
      </c>
      <c r="BG103" s="12" t="s">
        <v>870</v>
      </c>
      <c r="BH103" s="12" t="s">
        <v>841</v>
      </c>
      <c r="BI103" s="12" t="s">
        <v>871</v>
      </c>
      <c r="BJ103" s="12" t="s">
        <v>841</v>
      </c>
      <c r="BK103" s="12" t="s">
        <v>841</v>
      </c>
      <c r="BL103" s="12" t="s">
        <v>872</v>
      </c>
      <c r="BM103" s="12" t="s">
        <v>873</v>
      </c>
      <c r="BN103" s="12" t="s">
        <v>866</v>
      </c>
      <c r="BO103" s="12" t="s">
        <v>874</v>
      </c>
      <c r="BP103" s="12" t="s">
        <v>875</v>
      </c>
      <c r="BQ103" s="12" t="s">
        <v>876</v>
      </c>
      <c r="BR103" s="12" t="s">
        <v>869</v>
      </c>
      <c r="BS103" s="12" t="s">
        <v>869</v>
      </c>
      <c r="BT103" s="12" t="s">
        <v>877</v>
      </c>
      <c r="BU103" s="12" t="s">
        <v>877</v>
      </c>
      <c r="BV103" s="12" t="s">
        <v>877</v>
      </c>
      <c r="BW103" s="12" t="s">
        <v>841</v>
      </c>
      <c r="BX103" s="12" t="s">
        <v>878</v>
      </c>
      <c r="BY103" s="12" t="s">
        <v>841</v>
      </c>
      <c r="BZ103" s="12" t="s">
        <v>841</v>
      </c>
      <c r="CA103" s="12" t="s">
        <v>841</v>
      </c>
      <c r="CB103" s="12" t="s">
        <v>841</v>
      </c>
      <c r="CC103" s="12" t="s">
        <v>3518</v>
      </c>
      <c r="CD103" s="12" t="s">
        <v>3519</v>
      </c>
      <c r="CE103" s="12" t="s">
        <v>3520</v>
      </c>
      <c r="CF103" s="12" t="s">
        <v>3521</v>
      </c>
      <c r="CG103" s="12" t="s">
        <v>3522</v>
      </c>
      <c r="CH103" s="12" t="s">
        <v>3523</v>
      </c>
      <c r="CI103" s="12" t="s">
        <v>3524</v>
      </c>
      <c r="CJ103" s="12" t="s">
        <v>3525</v>
      </c>
      <c r="CK103" s="12" t="s">
        <v>3506</v>
      </c>
      <c r="CL103" s="12" t="s">
        <v>996</v>
      </c>
      <c r="CM103" s="12" t="s">
        <v>888</v>
      </c>
      <c r="CN103" s="12" t="s">
        <v>841</v>
      </c>
      <c r="CO103" s="12" t="s">
        <v>847</v>
      </c>
      <c r="CP103" s="12" t="s">
        <v>889</v>
      </c>
      <c r="CQ103" s="12" t="s">
        <v>890</v>
      </c>
      <c r="CR103" s="12" t="s">
        <v>847</v>
      </c>
      <c r="CS103" s="12" t="s">
        <v>891</v>
      </c>
      <c r="CT103" s="12" t="s">
        <v>892</v>
      </c>
      <c r="CU103" s="12" t="s">
        <v>893</v>
      </c>
      <c r="CV103" s="12" t="s">
        <v>841</v>
      </c>
      <c r="CW103" s="12" t="s">
        <v>3505</v>
      </c>
      <c r="CX103" s="12" t="s">
        <v>894</v>
      </c>
      <c r="CY103" s="12" t="s">
        <v>895</v>
      </c>
      <c r="CZ103" s="12" t="s">
        <v>896</v>
      </c>
      <c r="DA103" s="12" t="s">
        <v>897</v>
      </c>
      <c r="DB103" s="12" t="s">
        <v>898</v>
      </c>
      <c r="DC103" s="12" t="s">
        <v>899</v>
      </c>
    </row>
    <row r="104">
      <c r="A104" s="12" t="s">
        <v>997</v>
      </c>
      <c r="B104" s="12" t="s">
        <v>406</v>
      </c>
      <c r="C104" s="12" t="s">
        <v>366</v>
      </c>
      <c r="D104" s="12" t="s">
        <v>833</v>
      </c>
      <c r="E104" s="12" t="s">
        <v>834</v>
      </c>
      <c r="F104" s="12"/>
      <c r="G104" s="12" t="s">
        <v>338</v>
      </c>
      <c r="H104" s="12" t="s">
        <v>404</v>
      </c>
      <c r="I104" s="12"/>
      <c r="J104" s="43">
        <f t="shared" si="1"/>
        <v>0.04758501148</v>
      </c>
      <c r="K104" s="43">
        <f t="shared" si="2"/>
        <v>2.91060848</v>
      </c>
      <c r="L104" s="43">
        <f t="shared" si="3"/>
        <v>0.04681956685</v>
      </c>
      <c r="M104" s="43">
        <f t="shared" si="4"/>
        <v>1.192362536</v>
      </c>
      <c r="N104" s="12" t="s">
        <v>3526</v>
      </c>
      <c r="O104" s="12" t="s">
        <v>3527</v>
      </c>
      <c r="P104" s="43">
        <f t="shared" si="5"/>
        <v>3.602348419</v>
      </c>
      <c r="Q104" s="43">
        <f t="shared" si="6"/>
        <v>2.446628419</v>
      </c>
      <c r="R104" s="12" t="s">
        <v>3528</v>
      </c>
      <c r="S104" s="12" t="s">
        <v>3529</v>
      </c>
      <c r="T104" s="43">
        <f t="shared" si="7"/>
        <v>36.5906391</v>
      </c>
      <c r="U104" s="43">
        <f t="shared" si="8"/>
        <v>0.4417875</v>
      </c>
      <c r="V104" s="12" t="s">
        <v>839</v>
      </c>
      <c r="W104" s="12" t="s">
        <v>3530</v>
      </c>
      <c r="X104" s="12" t="s">
        <v>841</v>
      </c>
      <c r="Y104" s="12" t="s">
        <v>841</v>
      </c>
      <c r="Z104" s="12" t="s">
        <v>841</v>
      </c>
      <c r="AA104" s="12" t="s">
        <v>3531</v>
      </c>
      <c r="AB104" s="12" t="s">
        <v>3532</v>
      </c>
      <c r="AC104" s="12" t="s">
        <v>3533</v>
      </c>
      <c r="AD104" s="12" t="s">
        <v>845</v>
      </c>
      <c r="AE104" s="12" t="s">
        <v>846</v>
      </c>
      <c r="AF104" s="43">
        <f t="shared" si="9"/>
        <v>1.7032152</v>
      </c>
      <c r="AG104" s="12" t="s">
        <v>847</v>
      </c>
      <c r="AH104" s="12" t="s">
        <v>3534</v>
      </c>
      <c r="AI104" s="12" t="s">
        <v>3535</v>
      </c>
      <c r="AJ104" s="12" t="s">
        <v>3536</v>
      </c>
      <c r="AK104" s="12" t="s">
        <v>3537</v>
      </c>
      <c r="AL104" s="43">
        <f t="shared" si="10"/>
        <v>27.11</v>
      </c>
      <c r="AM104" s="12" t="s">
        <v>3538</v>
      </c>
      <c r="AN104" s="12" t="s">
        <v>1159</v>
      </c>
      <c r="AO104" s="12" t="s">
        <v>3284</v>
      </c>
      <c r="AP104" s="12" t="s">
        <v>1074</v>
      </c>
      <c r="AQ104" s="12" t="s">
        <v>1029</v>
      </c>
      <c r="AR104" s="12" t="s">
        <v>3539</v>
      </c>
      <c r="AS104" s="12" t="s">
        <v>3443</v>
      </c>
      <c r="AT104" s="12" t="s">
        <v>366</v>
      </c>
      <c r="AU104" s="12" t="s">
        <v>3444</v>
      </c>
      <c r="AV104" s="12" t="s">
        <v>832</v>
      </c>
      <c r="AW104" s="12" t="s">
        <v>1403</v>
      </c>
      <c r="AX104" s="12" t="s">
        <v>868</v>
      </c>
      <c r="AY104" s="12" t="s">
        <v>868</v>
      </c>
      <c r="AZ104" s="12" t="s">
        <v>3540</v>
      </c>
      <c r="BA104" s="12" t="s">
        <v>868</v>
      </c>
      <c r="BB104" s="12" t="s">
        <v>868</v>
      </c>
      <c r="BC104" s="12" t="s">
        <v>866</v>
      </c>
      <c r="BD104" s="12" t="s">
        <v>867</v>
      </c>
      <c r="BE104" s="12" t="s">
        <v>868</v>
      </c>
      <c r="BF104" s="12" t="s">
        <v>869</v>
      </c>
      <c r="BG104" s="12" t="s">
        <v>870</v>
      </c>
      <c r="BH104" s="12" t="s">
        <v>841</v>
      </c>
      <c r="BI104" s="12" t="s">
        <v>871</v>
      </c>
      <c r="BJ104" s="12" t="s">
        <v>841</v>
      </c>
      <c r="BK104" s="12" t="s">
        <v>841</v>
      </c>
      <c r="BL104" s="12" t="s">
        <v>872</v>
      </c>
      <c r="BM104" s="12" t="s">
        <v>873</v>
      </c>
      <c r="BN104" s="12" t="s">
        <v>866</v>
      </c>
      <c r="BO104" s="12" t="s">
        <v>874</v>
      </c>
      <c r="BP104" s="12" t="s">
        <v>875</v>
      </c>
      <c r="BQ104" s="12" t="s">
        <v>876</v>
      </c>
      <c r="BR104" s="12" t="s">
        <v>869</v>
      </c>
      <c r="BS104" s="12" t="s">
        <v>869</v>
      </c>
      <c r="BT104" s="12" t="s">
        <v>877</v>
      </c>
      <c r="BU104" s="12" t="s">
        <v>877</v>
      </c>
      <c r="BV104" s="12" t="s">
        <v>877</v>
      </c>
      <c r="BW104" s="12" t="s">
        <v>841</v>
      </c>
      <c r="BX104" s="12" t="s">
        <v>878</v>
      </c>
      <c r="BY104" s="12" t="s">
        <v>841</v>
      </c>
      <c r="BZ104" s="12" t="s">
        <v>841</v>
      </c>
      <c r="CA104" s="12" t="s">
        <v>841</v>
      </c>
      <c r="CB104" s="12" t="s">
        <v>841</v>
      </c>
      <c r="CC104" s="12" t="s">
        <v>3541</v>
      </c>
      <c r="CD104" s="12" t="s">
        <v>3542</v>
      </c>
      <c r="CE104" s="12" t="s">
        <v>3543</v>
      </c>
      <c r="CF104" s="12" t="s">
        <v>3544</v>
      </c>
      <c r="CG104" s="12" t="s">
        <v>3545</v>
      </c>
      <c r="CH104" s="12" t="s">
        <v>3546</v>
      </c>
      <c r="CI104" s="12" t="s">
        <v>3547</v>
      </c>
      <c r="CJ104" s="12" t="s">
        <v>3548</v>
      </c>
      <c r="CK104" s="12" t="s">
        <v>3531</v>
      </c>
      <c r="CL104" s="12" t="s">
        <v>1324</v>
      </c>
      <c r="CM104" s="12" t="s">
        <v>888</v>
      </c>
      <c r="CN104" s="12" t="s">
        <v>841</v>
      </c>
      <c r="CO104" s="12" t="s">
        <v>847</v>
      </c>
      <c r="CP104" s="12" t="s">
        <v>889</v>
      </c>
      <c r="CQ104" s="12" t="s">
        <v>890</v>
      </c>
      <c r="CR104" s="12" t="s">
        <v>847</v>
      </c>
      <c r="CS104" s="12" t="s">
        <v>891</v>
      </c>
      <c r="CT104" s="12" t="s">
        <v>892</v>
      </c>
      <c r="CU104" s="12" t="s">
        <v>893</v>
      </c>
      <c r="CV104" s="12" t="s">
        <v>841</v>
      </c>
      <c r="CW104" s="12" t="s">
        <v>3530</v>
      </c>
      <c r="CX104" s="12" t="s">
        <v>894</v>
      </c>
      <c r="CY104" s="12" t="s">
        <v>895</v>
      </c>
      <c r="CZ104" s="12" t="s">
        <v>896</v>
      </c>
      <c r="DA104" s="12" t="s">
        <v>897</v>
      </c>
      <c r="DB104" s="12" t="s">
        <v>898</v>
      </c>
      <c r="DC104" s="12" t="s">
        <v>899</v>
      </c>
    </row>
    <row r="105">
      <c r="A105" s="12" t="s">
        <v>1029</v>
      </c>
      <c r="B105" s="12" t="s">
        <v>408</v>
      </c>
      <c r="C105" s="12" t="s">
        <v>366</v>
      </c>
      <c r="D105" s="12" t="s">
        <v>833</v>
      </c>
      <c r="E105" s="12" t="s">
        <v>834</v>
      </c>
      <c r="F105" s="12"/>
      <c r="G105" s="12" t="s">
        <v>338</v>
      </c>
      <c r="H105" s="12" t="s">
        <v>404</v>
      </c>
      <c r="I105" s="12"/>
      <c r="J105" s="43">
        <f t="shared" si="1"/>
        <v>0.03646951996</v>
      </c>
      <c r="K105" s="43">
        <f t="shared" si="2"/>
        <v>2.90981592</v>
      </c>
      <c r="L105" s="43">
        <f t="shared" si="3"/>
        <v>0.03601809531</v>
      </c>
      <c r="M105" s="43">
        <f t="shared" si="4"/>
        <v>1.017959249</v>
      </c>
      <c r="N105" s="12" t="s">
        <v>3549</v>
      </c>
      <c r="O105" s="12" t="s">
        <v>3550</v>
      </c>
      <c r="P105" s="43">
        <f t="shared" si="5"/>
        <v>3.872961449</v>
      </c>
      <c r="Q105" s="43">
        <f t="shared" si="6"/>
        <v>2.711238449</v>
      </c>
      <c r="R105" s="12" t="s">
        <v>3551</v>
      </c>
      <c r="S105" s="12" t="s">
        <v>3552</v>
      </c>
      <c r="T105" s="43">
        <f t="shared" si="7"/>
        <v>39.3393748</v>
      </c>
      <c r="U105" s="43">
        <f t="shared" si="8"/>
        <v>0.4417875</v>
      </c>
      <c r="V105" s="12" t="s">
        <v>839</v>
      </c>
      <c r="W105" s="12" t="s">
        <v>3553</v>
      </c>
      <c r="X105" s="12" t="s">
        <v>841</v>
      </c>
      <c r="Y105" s="12" t="s">
        <v>841</v>
      </c>
      <c r="Z105" s="12" t="s">
        <v>841</v>
      </c>
      <c r="AA105" s="12" t="s">
        <v>3554</v>
      </c>
      <c r="AB105" s="12" t="s">
        <v>3555</v>
      </c>
      <c r="AC105" s="12" t="s">
        <v>3556</v>
      </c>
      <c r="AD105" s="12" t="s">
        <v>845</v>
      </c>
      <c r="AE105" s="12" t="s">
        <v>846</v>
      </c>
      <c r="AF105" s="43">
        <f t="shared" si="9"/>
        <v>1.1196896</v>
      </c>
      <c r="AG105" s="12" t="s">
        <v>847</v>
      </c>
      <c r="AH105" s="12" t="s">
        <v>3557</v>
      </c>
      <c r="AI105" s="12" t="s">
        <v>3558</v>
      </c>
      <c r="AJ105" s="12" t="s">
        <v>3559</v>
      </c>
      <c r="AK105" s="12" t="s">
        <v>3560</v>
      </c>
      <c r="AL105" s="43">
        <f t="shared" si="10"/>
        <v>28.35</v>
      </c>
      <c r="AM105" s="12" t="s">
        <v>3538</v>
      </c>
      <c r="AN105" s="12" t="s">
        <v>914</v>
      </c>
      <c r="AO105" s="12" t="s">
        <v>3561</v>
      </c>
      <c r="AP105" s="12" t="s">
        <v>3562</v>
      </c>
      <c r="AQ105" s="12" t="s">
        <v>968</v>
      </c>
      <c r="AR105" s="12" t="s">
        <v>3563</v>
      </c>
      <c r="AS105" s="12" t="s">
        <v>3443</v>
      </c>
      <c r="AT105" s="12" t="s">
        <v>366</v>
      </c>
      <c r="AU105" s="12" t="s">
        <v>3444</v>
      </c>
      <c r="AV105" s="12" t="s">
        <v>832</v>
      </c>
      <c r="AW105" s="12" t="s">
        <v>1542</v>
      </c>
      <c r="AX105" s="12" t="s">
        <v>1226</v>
      </c>
      <c r="AY105" s="12" t="s">
        <v>868</v>
      </c>
      <c r="AZ105" s="12" t="s">
        <v>1457</v>
      </c>
      <c r="BA105" s="12" t="s">
        <v>3564</v>
      </c>
      <c r="BB105" s="12" t="s">
        <v>868</v>
      </c>
      <c r="BC105" s="12" t="s">
        <v>866</v>
      </c>
      <c r="BD105" s="12" t="s">
        <v>867</v>
      </c>
      <c r="BE105" s="12" t="s">
        <v>868</v>
      </c>
      <c r="BF105" s="12" t="s">
        <v>869</v>
      </c>
      <c r="BG105" s="12" t="s">
        <v>870</v>
      </c>
      <c r="BH105" s="12" t="s">
        <v>841</v>
      </c>
      <c r="BI105" s="12" t="s">
        <v>871</v>
      </c>
      <c r="BJ105" s="12" t="s">
        <v>841</v>
      </c>
      <c r="BK105" s="12" t="s">
        <v>841</v>
      </c>
      <c r="BL105" s="12" t="s">
        <v>872</v>
      </c>
      <c r="BM105" s="12" t="s">
        <v>873</v>
      </c>
      <c r="BN105" s="12" t="s">
        <v>866</v>
      </c>
      <c r="BO105" s="12" t="s">
        <v>874</v>
      </c>
      <c r="BP105" s="12" t="s">
        <v>875</v>
      </c>
      <c r="BQ105" s="12" t="s">
        <v>876</v>
      </c>
      <c r="BR105" s="12" t="s">
        <v>869</v>
      </c>
      <c r="BS105" s="12" t="s">
        <v>869</v>
      </c>
      <c r="BT105" s="12" t="s">
        <v>877</v>
      </c>
      <c r="BU105" s="12" t="s">
        <v>877</v>
      </c>
      <c r="BV105" s="12" t="s">
        <v>877</v>
      </c>
      <c r="BW105" s="12" t="s">
        <v>841</v>
      </c>
      <c r="BX105" s="12" t="s">
        <v>878</v>
      </c>
      <c r="BY105" s="12" t="s">
        <v>841</v>
      </c>
      <c r="BZ105" s="12" t="s">
        <v>841</v>
      </c>
      <c r="CA105" s="12" t="s">
        <v>841</v>
      </c>
      <c r="CB105" s="12" t="s">
        <v>841</v>
      </c>
      <c r="CC105" s="12" t="s">
        <v>3565</v>
      </c>
      <c r="CD105" s="12" t="s">
        <v>3566</v>
      </c>
      <c r="CE105" s="12" t="s">
        <v>3567</v>
      </c>
      <c r="CF105" s="12" t="s">
        <v>3568</v>
      </c>
      <c r="CG105" s="12" t="s">
        <v>3569</v>
      </c>
      <c r="CH105" s="12" t="s">
        <v>3570</v>
      </c>
      <c r="CI105" s="12" t="s">
        <v>3571</v>
      </c>
      <c r="CJ105" s="12" t="s">
        <v>3572</v>
      </c>
      <c r="CK105" s="12" t="s">
        <v>3554</v>
      </c>
      <c r="CL105" s="12" t="s">
        <v>1057</v>
      </c>
      <c r="CM105" s="12" t="s">
        <v>888</v>
      </c>
      <c r="CN105" s="12" t="s">
        <v>841</v>
      </c>
      <c r="CO105" s="12" t="s">
        <v>847</v>
      </c>
      <c r="CP105" s="12" t="s">
        <v>889</v>
      </c>
      <c r="CQ105" s="12" t="s">
        <v>890</v>
      </c>
      <c r="CR105" s="12" t="s">
        <v>847</v>
      </c>
      <c r="CS105" s="12" t="s">
        <v>891</v>
      </c>
      <c r="CT105" s="12" t="s">
        <v>892</v>
      </c>
      <c r="CU105" s="12" t="s">
        <v>893</v>
      </c>
      <c r="CV105" s="12" t="s">
        <v>841</v>
      </c>
      <c r="CW105" s="12" t="s">
        <v>3553</v>
      </c>
      <c r="CX105" s="12" t="s">
        <v>894</v>
      </c>
      <c r="CY105" s="12" t="s">
        <v>895</v>
      </c>
      <c r="CZ105" s="12" t="s">
        <v>896</v>
      </c>
      <c r="DA105" s="12" t="s">
        <v>897</v>
      </c>
      <c r="DB105" s="12" t="s">
        <v>898</v>
      </c>
      <c r="DC105" s="12" t="s">
        <v>899</v>
      </c>
    </row>
    <row r="106">
      <c r="A106" s="12" t="s">
        <v>1058</v>
      </c>
      <c r="B106" s="12" t="s">
        <v>412</v>
      </c>
      <c r="C106" s="12" t="s">
        <v>366</v>
      </c>
      <c r="D106" s="12" t="s">
        <v>833</v>
      </c>
      <c r="E106" s="12" t="s">
        <v>834</v>
      </c>
      <c r="F106" s="12"/>
      <c r="G106" s="12" t="s">
        <v>338</v>
      </c>
      <c r="H106" s="12" t="s">
        <v>404</v>
      </c>
      <c r="I106" s="12"/>
      <c r="J106" s="43">
        <f t="shared" si="1"/>
        <v>-0.030608606</v>
      </c>
      <c r="K106" s="43">
        <f t="shared" si="2"/>
        <v>2.90822672</v>
      </c>
      <c r="L106" s="43">
        <f t="shared" si="3"/>
        <v>-0.03093418317</v>
      </c>
      <c r="M106" s="43">
        <f t="shared" si="4"/>
        <v>-0.7176796499</v>
      </c>
      <c r="N106" s="12" t="s">
        <v>3573</v>
      </c>
      <c r="O106" s="12" t="s">
        <v>3574</v>
      </c>
      <c r="P106" s="43">
        <f t="shared" si="5"/>
        <v>3.303043872</v>
      </c>
      <c r="Q106" s="43">
        <f t="shared" si="6"/>
        <v>2.233568872</v>
      </c>
      <c r="R106" s="12" t="s">
        <v>3575</v>
      </c>
      <c r="S106" s="12" t="s">
        <v>3576</v>
      </c>
      <c r="T106" s="43">
        <f t="shared" si="7"/>
        <v>33.5470635</v>
      </c>
      <c r="U106" s="43">
        <f t="shared" si="8"/>
        <v>0.4417875</v>
      </c>
      <c r="V106" s="12" t="s">
        <v>839</v>
      </c>
      <c r="W106" s="12" t="s">
        <v>3577</v>
      </c>
      <c r="X106" s="12" t="s">
        <v>841</v>
      </c>
      <c r="Y106" s="12" t="s">
        <v>841</v>
      </c>
      <c r="Z106" s="12" t="s">
        <v>841</v>
      </c>
      <c r="AA106" s="12" t="s">
        <v>3578</v>
      </c>
      <c r="AB106" s="12" t="s">
        <v>3579</v>
      </c>
      <c r="AC106" s="12" t="s">
        <v>3580</v>
      </c>
      <c r="AD106" s="12" t="s">
        <v>845</v>
      </c>
      <c r="AE106" s="12" t="s">
        <v>846</v>
      </c>
      <c r="AF106" s="43">
        <f t="shared" si="9"/>
        <v>1.2626848</v>
      </c>
      <c r="AG106" s="12" t="s">
        <v>847</v>
      </c>
      <c r="AH106" s="12" t="s">
        <v>3581</v>
      </c>
      <c r="AI106" s="12" t="s">
        <v>3582</v>
      </c>
      <c r="AJ106" s="12" t="s">
        <v>3583</v>
      </c>
      <c r="AK106" s="12" t="s">
        <v>3584</v>
      </c>
      <c r="AL106" s="43">
        <f t="shared" si="10"/>
        <v>25.64</v>
      </c>
      <c r="AM106" s="12" t="s">
        <v>3251</v>
      </c>
      <c r="AN106" s="12" t="s">
        <v>853</v>
      </c>
      <c r="AO106" s="12" t="s">
        <v>1368</v>
      </c>
      <c r="AP106" s="12" t="s">
        <v>1369</v>
      </c>
      <c r="AQ106" s="12" t="s">
        <v>1094</v>
      </c>
      <c r="AR106" s="12" t="s">
        <v>3585</v>
      </c>
      <c r="AS106" s="12" t="s">
        <v>3443</v>
      </c>
      <c r="AT106" s="12" t="s">
        <v>366</v>
      </c>
      <c r="AU106" s="12" t="s">
        <v>3444</v>
      </c>
      <c r="AV106" s="12" t="s">
        <v>832</v>
      </c>
      <c r="AW106" s="12" t="s">
        <v>920</v>
      </c>
      <c r="AX106" s="12" t="s">
        <v>1047</v>
      </c>
      <c r="AY106" s="12" t="s">
        <v>1342</v>
      </c>
      <c r="AZ106" s="12" t="s">
        <v>3586</v>
      </c>
      <c r="BA106" s="12" t="s">
        <v>3587</v>
      </c>
      <c r="BB106" s="12" t="s">
        <v>3588</v>
      </c>
      <c r="BC106" s="12" t="s">
        <v>866</v>
      </c>
      <c r="BD106" s="12" t="s">
        <v>867</v>
      </c>
      <c r="BE106" s="12" t="s">
        <v>868</v>
      </c>
      <c r="BF106" s="12" t="s">
        <v>869</v>
      </c>
      <c r="BG106" s="12" t="s">
        <v>870</v>
      </c>
      <c r="BH106" s="12" t="s">
        <v>841</v>
      </c>
      <c r="BI106" s="12" t="s">
        <v>871</v>
      </c>
      <c r="BJ106" s="12" t="s">
        <v>841</v>
      </c>
      <c r="BK106" s="12" t="s">
        <v>841</v>
      </c>
      <c r="BL106" s="12" t="s">
        <v>872</v>
      </c>
      <c r="BM106" s="12" t="s">
        <v>873</v>
      </c>
      <c r="BN106" s="12" t="s">
        <v>866</v>
      </c>
      <c r="BO106" s="12" t="s">
        <v>874</v>
      </c>
      <c r="BP106" s="12" t="s">
        <v>875</v>
      </c>
      <c r="BQ106" s="12" t="s">
        <v>876</v>
      </c>
      <c r="BR106" s="12" t="s">
        <v>869</v>
      </c>
      <c r="BS106" s="12" t="s">
        <v>869</v>
      </c>
      <c r="BT106" s="12" t="s">
        <v>877</v>
      </c>
      <c r="BU106" s="12" t="s">
        <v>877</v>
      </c>
      <c r="BV106" s="12" t="s">
        <v>877</v>
      </c>
      <c r="BW106" s="12" t="s">
        <v>841</v>
      </c>
      <c r="BX106" s="12" t="s">
        <v>878</v>
      </c>
      <c r="BY106" s="12" t="s">
        <v>841</v>
      </c>
      <c r="BZ106" s="12" t="s">
        <v>841</v>
      </c>
      <c r="CA106" s="12" t="s">
        <v>841</v>
      </c>
      <c r="CB106" s="12" t="s">
        <v>841</v>
      </c>
      <c r="CC106" s="12" t="s">
        <v>3589</v>
      </c>
      <c r="CD106" s="12" t="s">
        <v>3590</v>
      </c>
      <c r="CE106" s="12" t="s">
        <v>3591</v>
      </c>
      <c r="CF106" s="12" t="s">
        <v>3592</v>
      </c>
      <c r="CG106" s="12" t="s">
        <v>3593</v>
      </c>
      <c r="CH106" s="12" t="s">
        <v>3594</v>
      </c>
      <c r="CI106" s="12" t="s">
        <v>3595</v>
      </c>
      <c r="CJ106" s="12" t="s">
        <v>3596</v>
      </c>
      <c r="CK106" s="12" t="s">
        <v>3597</v>
      </c>
      <c r="CL106" s="12" t="s">
        <v>1057</v>
      </c>
      <c r="CM106" s="12" t="s">
        <v>888</v>
      </c>
      <c r="CN106" s="12" t="s">
        <v>841</v>
      </c>
      <c r="CO106" s="12" t="s">
        <v>847</v>
      </c>
      <c r="CP106" s="12" t="s">
        <v>889</v>
      </c>
      <c r="CQ106" s="12" t="s">
        <v>890</v>
      </c>
      <c r="CR106" s="12" t="s">
        <v>847</v>
      </c>
      <c r="CS106" s="12" t="s">
        <v>891</v>
      </c>
      <c r="CT106" s="12" t="s">
        <v>892</v>
      </c>
      <c r="CU106" s="12" t="s">
        <v>893</v>
      </c>
      <c r="CV106" s="12" t="s">
        <v>841</v>
      </c>
      <c r="CW106" s="12" t="s">
        <v>3577</v>
      </c>
      <c r="CX106" s="12" t="s">
        <v>894</v>
      </c>
      <c r="CY106" s="12" t="s">
        <v>895</v>
      </c>
      <c r="CZ106" s="12" t="s">
        <v>896</v>
      </c>
      <c r="DA106" s="12" t="s">
        <v>897</v>
      </c>
      <c r="DB106" s="12" t="s">
        <v>898</v>
      </c>
      <c r="DC106" s="12" t="s">
        <v>899</v>
      </c>
    </row>
    <row r="107">
      <c r="A107" s="12" t="s">
        <v>1094</v>
      </c>
      <c r="B107" s="12" t="s">
        <v>414</v>
      </c>
      <c r="C107" s="12" t="s">
        <v>366</v>
      </c>
      <c r="D107" s="12" t="s">
        <v>833</v>
      </c>
      <c r="E107" s="12" t="s">
        <v>834</v>
      </c>
      <c r="F107" s="12"/>
      <c r="G107" s="12" t="s">
        <v>338</v>
      </c>
      <c r="H107" s="12" t="s">
        <v>404</v>
      </c>
      <c r="I107" s="12"/>
      <c r="J107" s="43">
        <f t="shared" si="1"/>
        <v>-0.007385041962</v>
      </c>
      <c r="K107" s="43">
        <f t="shared" si="2"/>
        <v>2.90981592</v>
      </c>
      <c r="L107" s="43">
        <f t="shared" si="3"/>
        <v>-0.00740383271</v>
      </c>
      <c r="M107" s="43">
        <f t="shared" si="4"/>
        <v>-0.1759204477</v>
      </c>
      <c r="N107" s="12" t="s">
        <v>3598</v>
      </c>
      <c r="O107" s="12" t="s">
        <v>3599</v>
      </c>
      <c r="P107" s="43">
        <f t="shared" si="5"/>
        <v>3.467203887</v>
      </c>
      <c r="Q107" s="43">
        <f t="shared" si="6"/>
        <v>2.284262887</v>
      </c>
      <c r="R107" s="12" t="s">
        <v>3600</v>
      </c>
      <c r="S107" s="12" t="s">
        <v>3601</v>
      </c>
      <c r="T107" s="43">
        <f t="shared" si="7"/>
        <v>35.2143397</v>
      </c>
      <c r="U107" s="43">
        <f t="shared" si="8"/>
        <v>0.4417875</v>
      </c>
      <c r="V107" s="12" t="s">
        <v>839</v>
      </c>
      <c r="W107" s="12" t="s">
        <v>3602</v>
      </c>
      <c r="X107" s="12" t="s">
        <v>841</v>
      </c>
      <c r="Y107" s="12" t="s">
        <v>841</v>
      </c>
      <c r="Z107" s="12" t="s">
        <v>841</v>
      </c>
      <c r="AA107" s="12" t="s">
        <v>3603</v>
      </c>
      <c r="AB107" s="12" t="s">
        <v>3604</v>
      </c>
      <c r="AC107" s="12" t="s">
        <v>3605</v>
      </c>
      <c r="AD107" s="12" t="s">
        <v>845</v>
      </c>
      <c r="AE107" s="12" t="s">
        <v>846</v>
      </c>
      <c r="AF107" s="43">
        <f t="shared" si="9"/>
        <v>1.590368</v>
      </c>
      <c r="AG107" s="12" t="s">
        <v>847</v>
      </c>
      <c r="AH107" s="12" t="s">
        <v>3173</v>
      </c>
      <c r="AI107" s="12" t="s">
        <v>3606</v>
      </c>
      <c r="AJ107" s="12" t="s">
        <v>3607</v>
      </c>
      <c r="AK107" s="12" t="s">
        <v>3608</v>
      </c>
      <c r="AL107" s="43">
        <f t="shared" si="10"/>
        <v>26.46</v>
      </c>
      <c r="AM107" s="12" t="s">
        <v>3251</v>
      </c>
      <c r="AN107" s="12" t="s">
        <v>914</v>
      </c>
      <c r="AO107" s="12" t="s">
        <v>3609</v>
      </c>
      <c r="AP107" s="12" t="s">
        <v>3610</v>
      </c>
      <c r="AQ107" s="12" t="s">
        <v>1094</v>
      </c>
      <c r="AR107" s="12" t="s">
        <v>3611</v>
      </c>
      <c r="AS107" s="12" t="s">
        <v>3443</v>
      </c>
      <c r="AT107" s="12" t="s">
        <v>366</v>
      </c>
      <c r="AU107" s="12" t="s">
        <v>3444</v>
      </c>
      <c r="AV107" s="12" t="s">
        <v>832</v>
      </c>
      <c r="AW107" s="12" t="s">
        <v>1287</v>
      </c>
      <c r="AX107" s="12" t="s">
        <v>868</v>
      </c>
      <c r="AY107" s="12" t="s">
        <v>868</v>
      </c>
      <c r="AZ107" s="12" t="s">
        <v>3612</v>
      </c>
      <c r="BA107" s="12" t="s">
        <v>868</v>
      </c>
      <c r="BB107" s="12" t="s">
        <v>868</v>
      </c>
      <c r="BC107" s="12" t="s">
        <v>866</v>
      </c>
      <c r="BD107" s="12" t="s">
        <v>867</v>
      </c>
      <c r="BE107" s="12" t="s">
        <v>868</v>
      </c>
      <c r="BF107" s="12" t="s">
        <v>869</v>
      </c>
      <c r="BG107" s="12" t="s">
        <v>870</v>
      </c>
      <c r="BH107" s="12" t="s">
        <v>841</v>
      </c>
      <c r="BI107" s="12" t="s">
        <v>871</v>
      </c>
      <c r="BJ107" s="12" t="s">
        <v>841</v>
      </c>
      <c r="BK107" s="12" t="s">
        <v>841</v>
      </c>
      <c r="BL107" s="12" t="s">
        <v>872</v>
      </c>
      <c r="BM107" s="12" t="s">
        <v>873</v>
      </c>
      <c r="BN107" s="12" t="s">
        <v>866</v>
      </c>
      <c r="BO107" s="12" t="s">
        <v>874</v>
      </c>
      <c r="BP107" s="12" t="s">
        <v>875</v>
      </c>
      <c r="BQ107" s="12" t="s">
        <v>876</v>
      </c>
      <c r="BR107" s="12" t="s">
        <v>869</v>
      </c>
      <c r="BS107" s="12" t="s">
        <v>869</v>
      </c>
      <c r="BT107" s="12" t="s">
        <v>877</v>
      </c>
      <c r="BU107" s="12" t="s">
        <v>877</v>
      </c>
      <c r="BV107" s="12" t="s">
        <v>877</v>
      </c>
      <c r="BW107" s="12" t="s">
        <v>841</v>
      </c>
      <c r="BX107" s="12" t="s">
        <v>878</v>
      </c>
      <c r="BY107" s="12" t="s">
        <v>841</v>
      </c>
      <c r="BZ107" s="12" t="s">
        <v>841</v>
      </c>
      <c r="CA107" s="12" t="s">
        <v>841</v>
      </c>
      <c r="CB107" s="12" t="s">
        <v>841</v>
      </c>
      <c r="CC107" s="12" t="s">
        <v>3613</v>
      </c>
      <c r="CD107" s="12" t="s">
        <v>3614</v>
      </c>
      <c r="CE107" s="12" t="s">
        <v>3615</v>
      </c>
      <c r="CF107" s="12" t="s">
        <v>3616</v>
      </c>
      <c r="CG107" s="12" t="s">
        <v>3617</v>
      </c>
      <c r="CH107" s="12" t="s">
        <v>3618</v>
      </c>
      <c r="CI107" s="12" t="s">
        <v>3619</v>
      </c>
      <c r="CJ107" s="12" t="s">
        <v>3620</v>
      </c>
      <c r="CK107" s="12" t="s">
        <v>3603</v>
      </c>
      <c r="CL107" s="12" t="s">
        <v>1496</v>
      </c>
      <c r="CM107" s="12" t="s">
        <v>888</v>
      </c>
      <c r="CN107" s="12" t="s">
        <v>841</v>
      </c>
      <c r="CO107" s="12" t="s">
        <v>847</v>
      </c>
      <c r="CP107" s="12" t="s">
        <v>889</v>
      </c>
      <c r="CQ107" s="12" t="s">
        <v>890</v>
      </c>
      <c r="CR107" s="12" t="s">
        <v>847</v>
      </c>
      <c r="CS107" s="12" t="s">
        <v>891</v>
      </c>
      <c r="CT107" s="12" t="s">
        <v>892</v>
      </c>
      <c r="CU107" s="12" t="s">
        <v>893</v>
      </c>
      <c r="CV107" s="12" t="s">
        <v>841</v>
      </c>
      <c r="CW107" s="12" t="s">
        <v>3602</v>
      </c>
      <c r="CX107" s="12" t="s">
        <v>894</v>
      </c>
      <c r="CY107" s="12" t="s">
        <v>895</v>
      </c>
      <c r="CZ107" s="12" t="s">
        <v>896</v>
      </c>
      <c r="DA107" s="12" t="s">
        <v>897</v>
      </c>
      <c r="DB107" s="12" t="s">
        <v>898</v>
      </c>
      <c r="DC107" s="12" t="s">
        <v>899</v>
      </c>
    </row>
    <row r="108">
      <c r="A108" s="12" t="s">
        <v>1120</v>
      </c>
      <c r="B108" s="12" t="s">
        <v>415</v>
      </c>
      <c r="C108" s="12" t="s">
        <v>366</v>
      </c>
      <c r="D108" s="12" t="s">
        <v>833</v>
      </c>
      <c r="E108" s="12" t="s">
        <v>834</v>
      </c>
      <c r="F108" s="12"/>
      <c r="G108" s="12" t="s">
        <v>338</v>
      </c>
      <c r="H108" s="12" t="s">
        <v>404</v>
      </c>
      <c r="I108" s="12"/>
      <c r="J108" s="43">
        <f t="shared" si="1"/>
        <v>0.1046323604</v>
      </c>
      <c r="K108" s="43">
        <f t="shared" si="2"/>
        <v>2.91060848</v>
      </c>
      <c r="L108" s="43">
        <f t="shared" si="3"/>
        <v>0.1010014959</v>
      </c>
      <c r="M108" s="43">
        <f t="shared" si="4"/>
        <v>2.528925569</v>
      </c>
      <c r="N108" s="12" t="s">
        <v>3621</v>
      </c>
      <c r="O108" s="12" t="s">
        <v>3622</v>
      </c>
      <c r="P108" s="43">
        <f t="shared" si="5"/>
        <v>3.692097841</v>
      </c>
      <c r="Q108" s="43">
        <f t="shared" si="6"/>
        <v>2.402651841</v>
      </c>
      <c r="R108" s="12" t="s">
        <v>3623</v>
      </c>
      <c r="S108" s="12" t="s">
        <v>3624</v>
      </c>
      <c r="T108" s="43">
        <f t="shared" si="7"/>
        <v>37.5022635</v>
      </c>
      <c r="U108" s="43">
        <f t="shared" si="8"/>
        <v>0.4417875</v>
      </c>
      <c r="V108" s="12" t="s">
        <v>839</v>
      </c>
      <c r="W108" s="12" t="s">
        <v>3625</v>
      </c>
      <c r="X108" s="12" t="s">
        <v>841</v>
      </c>
      <c r="Y108" s="12" t="s">
        <v>841</v>
      </c>
      <c r="Z108" s="12" t="s">
        <v>841</v>
      </c>
      <c r="AA108" s="12" t="s">
        <v>3626</v>
      </c>
      <c r="AB108" s="12" t="s">
        <v>3627</v>
      </c>
      <c r="AC108" s="12" t="s">
        <v>3628</v>
      </c>
      <c r="AD108" s="12" t="s">
        <v>845</v>
      </c>
      <c r="AE108" s="12" t="s">
        <v>846</v>
      </c>
      <c r="AF108" s="43">
        <f t="shared" si="9"/>
        <v>1.5149176</v>
      </c>
      <c r="AG108" s="12" t="s">
        <v>847</v>
      </c>
      <c r="AH108" s="12" t="s">
        <v>3629</v>
      </c>
      <c r="AI108" s="12" t="s">
        <v>3630</v>
      </c>
      <c r="AJ108" s="12" t="s">
        <v>3631</v>
      </c>
      <c r="AK108" s="12" t="s">
        <v>3632</v>
      </c>
      <c r="AL108" s="43">
        <f t="shared" si="10"/>
        <v>27.53</v>
      </c>
      <c r="AM108" s="12" t="s">
        <v>3538</v>
      </c>
      <c r="AN108" s="12" t="s">
        <v>1159</v>
      </c>
      <c r="AO108" s="12" t="s">
        <v>3633</v>
      </c>
      <c r="AP108" s="12" t="s">
        <v>1397</v>
      </c>
      <c r="AQ108" s="12" t="s">
        <v>1058</v>
      </c>
      <c r="AR108" s="12" t="s">
        <v>3634</v>
      </c>
      <c r="AS108" s="12" t="s">
        <v>3443</v>
      </c>
      <c r="AT108" s="12" t="s">
        <v>366</v>
      </c>
      <c r="AU108" s="12" t="s">
        <v>3444</v>
      </c>
      <c r="AV108" s="12" t="s">
        <v>832</v>
      </c>
      <c r="AW108" s="12" t="s">
        <v>1287</v>
      </c>
      <c r="AX108" s="12" t="s">
        <v>868</v>
      </c>
      <c r="AY108" s="12" t="s">
        <v>868</v>
      </c>
      <c r="AZ108" s="12" t="s">
        <v>3635</v>
      </c>
      <c r="BA108" s="12" t="s">
        <v>868</v>
      </c>
      <c r="BB108" s="12" t="s">
        <v>868</v>
      </c>
      <c r="BC108" s="12" t="s">
        <v>866</v>
      </c>
      <c r="BD108" s="12" t="s">
        <v>867</v>
      </c>
      <c r="BE108" s="12" t="s">
        <v>868</v>
      </c>
      <c r="BF108" s="12" t="s">
        <v>869</v>
      </c>
      <c r="BG108" s="12" t="s">
        <v>870</v>
      </c>
      <c r="BH108" s="12" t="s">
        <v>841</v>
      </c>
      <c r="BI108" s="12" t="s">
        <v>871</v>
      </c>
      <c r="BJ108" s="12" t="s">
        <v>841</v>
      </c>
      <c r="BK108" s="12" t="s">
        <v>841</v>
      </c>
      <c r="BL108" s="12" t="s">
        <v>872</v>
      </c>
      <c r="BM108" s="12" t="s">
        <v>873</v>
      </c>
      <c r="BN108" s="12" t="s">
        <v>866</v>
      </c>
      <c r="BO108" s="12" t="s">
        <v>874</v>
      </c>
      <c r="BP108" s="12" t="s">
        <v>875</v>
      </c>
      <c r="BQ108" s="12" t="s">
        <v>876</v>
      </c>
      <c r="BR108" s="12" t="s">
        <v>869</v>
      </c>
      <c r="BS108" s="12" t="s">
        <v>869</v>
      </c>
      <c r="BT108" s="12" t="s">
        <v>877</v>
      </c>
      <c r="BU108" s="12" t="s">
        <v>877</v>
      </c>
      <c r="BV108" s="12" t="s">
        <v>877</v>
      </c>
      <c r="BW108" s="12" t="s">
        <v>841</v>
      </c>
      <c r="BX108" s="12" t="s">
        <v>878</v>
      </c>
      <c r="BY108" s="12" t="s">
        <v>841</v>
      </c>
      <c r="BZ108" s="12" t="s">
        <v>841</v>
      </c>
      <c r="CA108" s="12" t="s">
        <v>841</v>
      </c>
      <c r="CB108" s="12" t="s">
        <v>841</v>
      </c>
      <c r="CC108" s="12" t="s">
        <v>3636</v>
      </c>
      <c r="CD108" s="12" t="s">
        <v>3637</v>
      </c>
      <c r="CE108" s="12" t="s">
        <v>3638</v>
      </c>
      <c r="CF108" s="12" t="s">
        <v>3639</v>
      </c>
      <c r="CG108" s="12" t="s">
        <v>3640</v>
      </c>
      <c r="CH108" s="12" t="s">
        <v>3641</v>
      </c>
      <c r="CI108" s="12" t="s">
        <v>3642</v>
      </c>
      <c r="CJ108" s="12" t="s">
        <v>3643</v>
      </c>
      <c r="CK108" s="12" t="s">
        <v>3626</v>
      </c>
      <c r="CL108" s="12" t="s">
        <v>2343</v>
      </c>
      <c r="CM108" s="12" t="s">
        <v>888</v>
      </c>
      <c r="CN108" s="12" t="s">
        <v>841</v>
      </c>
      <c r="CO108" s="12" t="s">
        <v>847</v>
      </c>
      <c r="CP108" s="12" t="s">
        <v>889</v>
      </c>
      <c r="CQ108" s="12" t="s">
        <v>890</v>
      </c>
      <c r="CR108" s="12" t="s">
        <v>847</v>
      </c>
      <c r="CS108" s="12" t="s">
        <v>891</v>
      </c>
      <c r="CT108" s="12" t="s">
        <v>892</v>
      </c>
      <c r="CU108" s="12" t="s">
        <v>893</v>
      </c>
      <c r="CV108" s="12" t="s">
        <v>841</v>
      </c>
      <c r="CW108" s="12" t="s">
        <v>3625</v>
      </c>
      <c r="CX108" s="12" t="s">
        <v>894</v>
      </c>
      <c r="CY108" s="12" t="s">
        <v>895</v>
      </c>
      <c r="CZ108" s="12" t="s">
        <v>896</v>
      </c>
      <c r="DA108" s="12" t="s">
        <v>897</v>
      </c>
      <c r="DB108" s="12" t="s">
        <v>898</v>
      </c>
      <c r="DC108" s="12" t="s">
        <v>899</v>
      </c>
    </row>
    <row r="109">
      <c r="A109" s="12" t="s">
        <v>1146</v>
      </c>
      <c r="B109" s="12" t="s">
        <v>417</v>
      </c>
      <c r="C109" s="12" t="s">
        <v>366</v>
      </c>
      <c r="D109" s="12" t="s">
        <v>833</v>
      </c>
      <c r="E109" s="12" t="s">
        <v>834</v>
      </c>
      <c r="F109" s="12"/>
      <c r="G109" s="12" t="s">
        <v>338</v>
      </c>
      <c r="H109" s="12" t="s">
        <v>416</v>
      </c>
      <c r="I109" s="12"/>
      <c r="J109" s="43">
        <f t="shared" si="1"/>
        <v>-0.05522276919</v>
      </c>
      <c r="K109" s="43">
        <f t="shared" si="2"/>
        <v>2.90981592</v>
      </c>
      <c r="L109" s="43">
        <f t="shared" si="3"/>
        <v>-0.05629106652</v>
      </c>
      <c r="M109" s="43">
        <f t="shared" si="4"/>
        <v>-1.391227607</v>
      </c>
      <c r="N109" s="12" t="s">
        <v>3644</v>
      </c>
      <c r="O109" s="12" t="s">
        <v>3645</v>
      </c>
      <c r="P109" s="43">
        <f t="shared" si="5"/>
        <v>3.330580847</v>
      </c>
      <c r="Q109" s="43">
        <f t="shared" si="6"/>
        <v>2.380561847</v>
      </c>
      <c r="R109" s="12" t="s">
        <v>3646</v>
      </c>
      <c r="S109" s="12" t="s">
        <v>3647</v>
      </c>
      <c r="T109" s="43">
        <f t="shared" si="7"/>
        <v>33.82674027</v>
      </c>
      <c r="U109" s="43">
        <f t="shared" si="8"/>
        <v>0.4417875</v>
      </c>
      <c r="V109" s="12" t="s">
        <v>839</v>
      </c>
      <c r="W109" s="12" t="s">
        <v>3648</v>
      </c>
      <c r="X109" s="12" t="s">
        <v>841</v>
      </c>
      <c r="Y109" s="12" t="s">
        <v>841</v>
      </c>
      <c r="Z109" s="12" t="s">
        <v>841</v>
      </c>
      <c r="AA109" s="12" t="s">
        <v>3649</v>
      </c>
      <c r="AB109" s="12" t="s">
        <v>3650</v>
      </c>
      <c r="AC109" s="12" t="s">
        <v>3651</v>
      </c>
      <c r="AD109" s="12" t="s">
        <v>845</v>
      </c>
      <c r="AE109" s="12" t="s">
        <v>846</v>
      </c>
      <c r="AF109" s="43">
        <f t="shared" si="9"/>
        <v>3.7479456</v>
      </c>
      <c r="AG109" s="12" t="s">
        <v>847</v>
      </c>
      <c r="AH109" s="12" t="s">
        <v>2964</v>
      </c>
      <c r="AI109" s="12" t="s">
        <v>3652</v>
      </c>
      <c r="AJ109" s="12" t="s">
        <v>3653</v>
      </c>
      <c r="AK109" s="12" t="s">
        <v>3654</v>
      </c>
      <c r="AL109" s="43">
        <f t="shared" si="10"/>
        <v>25.78</v>
      </c>
      <c r="AM109" s="12" t="s">
        <v>3251</v>
      </c>
      <c r="AN109" s="12" t="s">
        <v>914</v>
      </c>
      <c r="AO109" s="12" t="s">
        <v>3655</v>
      </c>
      <c r="AP109" s="12" t="s">
        <v>3656</v>
      </c>
      <c r="AQ109" s="12" t="s">
        <v>1209</v>
      </c>
      <c r="AR109" s="12" t="s">
        <v>3657</v>
      </c>
      <c r="AS109" s="12" t="s">
        <v>3658</v>
      </c>
      <c r="AT109" s="12" t="s">
        <v>366</v>
      </c>
      <c r="AU109" s="12" t="s">
        <v>3659</v>
      </c>
      <c r="AV109" s="12" t="s">
        <v>832</v>
      </c>
      <c r="AW109" s="12" t="s">
        <v>1164</v>
      </c>
      <c r="AX109" s="12" t="s">
        <v>1342</v>
      </c>
      <c r="AY109" s="12" t="s">
        <v>1598</v>
      </c>
      <c r="AZ109" s="12" t="s">
        <v>3660</v>
      </c>
      <c r="BA109" s="12" t="s">
        <v>3661</v>
      </c>
      <c r="BB109" s="12" t="s">
        <v>3662</v>
      </c>
      <c r="BC109" s="12" t="s">
        <v>866</v>
      </c>
      <c r="BD109" s="12" t="s">
        <v>867</v>
      </c>
      <c r="BE109" s="12" t="s">
        <v>868</v>
      </c>
      <c r="BF109" s="12" t="s">
        <v>869</v>
      </c>
      <c r="BG109" s="12" t="s">
        <v>870</v>
      </c>
      <c r="BH109" s="12" t="s">
        <v>841</v>
      </c>
      <c r="BI109" s="12" t="s">
        <v>871</v>
      </c>
      <c r="BJ109" s="12" t="s">
        <v>841</v>
      </c>
      <c r="BK109" s="12" t="s">
        <v>841</v>
      </c>
      <c r="BL109" s="12" t="s">
        <v>872</v>
      </c>
      <c r="BM109" s="12" t="s">
        <v>873</v>
      </c>
      <c r="BN109" s="12" t="s">
        <v>866</v>
      </c>
      <c r="BO109" s="12" t="s">
        <v>874</v>
      </c>
      <c r="BP109" s="12" t="s">
        <v>875</v>
      </c>
      <c r="BQ109" s="12" t="s">
        <v>876</v>
      </c>
      <c r="BR109" s="12" t="s">
        <v>869</v>
      </c>
      <c r="BS109" s="12" t="s">
        <v>869</v>
      </c>
      <c r="BT109" s="12" t="s">
        <v>877</v>
      </c>
      <c r="BU109" s="12" t="s">
        <v>877</v>
      </c>
      <c r="BV109" s="12" t="s">
        <v>877</v>
      </c>
      <c r="BW109" s="12" t="s">
        <v>841</v>
      </c>
      <c r="BX109" s="12" t="s">
        <v>878</v>
      </c>
      <c r="BY109" s="12" t="s">
        <v>841</v>
      </c>
      <c r="BZ109" s="12" t="s">
        <v>841</v>
      </c>
      <c r="CA109" s="12" t="s">
        <v>841</v>
      </c>
      <c r="CB109" s="12" t="s">
        <v>841</v>
      </c>
      <c r="CC109" s="12" t="s">
        <v>3663</v>
      </c>
      <c r="CD109" s="12" t="s">
        <v>3664</v>
      </c>
      <c r="CE109" s="12" t="s">
        <v>3665</v>
      </c>
      <c r="CF109" s="12" t="s">
        <v>3666</v>
      </c>
      <c r="CG109" s="12" t="s">
        <v>3667</v>
      </c>
      <c r="CH109" s="12" t="s">
        <v>3668</v>
      </c>
      <c r="CI109" s="12" t="s">
        <v>3669</v>
      </c>
      <c r="CJ109" s="12" t="s">
        <v>3670</v>
      </c>
      <c r="CK109" s="12" t="s">
        <v>3671</v>
      </c>
      <c r="CL109" s="12" t="s">
        <v>3053</v>
      </c>
      <c r="CM109" s="12" t="s">
        <v>888</v>
      </c>
      <c r="CN109" s="12" t="s">
        <v>841</v>
      </c>
      <c r="CO109" s="12" t="s">
        <v>847</v>
      </c>
      <c r="CP109" s="12" t="s">
        <v>889</v>
      </c>
      <c r="CQ109" s="12" t="s">
        <v>890</v>
      </c>
      <c r="CR109" s="12" t="s">
        <v>847</v>
      </c>
      <c r="CS109" s="12" t="s">
        <v>891</v>
      </c>
      <c r="CT109" s="12" t="s">
        <v>892</v>
      </c>
      <c r="CU109" s="12" t="s">
        <v>893</v>
      </c>
      <c r="CV109" s="12" t="s">
        <v>841</v>
      </c>
      <c r="CW109" s="12" t="s">
        <v>3648</v>
      </c>
      <c r="CX109" s="12" t="s">
        <v>894</v>
      </c>
      <c r="CY109" s="12" t="s">
        <v>895</v>
      </c>
      <c r="CZ109" s="12" t="s">
        <v>896</v>
      </c>
      <c r="DA109" s="12" t="s">
        <v>897</v>
      </c>
      <c r="DB109" s="12" t="s">
        <v>898</v>
      </c>
      <c r="DC109" s="12" t="s">
        <v>899</v>
      </c>
    </row>
    <row r="110">
      <c r="A110" s="12" t="s">
        <v>1177</v>
      </c>
      <c r="B110" s="12" t="s">
        <v>419</v>
      </c>
      <c r="C110" s="12" t="s">
        <v>366</v>
      </c>
      <c r="D110" s="12" t="s">
        <v>833</v>
      </c>
      <c r="E110" s="12" t="s">
        <v>834</v>
      </c>
      <c r="F110" s="12"/>
      <c r="G110" s="12" t="s">
        <v>338</v>
      </c>
      <c r="H110" s="12" t="s">
        <v>416</v>
      </c>
      <c r="I110" s="12"/>
      <c r="J110" s="43">
        <f t="shared" si="1"/>
        <v>-0.0205111463</v>
      </c>
      <c r="K110" s="43">
        <f t="shared" si="2"/>
        <v>2.90981592</v>
      </c>
      <c r="L110" s="43">
        <f t="shared" si="3"/>
        <v>-0.02065675472</v>
      </c>
      <c r="M110" s="43">
        <f t="shared" si="4"/>
        <v>-0.5322516831</v>
      </c>
      <c r="N110" s="12" t="s">
        <v>3672</v>
      </c>
      <c r="O110" s="12" t="s">
        <v>3673</v>
      </c>
      <c r="P110" s="43">
        <f t="shared" si="5"/>
        <v>3.450880683</v>
      </c>
      <c r="Q110" s="43">
        <f t="shared" si="6"/>
        <v>2.480032683</v>
      </c>
      <c r="R110" s="12" t="s">
        <v>3674</v>
      </c>
      <c r="S110" s="12" t="s">
        <v>3675</v>
      </c>
      <c r="T110" s="43">
        <f t="shared" si="7"/>
        <v>35.04855457</v>
      </c>
      <c r="U110" s="43">
        <f t="shared" si="8"/>
        <v>0.4417875</v>
      </c>
      <c r="V110" s="12" t="s">
        <v>839</v>
      </c>
      <c r="W110" s="12" t="s">
        <v>3676</v>
      </c>
      <c r="X110" s="12" t="s">
        <v>841</v>
      </c>
      <c r="Y110" s="12" t="s">
        <v>841</v>
      </c>
      <c r="Z110" s="12" t="s">
        <v>841</v>
      </c>
      <c r="AA110" s="12" t="s">
        <v>3677</v>
      </c>
      <c r="AB110" s="12" t="s">
        <v>3678</v>
      </c>
      <c r="AC110" s="12" t="s">
        <v>3679</v>
      </c>
      <c r="AD110" s="12" t="s">
        <v>845</v>
      </c>
      <c r="AE110" s="12" t="s">
        <v>846</v>
      </c>
      <c r="AF110" s="43">
        <f t="shared" si="9"/>
        <v>4.3505168</v>
      </c>
      <c r="AG110" s="12" t="s">
        <v>847</v>
      </c>
      <c r="AH110" s="12" t="s">
        <v>3680</v>
      </c>
      <c r="AI110" s="12" t="s">
        <v>3247</v>
      </c>
      <c r="AJ110" s="12" t="s">
        <v>3681</v>
      </c>
      <c r="AK110" s="12" t="s">
        <v>3682</v>
      </c>
      <c r="AL110" s="43">
        <f t="shared" si="10"/>
        <v>26.38</v>
      </c>
      <c r="AM110" s="12" t="s">
        <v>3251</v>
      </c>
      <c r="AN110" s="12" t="s">
        <v>914</v>
      </c>
      <c r="AO110" s="12" t="s">
        <v>3066</v>
      </c>
      <c r="AP110" s="12" t="s">
        <v>3067</v>
      </c>
      <c r="AQ110" s="12" t="s">
        <v>1636</v>
      </c>
      <c r="AR110" s="12" t="s">
        <v>3683</v>
      </c>
      <c r="AS110" s="12" t="s">
        <v>3658</v>
      </c>
      <c r="AT110" s="12" t="s">
        <v>366</v>
      </c>
      <c r="AU110" s="12" t="s">
        <v>3659</v>
      </c>
      <c r="AV110" s="12" t="s">
        <v>832</v>
      </c>
      <c r="AW110" s="12" t="s">
        <v>923</v>
      </c>
      <c r="AX110" s="12" t="s">
        <v>868</v>
      </c>
      <c r="AY110" s="12" t="s">
        <v>868</v>
      </c>
      <c r="AZ110" s="12" t="s">
        <v>3684</v>
      </c>
      <c r="BA110" s="12" t="s">
        <v>868</v>
      </c>
      <c r="BB110" s="12" t="s">
        <v>868</v>
      </c>
      <c r="BC110" s="12" t="s">
        <v>866</v>
      </c>
      <c r="BD110" s="12" t="s">
        <v>867</v>
      </c>
      <c r="BE110" s="12" t="s">
        <v>868</v>
      </c>
      <c r="BF110" s="12" t="s">
        <v>869</v>
      </c>
      <c r="BG110" s="12" t="s">
        <v>870</v>
      </c>
      <c r="BH110" s="12" t="s">
        <v>841</v>
      </c>
      <c r="BI110" s="12" t="s">
        <v>871</v>
      </c>
      <c r="BJ110" s="12" t="s">
        <v>841</v>
      </c>
      <c r="BK110" s="12" t="s">
        <v>841</v>
      </c>
      <c r="BL110" s="12" t="s">
        <v>872</v>
      </c>
      <c r="BM110" s="12" t="s">
        <v>873</v>
      </c>
      <c r="BN110" s="12" t="s">
        <v>866</v>
      </c>
      <c r="BO110" s="12" t="s">
        <v>874</v>
      </c>
      <c r="BP110" s="12" t="s">
        <v>875</v>
      </c>
      <c r="BQ110" s="12" t="s">
        <v>876</v>
      </c>
      <c r="BR110" s="12" t="s">
        <v>869</v>
      </c>
      <c r="BS110" s="12" t="s">
        <v>869</v>
      </c>
      <c r="BT110" s="12" t="s">
        <v>877</v>
      </c>
      <c r="BU110" s="12" t="s">
        <v>877</v>
      </c>
      <c r="BV110" s="12" t="s">
        <v>877</v>
      </c>
      <c r="BW110" s="12" t="s">
        <v>841</v>
      </c>
      <c r="BX110" s="12" t="s">
        <v>878</v>
      </c>
      <c r="BY110" s="12" t="s">
        <v>841</v>
      </c>
      <c r="BZ110" s="12" t="s">
        <v>841</v>
      </c>
      <c r="CA110" s="12" t="s">
        <v>841</v>
      </c>
      <c r="CB110" s="12" t="s">
        <v>841</v>
      </c>
      <c r="CC110" s="12" t="s">
        <v>3685</v>
      </c>
      <c r="CD110" s="12" t="s">
        <v>3686</v>
      </c>
      <c r="CE110" s="12" t="s">
        <v>3687</v>
      </c>
      <c r="CF110" s="12" t="s">
        <v>3688</v>
      </c>
      <c r="CG110" s="12" t="s">
        <v>3689</v>
      </c>
      <c r="CH110" s="12" t="s">
        <v>3690</v>
      </c>
      <c r="CI110" s="12" t="s">
        <v>3691</v>
      </c>
      <c r="CJ110" s="12" t="s">
        <v>3692</v>
      </c>
      <c r="CK110" s="12" t="s">
        <v>3677</v>
      </c>
      <c r="CL110" s="12" t="s">
        <v>1093</v>
      </c>
      <c r="CM110" s="12" t="s">
        <v>888</v>
      </c>
      <c r="CN110" s="12" t="s">
        <v>841</v>
      </c>
      <c r="CO110" s="12" t="s">
        <v>847</v>
      </c>
      <c r="CP110" s="12" t="s">
        <v>889</v>
      </c>
      <c r="CQ110" s="12" t="s">
        <v>890</v>
      </c>
      <c r="CR110" s="12" t="s">
        <v>847</v>
      </c>
      <c r="CS110" s="12" t="s">
        <v>891</v>
      </c>
      <c r="CT110" s="12" t="s">
        <v>892</v>
      </c>
      <c r="CU110" s="12" t="s">
        <v>893</v>
      </c>
      <c r="CV110" s="12" t="s">
        <v>841</v>
      </c>
      <c r="CW110" s="12" t="s">
        <v>3676</v>
      </c>
      <c r="CX110" s="12" t="s">
        <v>894</v>
      </c>
      <c r="CY110" s="12" t="s">
        <v>895</v>
      </c>
      <c r="CZ110" s="12" t="s">
        <v>896</v>
      </c>
      <c r="DA110" s="12" t="s">
        <v>897</v>
      </c>
      <c r="DB110" s="12" t="s">
        <v>898</v>
      </c>
      <c r="DC110" s="12" t="s">
        <v>899</v>
      </c>
    </row>
    <row r="111">
      <c r="A111" s="12" t="s">
        <v>1209</v>
      </c>
      <c r="B111" s="12" t="s">
        <v>420</v>
      </c>
      <c r="C111" s="12" t="s">
        <v>366</v>
      </c>
      <c r="D111" s="12" t="s">
        <v>833</v>
      </c>
      <c r="E111" s="12" t="s">
        <v>834</v>
      </c>
      <c r="F111" s="12"/>
      <c r="G111" s="12" t="s">
        <v>338</v>
      </c>
      <c r="H111" s="12" t="s">
        <v>416</v>
      </c>
      <c r="I111" s="12"/>
      <c r="J111" s="43">
        <f t="shared" si="1"/>
        <v>-0.02400805941</v>
      </c>
      <c r="K111" s="43">
        <f t="shared" si="2"/>
        <v>2.90822672</v>
      </c>
      <c r="L111" s="43">
        <f t="shared" si="3"/>
        <v>-0.02420790103</v>
      </c>
      <c r="M111" s="43">
        <f t="shared" si="4"/>
        <v>-0.7087129628</v>
      </c>
      <c r="N111" s="12" t="s">
        <v>3693</v>
      </c>
      <c r="O111" s="12" t="s">
        <v>3694</v>
      </c>
      <c r="P111" s="43">
        <f t="shared" si="5"/>
        <v>3.733335673</v>
      </c>
      <c r="Q111" s="43">
        <f t="shared" si="6"/>
        <v>2.814137673</v>
      </c>
      <c r="R111" s="12" t="s">
        <v>3695</v>
      </c>
      <c r="S111" s="12" t="s">
        <v>3696</v>
      </c>
      <c r="T111" s="43">
        <f t="shared" si="7"/>
        <v>37.92113431</v>
      </c>
      <c r="U111" s="43">
        <f t="shared" si="8"/>
        <v>0.4417875</v>
      </c>
      <c r="V111" s="12" t="s">
        <v>839</v>
      </c>
      <c r="W111" s="12" t="s">
        <v>3697</v>
      </c>
      <c r="X111" s="12" t="s">
        <v>841</v>
      </c>
      <c r="Y111" s="12" t="s">
        <v>841</v>
      </c>
      <c r="Z111" s="12" t="s">
        <v>841</v>
      </c>
      <c r="AA111" s="12" t="s">
        <v>3698</v>
      </c>
      <c r="AB111" s="12" t="s">
        <v>3699</v>
      </c>
      <c r="AC111" s="12" t="s">
        <v>3700</v>
      </c>
      <c r="AD111" s="12" t="s">
        <v>845</v>
      </c>
      <c r="AE111" s="12" t="s">
        <v>846</v>
      </c>
      <c r="AF111" s="43">
        <f t="shared" si="9"/>
        <v>3.7414896</v>
      </c>
      <c r="AG111" s="12" t="s">
        <v>847</v>
      </c>
      <c r="AH111" s="12" t="s">
        <v>3362</v>
      </c>
      <c r="AI111" s="12" t="s">
        <v>2322</v>
      </c>
      <c r="AJ111" s="12" t="s">
        <v>3701</v>
      </c>
      <c r="AK111" s="12" t="s">
        <v>1129</v>
      </c>
      <c r="AL111" s="43">
        <f t="shared" si="10"/>
        <v>27.72</v>
      </c>
      <c r="AM111" s="12" t="s">
        <v>3538</v>
      </c>
      <c r="AN111" s="12" t="s">
        <v>853</v>
      </c>
      <c r="AO111" s="12" t="s">
        <v>3702</v>
      </c>
      <c r="AP111" s="12" t="s">
        <v>3703</v>
      </c>
      <c r="AQ111" s="12" t="s">
        <v>1209</v>
      </c>
      <c r="AR111" s="12" t="s">
        <v>3704</v>
      </c>
      <c r="AS111" s="12" t="s">
        <v>3658</v>
      </c>
      <c r="AT111" s="12" t="s">
        <v>366</v>
      </c>
      <c r="AU111" s="12" t="s">
        <v>3659</v>
      </c>
      <c r="AV111" s="12" t="s">
        <v>832</v>
      </c>
      <c r="AW111" s="12" t="s">
        <v>1372</v>
      </c>
      <c r="AX111" s="12" t="s">
        <v>868</v>
      </c>
      <c r="AY111" s="12" t="s">
        <v>868</v>
      </c>
      <c r="AZ111" s="12" t="s">
        <v>3705</v>
      </c>
      <c r="BA111" s="12" t="s">
        <v>868</v>
      </c>
      <c r="BB111" s="12" t="s">
        <v>868</v>
      </c>
      <c r="BC111" s="12" t="s">
        <v>866</v>
      </c>
      <c r="BD111" s="12" t="s">
        <v>867</v>
      </c>
      <c r="BE111" s="12" t="s">
        <v>868</v>
      </c>
      <c r="BF111" s="12" t="s">
        <v>869</v>
      </c>
      <c r="BG111" s="12" t="s">
        <v>870</v>
      </c>
      <c r="BH111" s="12" t="s">
        <v>841</v>
      </c>
      <c r="BI111" s="12" t="s">
        <v>871</v>
      </c>
      <c r="BJ111" s="12" t="s">
        <v>841</v>
      </c>
      <c r="BK111" s="12" t="s">
        <v>841</v>
      </c>
      <c r="BL111" s="12" t="s">
        <v>872</v>
      </c>
      <c r="BM111" s="12" t="s">
        <v>873</v>
      </c>
      <c r="BN111" s="12" t="s">
        <v>866</v>
      </c>
      <c r="BO111" s="12" t="s">
        <v>874</v>
      </c>
      <c r="BP111" s="12" t="s">
        <v>875</v>
      </c>
      <c r="BQ111" s="12" t="s">
        <v>876</v>
      </c>
      <c r="BR111" s="12" t="s">
        <v>869</v>
      </c>
      <c r="BS111" s="12" t="s">
        <v>869</v>
      </c>
      <c r="BT111" s="12" t="s">
        <v>877</v>
      </c>
      <c r="BU111" s="12" t="s">
        <v>877</v>
      </c>
      <c r="BV111" s="12" t="s">
        <v>877</v>
      </c>
      <c r="BW111" s="12" t="s">
        <v>841</v>
      </c>
      <c r="BX111" s="12" t="s">
        <v>878</v>
      </c>
      <c r="BY111" s="12" t="s">
        <v>841</v>
      </c>
      <c r="BZ111" s="12" t="s">
        <v>841</v>
      </c>
      <c r="CA111" s="12" t="s">
        <v>841</v>
      </c>
      <c r="CB111" s="12" t="s">
        <v>841</v>
      </c>
      <c r="CC111" s="12" t="s">
        <v>3706</v>
      </c>
      <c r="CD111" s="12" t="s">
        <v>3707</v>
      </c>
      <c r="CE111" s="12" t="s">
        <v>3708</v>
      </c>
      <c r="CF111" s="12" t="s">
        <v>3709</v>
      </c>
      <c r="CG111" s="12" t="s">
        <v>3710</v>
      </c>
      <c r="CH111" s="12" t="s">
        <v>3711</v>
      </c>
      <c r="CI111" s="12" t="s">
        <v>3712</v>
      </c>
      <c r="CJ111" s="12" t="s">
        <v>3713</v>
      </c>
      <c r="CK111" s="12" t="s">
        <v>3698</v>
      </c>
      <c r="CL111" s="12" t="s">
        <v>1496</v>
      </c>
      <c r="CM111" s="12" t="s">
        <v>888</v>
      </c>
      <c r="CN111" s="12" t="s">
        <v>841</v>
      </c>
      <c r="CO111" s="12" t="s">
        <v>847</v>
      </c>
      <c r="CP111" s="12" t="s">
        <v>889</v>
      </c>
      <c r="CQ111" s="12" t="s">
        <v>890</v>
      </c>
      <c r="CR111" s="12" t="s">
        <v>847</v>
      </c>
      <c r="CS111" s="12" t="s">
        <v>891</v>
      </c>
      <c r="CT111" s="12" t="s">
        <v>892</v>
      </c>
      <c r="CU111" s="12" t="s">
        <v>893</v>
      </c>
      <c r="CV111" s="12" t="s">
        <v>841</v>
      </c>
      <c r="CW111" s="12" t="s">
        <v>3697</v>
      </c>
      <c r="CX111" s="12" t="s">
        <v>894</v>
      </c>
      <c r="CY111" s="12" t="s">
        <v>895</v>
      </c>
      <c r="CZ111" s="12" t="s">
        <v>896</v>
      </c>
      <c r="DA111" s="12" t="s">
        <v>897</v>
      </c>
      <c r="DB111" s="12" t="s">
        <v>898</v>
      </c>
      <c r="DC111" s="12" t="s">
        <v>899</v>
      </c>
    </row>
    <row r="112">
      <c r="A112" s="12" t="s">
        <v>832</v>
      </c>
      <c r="B112" s="12" t="s">
        <v>424</v>
      </c>
      <c r="C112" s="12" t="s">
        <v>366</v>
      </c>
      <c r="D112" s="12" t="s">
        <v>833</v>
      </c>
      <c r="E112" s="12" t="s">
        <v>834</v>
      </c>
      <c r="F112" s="12"/>
      <c r="G112" s="12" t="s">
        <v>338</v>
      </c>
      <c r="H112" s="12" t="s">
        <v>422</v>
      </c>
      <c r="I112" s="12"/>
      <c r="J112" s="43">
        <f t="shared" si="1"/>
        <v>-0.008285025123</v>
      </c>
      <c r="K112" s="43">
        <f t="shared" si="2"/>
        <v>2.91060848</v>
      </c>
      <c r="L112" s="43">
        <f t="shared" si="3"/>
        <v>-0.008308675705</v>
      </c>
      <c r="M112" s="43">
        <f t="shared" si="4"/>
        <v>-0.2747743658</v>
      </c>
      <c r="N112" s="12" t="s">
        <v>3714</v>
      </c>
      <c r="O112" s="12" t="s">
        <v>3715</v>
      </c>
      <c r="P112" s="43">
        <f t="shared" si="5"/>
        <v>4.061505576</v>
      </c>
      <c r="Q112" s="43">
        <f t="shared" si="6"/>
        <v>3.174642576</v>
      </c>
      <c r="R112" s="12" t="s">
        <v>3716</v>
      </c>
      <c r="S112" s="12" t="s">
        <v>3717</v>
      </c>
      <c r="T112" s="43">
        <f t="shared" si="7"/>
        <v>41.24612141</v>
      </c>
      <c r="U112" s="43">
        <f t="shared" si="8"/>
        <v>0.4417875</v>
      </c>
      <c r="V112" s="12" t="s">
        <v>839</v>
      </c>
      <c r="W112" s="12" t="s">
        <v>3718</v>
      </c>
      <c r="X112" s="12" t="s">
        <v>841</v>
      </c>
      <c r="Y112" s="12" t="s">
        <v>841</v>
      </c>
      <c r="Z112" s="12" t="s">
        <v>841</v>
      </c>
      <c r="AA112" s="12" t="s">
        <v>3719</v>
      </c>
      <c r="AB112" s="12" t="s">
        <v>3720</v>
      </c>
      <c r="AC112" s="12" t="s">
        <v>3721</v>
      </c>
      <c r="AD112" s="12" t="s">
        <v>845</v>
      </c>
      <c r="AE112" s="12" t="s">
        <v>846</v>
      </c>
      <c r="AF112" s="43">
        <f t="shared" si="9"/>
        <v>3.127152</v>
      </c>
      <c r="AG112" s="12" t="s">
        <v>847</v>
      </c>
      <c r="AH112" s="12" t="s">
        <v>3722</v>
      </c>
      <c r="AI112" s="12" t="s">
        <v>3723</v>
      </c>
      <c r="AJ112" s="12" t="s">
        <v>3724</v>
      </c>
      <c r="AK112" s="12" t="s">
        <v>3725</v>
      </c>
      <c r="AL112" s="43">
        <f t="shared" si="10"/>
        <v>29.17</v>
      </c>
      <c r="AM112" s="12" t="s">
        <v>3065</v>
      </c>
      <c r="AN112" s="12" t="s">
        <v>1159</v>
      </c>
      <c r="AO112" s="12" t="s">
        <v>3726</v>
      </c>
      <c r="AP112" s="12" t="s">
        <v>3727</v>
      </c>
      <c r="AQ112" s="12" t="s">
        <v>1821</v>
      </c>
      <c r="AR112" s="12" t="s">
        <v>3683</v>
      </c>
      <c r="AS112" s="12" t="s">
        <v>3728</v>
      </c>
      <c r="AT112" s="12" t="s">
        <v>366</v>
      </c>
      <c r="AU112" s="12" t="s">
        <v>3729</v>
      </c>
      <c r="AV112" s="12" t="s">
        <v>832</v>
      </c>
      <c r="AW112" s="12" t="s">
        <v>861</v>
      </c>
      <c r="AX112" s="12" t="s">
        <v>1372</v>
      </c>
      <c r="AY112" s="12" t="s">
        <v>919</v>
      </c>
      <c r="AZ112" s="12" t="s">
        <v>3730</v>
      </c>
      <c r="BA112" s="12" t="s">
        <v>3731</v>
      </c>
      <c r="BB112" s="12" t="s">
        <v>3732</v>
      </c>
      <c r="BC112" s="12" t="s">
        <v>866</v>
      </c>
      <c r="BD112" s="12" t="s">
        <v>867</v>
      </c>
      <c r="BE112" s="12" t="s">
        <v>868</v>
      </c>
      <c r="BF112" s="12" t="s">
        <v>869</v>
      </c>
      <c r="BG112" s="12" t="s">
        <v>870</v>
      </c>
      <c r="BH112" s="12" t="s">
        <v>841</v>
      </c>
      <c r="BI112" s="12" t="s">
        <v>871</v>
      </c>
      <c r="BJ112" s="12" t="s">
        <v>841</v>
      </c>
      <c r="BK112" s="12" t="s">
        <v>841</v>
      </c>
      <c r="BL112" s="12" t="s">
        <v>872</v>
      </c>
      <c r="BM112" s="12" t="s">
        <v>873</v>
      </c>
      <c r="BN112" s="12" t="s">
        <v>866</v>
      </c>
      <c r="BO112" s="12" t="s">
        <v>874</v>
      </c>
      <c r="BP112" s="12" t="s">
        <v>875</v>
      </c>
      <c r="BQ112" s="12" t="s">
        <v>876</v>
      </c>
      <c r="BR112" s="12" t="s">
        <v>869</v>
      </c>
      <c r="BS112" s="12" t="s">
        <v>869</v>
      </c>
      <c r="BT112" s="12" t="s">
        <v>877</v>
      </c>
      <c r="BU112" s="12" t="s">
        <v>877</v>
      </c>
      <c r="BV112" s="12" t="s">
        <v>877</v>
      </c>
      <c r="BW112" s="12" t="s">
        <v>841</v>
      </c>
      <c r="BX112" s="12" t="s">
        <v>878</v>
      </c>
      <c r="BY112" s="12" t="s">
        <v>841</v>
      </c>
      <c r="BZ112" s="12" t="s">
        <v>841</v>
      </c>
      <c r="CA112" s="12" t="s">
        <v>841</v>
      </c>
      <c r="CB112" s="12" t="s">
        <v>841</v>
      </c>
      <c r="CC112" s="12" t="s">
        <v>3733</v>
      </c>
      <c r="CD112" s="12" t="s">
        <v>3734</v>
      </c>
      <c r="CE112" s="12" t="s">
        <v>3735</v>
      </c>
      <c r="CF112" s="12" t="s">
        <v>3736</v>
      </c>
      <c r="CG112" s="12" t="s">
        <v>3737</v>
      </c>
      <c r="CH112" s="12" t="s">
        <v>3738</v>
      </c>
      <c r="CI112" s="12" t="s">
        <v>3739</v>
      </c>
      <c r="CJ112" s="12" t="s">
        <v>3740</v>
      </c>
      <c r="CK112" s="12" t="s">
        <v>3741</v>
      </c>
      <c r="CL112" s="12" t="s">
        <v>996</v>
      </c>
      <c r="CM112" s="12" t="s">
        <v>888</v>
      </c>
      <c r="CN112" s="12" t="s">
        <v>841</v>
      </c>
      <c r="CO112" s="12" t="s">
        <v>847</v>
      </c>
      <c r="CP112" s="12" t="s">
        <v>889</v>
      </c>
      <c r="CQ112" s="12" t="s">
        <v>890</v>
      </c>
      <c r="CR112" s="12" t="s">
        <v>847</v>
      </c>
      <c r="CS112" s="12" t="s">
        <v>891</v>
      </c>
      <c r="CT112" s="12" t="s">
        <v>892</v>
      </c>
      <c r="CU112" s="12" t="s">
        <v>893</v>
      </c>
      <c r="CV112" s="12" t="s">
        <v>841</v>
      </c>
      <c r="CW112" s="12" t="s">
        <v>3718</v>
      </c>
      <c r="CX112" s="12" t="s">
        <v>894</v>
      </c>
      <c r="CY112" s="12" t="s">
        <v>895</v>
      </c>
      <c r="CZ112" s="12" t="s">
        <v>896</v>
      </c>
      <c r="DA112" s="12" t="s">
        <v>897</v>
      </c>
      <c r="DB112" s="12" t="s">
        <v>898</v>
      </c>
      <c r="DC112" s="12" t="s">
        <v>899</v>
      </c>
    </row>
    <row r="113">
      <c r="A113" s="12" t="s">
        <v>900</v>
      </c>
      <c r="B113" s="12" t="s">
        <v>426</v>
      </c>
      <c r="C113" s="12" t="s">
        <v>366</v>
      </c>
      <c r="D113" s="12" t="s">
        <v>833</v>
      </c>
      <c r="E113" s="12" t="s">
        <v>834</v>
      </c>
      <c r="F113" s="12"/>
      <c r="G113" s="12" t="s">
        <v>338</v>
      </c>
      <c r="H113" s="12" t="s">
        <v>422</v>
      </c>
      <c r="I113" s="12"/>
      <c r="J113" s="43">
        <f t="shared" si="1"/>
        <v>0.02469024915</v>
      </c>
      <c r="K113" s="43">
        <f t="shared" si="2"/>
        <v>2.91139968</v>
      </c>
      <c r="L113" s="43">
        <f t="shared" si="3"/>
        <v>0.02448262322</v>
      </c>
      <c r="M113" s="43">
        <f t="shared" si="4"/>
        <v>0.7932792206</v>
      </c>
      <c r="N113" s="12" t="s">
        <v>3742</v>
      </c>
      <c r="O113" s="12" t="s">
        <v>3743</v>
      </c>
      <c r="P113" s="43">
        <f t="shared" si="5"/>
        <v>4.047443329</v>
      </c>
      <c r="Q113" s="43">
        <f t="shared" si="6"/>
        <v>3.109845329</v>
      </c>
      <c r="R113" s="12" t="s">
        <v>3744</v>
      </c>
      <c r="S113" s="12" t="s">
        <v>3745</v>
      </c>
      <c r="T113" s="43">
        <f t="shared" si="7"/>
        <v>41.10331399</v>
      </c>
      <c r="U113" s="43">
        <f t="shared" si="8"/>
        <v>0.4417875</v>
      </c>
      <c r="V113" s="12" t="s">
        <v>839</v>
      </c>
      <c r="W113" s="12" t="s">
        <v>3746</v>
      </c>
      <c r="X113" s="12" t="s">
        <v>841</v>
      </c>
      <c r="Y113" s="12" t="s">
        <v>841</v>
      </c>
      <c r="Z113" s="12" t="s">
        <v>841</v>
      </c>
      <c r="AA113" s="12" t="s">
        <v>3747</v>
      </c>
      <c r="AB113" s="12" t="s">
        <v>3748</v>
      </c>
      <c r="AC113" s="12" t="s">
        <v>3749</v>
      </c>
      <c r="AD113" s="12" t="s">
        <v>845</v>
      </c>
      <c r="AE113" s="12" t="s">
        <v>846</v>
      </c>
      <c r="AF113" s="43">
        <f t="shared" si="9"/>
        <v>3.5739236</v>
      </c>
      <c r="AG113" s="12" t="s">
        <v>847</v>
      </c>
      <c r="AH113" s="12" t="s">
        <v>3750</v>
      </c>
      <c r="AI113" s="12" t="s">
        <v>3751</v>
      </c>
      <c r="AJ113" s="12" t="s">
        <v>3752</v>
      </c>
      <c r="AK113" s="12" t="s">
        <v>3487</v>
      </c>
      <c r="AL113" s="43">
        <f t="shared" si="10"/>
        <v>29.11</v>
      </c>
      <c r="AM113" s="12" t="s">
        <v>3065</v>
      </c>
      <c r="AN113" s="12" t="s">
        <v>1337</v>
      </c>
      <c r="AO113" s="12" t="s">
        <v>3753</v>
      </c>
      <c r="AP113" s="12" t="s">
        <v>3754</v>
      </c>
      <c r="AQ113" s="12" t="s">
        <v>1713</v>
      </c>
      <c r="AR113" s="12" t="s">
        <v>3755</v>
      </c>
      <c r="AS113" s="12" t="s">
        <v>3728</v>
      </c>
      <c r="AT113" s="12" t="s">
        <v>366</v>
      </c>
      <c r="AU113" s="12" t="s">
        <v>3729</v>
      </c>
      <c r="AV113" s="12" t="s">
        <v>832</v>
      </c>
      <c r="AW113" s="12" t="s">
        <v>919</v>
      </c>
      <c r="AX113" s="12" t="s">
        <v>953</v>
      </c>
      <c r="AY113" s="12" t="s">
        <v>868</v>
      </c>
      <c r="AZ113" s="12" t="s">
        <v>3756</v>
      </c>
      <c r="BA113" s="12" t="s">
        <v>1343</v>
      </c>
      <c r="BB113" s="12" t="s">
        <v>868</v>
      </c>
      <c r="BC113" s="12" t="s">
        <v>866</v>
      </c>
      <c r="BD113" s="12" t="s">
        <v>867</v>
      </c>
      <c r="BE113" s="12" t="s">
        <v>868</v>
      </c>
      <c r="BF113" s="12" t="s">
        <v>869</v>
      </c>
      <c r="BG113" s="12" t="s">
        <v>870</v>
      </c>
      <c r="BH113" s="12" t="s">
        <v>841</v>
      </c>
      <c r="BI113" s="12" t="s">
        <v>871</v>
      </c>
      <c r="BJ113" s="12" t="s">
        <v>841</v>
      </c>
      <c r="BK113" s="12" t="s">
        <v>841</v>
      </c>
      <c r="BL113" s="12" t="s">
        <v>872</v>
      </c>
      <c r="BM113" s="12" t="s">
        <v>873</v>
      </c>
      <c r="BN113" s="12" t="s">
        <v>866</v>
      </c>
      <c r="BO113" s="12" t="s">
        <v>874</v>
      </c>
      <c r="BP113" s="12" t="s">
        <v>875</v>
      </c>
      <c r="BQ113" s="12" t="s">
        <v>876</v>
      </c>
      <c r="BR113" s="12" t="s">
        <v>869</v>
      </c>
      <c r="BS113" s="12" t="s">
        <v>869</v>
      </c>
      <c r="BT113" s="12" t="s">
        <v>877</v>
      </c>
      <c r="BU113" s="12" t="s">
        <v>877</v>
      </c>
      <c r="BV113" s="12" t="s">
        <v>877</v>
      </c>
      <c r="BW113" s="12" t="s">
        <v>841</v>
      </c>
      <c r="BX113" s="12" t="s">
        <v>878</v>
      </c>
      <c r="BY113" s="12" t="s">
        <v>841</v>
      </c>
      <c r="BZ113" s="12" t="s">
        <v>841</v>
      </c>
      <c r="CA113" s="12" t="s">
        <v>841</v>
      </c>
      <c r="CB113" s="12" t="s">
        <v>841</v>
      </c>
      <c r="CC113" s="12" t="s">
        <v>3757</v>
      </c>
      <c r="CD113" s="12" t="s">
        <v>3758</v>
      </c>
      <c r="CE113" s="12" t="s">
        <v>3759</v>
      </c>
      <c r="CF113" s="12" t="s">
        <v>3760</v>
      </c>
      <c r="CG113" s="12" t="s">
        <v>3761</v>
      </c>
      <c r="CH113" s="12" t="s">
        <v>3762</v>
      </c>
      <c r="CI113" s="12" t="s">
        <v>3763</v>
      </c>
      <c r="CJ113" s="12" t="s">
        <v>3764</v>
      </c>
      <c r="CK113" s="12" t="s">
        <v>3747</v>
      </c>
      <c r="CL113" s="12" t="s">
        <v>1415</v>
      </c>
      <c r="CM113" s="12" t="s">
        <v>888</v>
      </c>
      <c r="CN113" s="12" t="s">
        <v>841</v>
      </c>
      <c r="CO113" s="12" t="s">
        <v>847</v>
      </c>
      <c r="CP113" s="12" t="s">
        <v>889</v>
      </c>
      <c r="CQ113" s="12" t="s">
        <v>890</v>
      </c>
      <c r="CR113" s="12" t="s">
        <v>847</v>
      </c>
      <c r="CS113" s="12" t="s">
        <v>891</v>
      </c>
      <c r="CT113" s="12" t="s">
        <v>892</v>
      </c>
      <c r="CU113" s="12" t="s">
        <v>893</v>
      </c>
      <c r="CV113" s="12" t="s">
        <v>841</v>
      </c>
      <c r="CW113" s="12" t="s">
        <v>3746</v>
      </c>
      <c r="CX113" s="12" t="s">
        <v>894</v>
      </c>
      <c r="CY113" s="12" t="s">
        <v>895</v>
      </c>
      <c r="CZ113" s="12" t="s">
        <v>896</v>
      </c>
      <c r="DA113" s="12" t="s">
        <v>897</v>
      </c>
      <c r="DB113" s="12" t="s">
        <v>898</v>
      </c>
      <c r="DC113" s="12" t="s">
        <v>899</v>
      </c>
    </row>
    <row r="114">
      <c r="A114" s="12" t="s">
        <v>934</v>
      </c>
      <c r="B114" s="12" t="s">
        <v>428</v>
      </c>
      <c r="C114" s="12" t="s">
        <v>366</v>
      </c>
      <c r="D114" s="12" t="s">
        <v>833</v>
      </c>
      <c r="E114" s="12" t="s">
        <v>834</v>
      </c>
      <c r="F114" s="12"/>
      <c r="G114" s="12" t="s">
        <v>338</v>
      </c>
      <c r="H114" s="12" t="s">
        <v>418</v>
      </c>
      <c r="I114" s="12"/>
      <c r="J114" s="43">
        <f t="shared" si="1"/>
        <v>0.07352405283</v>
      </c>
      <c r="K114" s="43">
        <f t="shared" si="2"/>
        <v>2.909022</v>
      </c>
      <c r="L114" s="43">
        <f t="shared" si="3"/>
        <v>0.0717115791</v>
      </c>
      <c r="M114" s="43">
        <f t="shared" si="4"/>
        <v>2.212920744</v>
      </c>
      <c r="N114" s="12" t="s">
        <v>3765</v>
      </c>
      <c r="O114" s="12" t="s">
        <v>3766</v>
      </c>
      <c r="P114" s="43">
        <f t="shared" si="5"/>
        <v>3.977767001</v>
      </c>
      <c r="Q114" s="43">
        <f t="shared" si="6"/>
        <v>2.961586001</v>
      </c>
      <c r="R114" s="12" t="s">
        <v>3767</v>
      </c>
      <c r="S114" s="12" t="s">
        <v>3768</v>
      </c>
      <c r="T114" s="43">
        <f t="shared" si="7"/>
        <v>40.3957246</v>
      </c>
      <c r="U114" s="43">
        <f t="shared" si="8"/>
        <v>0.4417875</v>
      </c>
      <c r="V114" s="12" t="s">
        <v>839</v>
      </c>
      <c r="W114" s="12" t="s">
        <v>3769</v>
      </c>
      <c r="X114" s="12" t="s">
        <v>841</v>
      </c>
      <c r="Y114" s="12" t="s">
        <v>841</v>
      </c>
      <c r="Z114" s="12" t="s">
        <v>841</v>
      </c>
      <c r="AA114" s="12" t="s">
        <v>3770</v>
      </c>
      <c r="AB114" s="12" t="s">
        <v>3771</v>
      </c>
      <c r="AC114" s="12" t="s">
        <v>3772</v>
      </c>
      <c r="AD114" s="12" t="s">
        <v>845</v>
      </c>
      <c r="AE114" s="12" t="s">
        <v>846</v>
      </c>
      <c r="AF114" s="43">
        <f t="shared" si="9"/>
        <v>3.267744</v>
      </c>
      <c r="AG114" s="12" t="s">
        <v>847</v>
      </c>
      <c r="AH114" s="12" t="s">
        <v>2823</v>
      </c>
      <c r="AI114" s="12" t="s">
        <v>3773</v>
      </c>
      <c r="AJ114" s="12" t="s">
        <v>3774</v>
      </c>
      <c r="AK114" s="12" t="s">
        <v>3775</v>
      </c>
      <c r="AL114" s="43">
        <f t="shared" si="10"/>
        <v>28.81</v>
      </c>
      <c r="AM114" s="12" t="s">
        <v>3065</v>
      </c>
      <c r="AN114" s="12" t="s">
        <v>1072</v>
      </c>
      <c r="AO114" s="12" t="s">
        <v>3609</v>
      </c>
      <c r="AP114" s="12" t="s">
        <v>3776</v>
      </c>
      <c r="AQ114" s="12" t="s">
        <v>1687</v>
      </c>
      <c r="AR114" s="12" t="s">
        <v>3777</v>
      </c>
      <c r="AS114" s="12" t="s">
        <v>3728</v>
      </c>
      <c r="AT114" s="12" t="s">
        <v>366</v>
      </c>
      <c r="AU114" s="12" t="s">
        <v>3729</v>
      </c>
      <c r="AV114" s="12" t="s">
        <v>832</v>
      </c>
      <c r="AW114" s="12" t="s">
        <v>919</v>
      </c>
      <c r="AX114" s="12" t="s">
        <v>868</v>
      </c>
      <c r="AY114" s="12" t="s">
        <v>868</v>
      </c>
      <c r="AZ114" s="12" t="s">
        <v>3778</v>
      </c>
      <c r="BA114" s="12" t="s">
        <v>868</v>
      </c>
      <c r="BB114" s="12" t="s">
        <v>868</v>
      </c>
      <c r="BC114" s="12" t="s">
        <v>866</v>
      </c>
      <c r="BD114" s="12" t="s">
        <v>867</v>
      </c>
      <c r="BE114" s="12" t="s">
        <v>868</v>
      </c>
      <c r="BF114" s="12" t="s">
        <v>869</v>
      </c>
      <c r="BG114" s="12" t="s">
        <v>870</v>
      </c>
      <c r="BH114" s="12" t="s">
        <v>841</v>
      </c>
      <c r="BI114" s="12" t="s">
        <v>871</v>
      </c>
      <c r="BJ114" s="12" t="s">
        <v>841</v>
      </c>
      <c r="BK114" s="12" t="s">
        <v>841</v>
      </c>
      <c r="BL114" s="12" t="s">
        <v>872</v>
      </c>
      <c r="BM114" s="12" t="s">
        <v>873</v>
      </c>
      <c r="BN114" s="12" t="s">
        <v>866</v>
      </c>
      <c r="BO114" s="12" t="s">
        <v>874</v>
      </c>
      <c r="BP114" s="12" t="s">
        <v>875</v>
      </c>
      <c r="BQ114" s="12" t="s">
        <v>876</v>
      </c>
      <c r="BR114" s="12" t="s">
        <v>869</v>
      </c>
      <c r="BS114" s="12" t="s">
        <v>869</v>
      </c>
      <c r="BT114" s="12" t="s">
        <v>877</v>
      </c>
      <c r="BU114" s="12" t="s">
        <v>877</v>
      </c>
      <c r="BV114" s="12" t="s">
        <v>877</v>
      </c>
      <c r="BW114" s="12" t="s">
        <v>841</v>
      </c>
      <c r="BX114" s="12" t="s">
        <v>878</v>
      </c>
      <c r="BY114" s="12" t="s">
        <v>841</v>
      </c>
      <c r="BZ114" s="12" t="s">
        <v>841</v>
      </c>
      <c r="CA114" s="12" t="s">
        <v>841</v>
      </c>
      <c r="CB114" s="12" t="s">
        <v>841</v>
      </c>
      <c r="CC114" s="12" t="s">
        <v>3779</v>
      </c>
      <c r="CD114" s="12" t="s">
        <v>3780</v>
      </c>
      <c r="CE114" s="12" t="s">
        <v>3781</v>
      </c>
      <c r="CF114" s="12" t="s">
        <v>3782</v>
      </c>
      <c r="CG114" s="12" t="s">
        <v>3783</v>
      </c>
      <c r="CH114" s="12" t="s">
        <v>3784</v>
      </c>
      <c r="CI114" s="12" t="s">
        <v>3785</v>
      </c>
      <c r="CJ114" s="12" t="s">
        <v>3786</v>
      </c>
      <c r="CK114" s="12" t="s">
        <v>3770</v>
      </c>
      <c r="CL114" s="12" t="s">
        <v>1299</v>
      </c>
      <c r="CM114" s="12" t="s">
        <v>888</v>
      </c>
      <c r="CN114" s="12" t="s">
        <v>841</v>
      </c>
      <c r="CO114" s="12" t="s">
        <v>847</v>
      </c>
      <c r="CP114" s="12" t="s">
        <v>889</v>
      </c>
      <c r="CQ114" s="12" t="s">
        <v>890</v>
      </c>
      <c r="CR114" s="12" t="s">
        <v>847</v>
      </c>
      <c r="CS114" s="12" t="s">
        <v>891</v>
      </c>
      <c r="CT114" s="12" t="s">
        <v>892</v>
      </c>
      <c r="CU114" s="12" t="s">
        <v>893</v>
      </c>
      <c r="CV114" s="12" t="s">
        <v>841</v>
      </c>
      <c r="CW114" s="12" t="s">
        <v>3769</v>
      </c>
      <c r="CX114" s="12" t="s">
        <v>894</v>
      </c>
      <c r="CY114" s="12" t="s">
        <v>895</v>
      </c>
      <c r="CZ114" s="12" t="s">
        <v>896</v>
      </c>
      <c r="DA114" s="12" t="s">
        <v>897</v>
      </c>
      <c r="DB114" s="12" t="s">
        <v>898</v>
      </c>
      <c r="DC114" s="12" t="s">
        <v>899</v>
      </c>
    </row>
    <row r="115">
      <c r="A115" s="12" t="s">
        <v>968</v>
      </c>
      <c r="B115" s="12" t="s">
        <v>429</v>
      </c>
      <c r="C115" s="12" t="s">
        <v>366</v>
      </c>
      <c r="D115" s="12" t="s">
        <v>833</v>
      </c>
      <c r="E115" s="12" t="s">
        <v>834</v>
      </c>
      <c r="F115" s="12"/>
      <c r="G115" s="12" t="s">
        <v>338</v>
      </c>
      <c r="H115" s="12" t="s">
        <v>418</v>
      </c>
      <c r="I115" s="12"/>
      <c r="J115" s="43">
        <f t="shared" si="1"/>
        <v>-0.01399394858</v>
      </c>
      <c r="K115" s="43">
        <f t="shared" si="2"/>
        <v>2.90822672</v>
      </c>
      <c r="L115" s="43">
        <f t="shared" si="3"/>
        <v>-0.01406161094</v>
      </c>
      <c r="M115" s="43">
        <f t="shared" si="4"/>
        <v>-0.4597665842</v>
      </c>
      <c r="N115" s="12" t="s">
        <v>3787</v>
      </c>
      <c r="O115" s="12" t="s">
        <v>3788</v>
      </c>
      <c r="P115" s="43">
        <f t="shared" si="5"/>
        <v>4.021772771</v>
      </c>
      <c r="Q115" s="43">
        <f t="shared" si="6"/>
        <v>3.140130771</v>
      </c>
      <c r="R115" s="12" t="s">
        <v>3789</v>
      </c>
      <c r="S115" s="12" t="s">
        <v>3790</v>
      </c>
      <c r="T115" s="43">
        <f t="shared" si="7"/>
        <v>40.83432604</v>
      </c>
      <c r="U115" s="43">
        <f t="shared" si="8"/>
        <v>0.4417875</v>
      </c>
      <c r="V115" s="12" t="s">
        <v>839</v>
      </c>
      <c r="W115" s="12" t="s">
        <v>3791</v>
      </c>
      <c r="X115" s="12" t="s">
        <v>841</v>
      </c>
      <c r="Y115" s="12" t="s">
        <v>841</v>
      </c>
      <c r="Z115" s="12" t="s">
        <v>841</v>
      </c>
      <c r="AA115" s="12" t="s">
        <v>3792</v>
      </c>
      <c r="AB115" s="12" t="s">
        <v>3793</v>
      </c>
      <c r="AC115" s="12" t="s">
        <v>3794</v>
      </c>
      <c r="AD115" s="12" t="s">
        <v>845</v>
      </c>
      <c r="AE115" s="12" t="s">
        <v>846</v>
      </c>
      <c r="AF115" s="43">
        <f t="shared" si="9"/>
        <v>6.2573524</v>
      </c>
      <c r="AG115" s="12" t="s">
        <v>847</v>
      </c>
      <c r="AH115" s="12" t="s">
        <v>3795</v>
      </c>
      <c r="AI115" s="12" t="s">
        <v>3796</v>
      </c>
      <c r="AJ115" s="12" t="s">
        <v>3797</v>
      </c>
      <c r="AK115" s="12" t="s">
        <v>3798</v>
      </c>
      <c r="AL115" s="43">
        <f t="shared" si="10"/>
        <v>29</v>
      </c>
      <c r="AM115" s="12" t="s">
        <v>3121</v>
      </c>
      <c r="AN115" s="12" t="s">
        <v>853</v>
      </c>
      <c r="AO115" s="12" t="s">
        <v>3799</v>
      </c>
      <c r="AP115" s="12" t="s">
        <v>3800</v>
      </c>
      <c r="AQ115" s="12" t="s">
        <v>1870</v>
      </c>
      <c r="AR115" s="12" t="s">
        <v>3801</v>
      </c>
      <c r="AS115" s="12" t="s">
        <v>3728</v>
      </c>
      <c r="AT115" s="12" t="s">
        <v>366</v>
      </c>
      <c r="AU115" s="12" t="s">
        <v>3729</v>
      </c>
      <c r="AV115" s="12" t="s">
        <v>832</v>
      </c>
      <c r="AW115" s="12" t="s">
        <v>1047</v>
      </c>
      <c r="AX115" s="12" t="s">
        <v>868</v>
      </c>
      <c r="AY115" s="12" t="s">
        <v>868</v>
      </c>
      <c r="AZ115" s="12" t="s">
        <v>3802</v>
      </c>
      <c r="BA115" s="12" t="s">
        <v>868</v>
      </c>
      <c r="BB115" s="12" t="s">
        <v>868</v>
      </c>
      <c r="BC115" s="12" t="s">
        <v>866</v>
      </c>
      <c r="BD115" s="12" t="s">
        <v>867</v>
      </c>
      <c r="BE115" s="12" t="s">
        <v>868</v>
      </c>
      <c r="BF115" s="12" t="s">
        <v>869</v>
      </c>
      <c r="BG115" s="12" t="s">
        <v>870</v>
      </c>
      <c r="BH115" s="12" t="s">
        <v>841</v>
      </c>
      <c r="BI115" s="12" t="s">
        <v>871</v>
      </c>
      <c r="BJ115" s="12" t="s">
        <v>841</v>
      </c>
      <c r="BK115" s="12" t="s">
        <v>841</v>
      </c>
      <c r="BL115" s="12" t="s">
        <v>872</v>
      </c>
      <c r="BM115" s="12" t="s">
        <v>873</v>
      </c>
      <c r="BN115" s="12" t="s">
        <v>866</v>
      </c>
      <c r="BO115" s="12" t="s">
        <v>874</v>
      </c>
      <c r="BP115" s="12" t="s">
        <v>875</v>
      </c>
      <c r="BQ115" s="12" t="s">
        <v>876</v>
      </c>
      <c r="BR115" s="12" t="s">
        <v>869</v>
      </c>
      <c r="BS115" s="12" t="s">
        <v>869</v>
      </c>
      <c r="BT115" s="12" t="s">
        <v>877</v>
      </c>
      <c r="BU115" s="12" t="s">
        <v>877</v>
      </c>
      <c r="BV115" s="12" t="s">
        <v>877</v>
      </c>
      <c r="BW115" s="12" t="s">
        <v>841</v>
      </c>
      <c r="BX115" s="12" t="s">
        <v>878</v>
      </c>
      <c r="BY115" s="12" t="s">
        <v>841</v>
      </c>
      <c r="BZ115" s="12" t="s">
        <v>841</v>
      </c>
      <c r="CA115" s="12" t="s">
        <v>841</v>
      </c>
      <c r="CB115" s="12" t="s">
        <v>841</v>
      </c>
      <c r="CC115" s="12" t="s">
        <v>3803</v>
      </c>
      <c r="CD115" s="12" t="s">
        <v>3804</v>
      </c>
      <c r="CE115" s="12" t="s">
        <v>3805</v>
      </c>
      <c r="CF115" s="12" t="s">
        <v>3806</v>
      </c>
      <c r="CG115" s="12" t="s">
        <v>3807</v>
      </c>
      <c r="CH115" s="12" t="s">
        <v>3808</v>
      </c>
      <c r="CI115" s="12" t="s">
        <v>3809</v>
      </c>
      <c r="CJ115" s="12" t="s">
        <v>3810</v>
      </c>
      <c r="CK115" s="12" t="s">
        <v>3792</v>
      </c>
      <c r="CL115" s="12" t="s">
        <v>1354</v>
      </c>
      <c r="CM115" s="12" t="s">
        <v>888</v>
      </c>
      <c r="CN115" s="12" t="s">
        <v>841</v>
      </c>
      <c r="CO115" s="12" t="s">
        <v>847</v>
      </c>
      <c r="CP115" s="12" t="s">
        <v>889</v>
      </c>
      <c r="CQ115" s="12" t="s">
        <v>890</v>
      </c>
      <c r="CR115" s="12" t="s">
        <v>847</v>
      </c>
      <c r="CS115" s="12" t="s">
        <v>891</v>
      </c>
      <c r="CT115" s="12" t="s">
        <v>892</v>
      </c>
      <c r="CU115" s="12" t="s">
        <v>893</v>
      </c>
      <c r="CV115" s="12" t="s">
        <v>841</v>
      </c>
      <c r="CW115" s="12" t="s">
        <v>3791</v>
      </c>
      <c r="CX115" s="12" t="s">
        <v>894</v>
      </c>
      <c r="CY115" s="12" t="s">
        <v>895</v>
      </c>
      <c r="CZ115" s="12" t="s">
        <v>896</v>
      </c>
      <c r="DA115" s="12" t="s">
        <v>897</v>
      </c>
      <c r="DB115" s="12" t="s">
        <v>898</v>
      </c>
      <c r="DC115" s="12" t="s">
        <v>899</v>
      </c>
    </row>
    <row r="116">
      <c r="A116" s="12" t="s">
        <v>997</v>
      </c>
      <c r="B116" s="12" t="s">
        <v>430</v>
      </c>
      <c r="C116" s="12" t="s">
        <v>366</v>
      </c>
      <c r="D116" s="12" t="s">
        <v>833</v>
      </c>
      <c r="E116" s="12" t="s">
        <v>834</v>
      </c>
      <c r="F116" s="12"/>
      <c r="G116" s="12" t="s">
        <v>338</v>
      </c>
      <c r="H116" s="12" t="s">
        <v>418</v>
      </c>
      <c r="I116" s="12"/>
      <c r="J116" s="43">
        <f t="shared" si="1"/>
        <v>0.02862704516</v>
      </c>
      <c r="K116" s="43">
        <f t="shared" si="2"/>
        <v>2.90981592</v>
      </c>
      <c r="L116" s="43">
        <f t="shared" si="3"/>
        <v>0.02834815333</v>
      </c>
      <c r="M116" s="43">
        <f t="shared" si="4"/>
        <v>0.9260658652</v>
      </c>
      <c r="N116" s="12" t="s">
        <v>3811</v>
      </c>
      <c r="O116" s="12" t="s">
        <v>3812</v>
      </c>
      <c r="P116" s="43">
        <f t="shared" si="5"/>
        <v>4.05212602</v>
      </c>
      <c r="Q116" s="43">
        <f t="shared" si="6"/>
        <v>3.13626902</v>
      </c>
      <c r="R116" s="12" t="s">
        <v>3813</v>
      </c>
      <c r="S116" s="12" t="s">
        <v>3814</v>
      </c>
      <c r="T116" s="43">
        <f t="shared" si="7"/>
        <v>41.14251213</v>
      </c>
      <c r="U116" s="43">
        <f t="shared" si="8"/>
        <v>0.4417875</v>
      </c>
      <c r="V116" s="12" t="s">
        <v>839</v>
      </c>
      <c r="W116" s="12" t="s">
        <v>3815</v>
      </c>
      <c r="X116" s="12" t="s">
        <v>841</v>
      </c>
      <c r="Y116" s="12" t="s">
        <v>841</v>
      </c>
      <c r="Z116" s="12" t="s">
        <v>841</v>
      </c>
      <c r="AA116" s="12" t="s">
        <v>3816</v>
      </c>
      <c r="AB116" s="12" t="s">
        <v>3817</v>
      </c>
      <c r="AC116" s="12" t="s">
        <v>3818</v>
      </c>
      <c r="AD116" s="12" t="s">
        <v>845</v>
      </c>
      <c r="AE116" s="12" t="s">
        <v>846</v>
      </c>
      <c r="AF116" s="43">
        <f t="shared" si="9"/>
        <v>6.9380496</v>
      </c>
      <c r="AG116" s="12" t="s">
        <v>847</v>
      </c>
      <c r="AH116" s="12" t="s">
        <v>2242</v>
      </c>
      <c r="AI116" s="12" t="s">
        <v>3819</v>
      </c>
      <c r="AJ116" s="12" t="s">
        <v>3820</v>
      </c>
      <c r="AK116" s="12" t="s">
        <v>3821</v>
      </c>
      <c r="AL116" s="43">
        <f t="shared" si="10"/>
        <v>29.13</v>
      </c>
      <c r="AM116" s="12" t="s">
        <v>3121</v>
      </c>
      <c r="AN116" s="12" t="s">
        <v>914</v>
      </c>
      <c r="AO116" s="12" t="s">
        <v>3822</v>
      </c>
      <c r="AP116" s="12" t="s">
        <v>3823</v>
      </c>
      <c r="AQ116" s="12" t="s">
        <v>1970</v>
      </c>
      <c r="AR116" s="12" t="s">
        <v>3824</v>
      </c>
      <c r="AS116" s="12" t="s">
        <v>3728</v>
      </c>
      <c r="AT116" s="12" t="s">
        <v>366</v>
      </c>
      <c r="AU116" s="12" t="s">
        <v>3729</v>
      </c>
      <c r="AV116" s="12" t="s">
        <v>832</v>
      </c>
      <c r="AW116" s="12" t="s">
        <v>919</v>
      </c>
      <c r="AX116" s="12" t="s">
        <v>868</v>
      </c>
      <c r="AY116" s="12" t="s">
        <v>868</v>
      </c>
      <c r="AZ116" s="12" t="s">
        <v>3825</v>
      </c>
      <c r="BA116" s="12" t="s">
        <v>868</v>
      </c>
      <c r="BB116" s="12" t="s">
        <v>868</v>
      </c>
      <c r="BC116" s="12" t="s">
        <v>866</v>
      </c>
      <c r="BD116" s="12" t="s">
        <v>867</v>
      </c>
      <c r="BE116" s="12" t="s">
        <v>868</v>
      </c>
      <c r="BF116" s="12" t="s">
        <v>869</v>
      </c>
      <c r="BG116" s="12" t="s">
        <v>870</v>
      </c>
      <c r="BH116" s="12" t="s">
        <v>841</v>
      </c>
      <c r="BI116" s="12" t="s">
        <v>871</v>
      </c>
      <c r="BJ116" s="12" t="s">
        <v>841</v>
      </c>
      <c r="BK116" s="12" t="s">
        <v>841</v>
      </c>
      <c r="BL116" s="12" t="s">
        <v>872</v>
      </c>
      <c r="BM116" s="12" t="s">
        <v>873</v>
      </c>
      <c r="BN116" s="12" t="s">
        <v>866</v>
      </c>
      <c r="BO116" s="12" t="s">
        <v>874</v>
      </c>
      <c r="BP116" s="12" t="s">
        <v>875</v>
      </c>
      <c r="BQ116" s="12" t="s">
        <v>876</v>
      </c>
      <c r="BR116" s="12" t="s">
        <v>869</v>
      </c>
      <c r="BS116" s="12" t="s">
        <v>869</v>
      </c>
      <c r="BT116" s="12" t="s">
        <v>877</v>
      </c>
      <c r="BU116" s="12" t="s">
        <v>877</v>
      </c>
      <c r="BV116" s="12" t="s">
        <v>877</v>
      </c>
      <c r="BW116" s="12" t="s">
        <v>841</v>
      </c>
      <c r="BX116" s="12" t="s">
        <v>878</v>
      </c>
      <c r="BY116" s="12" t="s">
        <v>841</v>
      </c>
      <c r="BZ116" s="12" t="s">
        <v>841</v>
      </c>
      <c r="CA116" s="12" t="s">
        <v>841</v>
      </c>
      <c r="CB116" s="12" t="s">
        <v>841</v>
      </c>
      <c r="CC116" s="12" t="s">
        <v>3826</v>
      </c>
      <c r="CD116" s="12" t="s">
        <v>3827</v>
      </c>
      <c r="CE116" s="12" t="s">
        <v>3828</v>
      </c>
      <c r="CF116" s="12" t="s">
        <v>3829</v>
      </c>
      <c r="CG116" s="12" t="s">
        <v>3830</v>
      </c>
      <c r="CH116" s="12" t="s">
        <v>3831</v>
      </c>
      <c r="CI116" s="12" t="s">
        <v>3832</v>
      </c>
      <c r="CJ116" s="12" t="s">
        <v>3833</v>
      </c>
      <c r="CK116" s="12" t="s">
        <v>3816</v>
      </c>
      <c r="CL116" s="12" t="s">
        <v>1057</v>
      </c>
      <c r="CM116" s="12" t="s">
        <v>888</v>
      </c>
      <c r="CN116" s="12" t="s">
        <v>841</v>
      </c>
      <c r="CO116" s="12" t="s">
        <v>847</v>
      </c>
      <c r="CP116" s="12" t="s">
        <v>889</v>
      </c>
      <c r="CQ116" s="12" t="s">
        <v>890</v>
      </c>
      <c r="CR116" s="12" t="s">
        <v>847</v>
      </c>
      <c r="CS116" s="12" t="s">
        <v>891</v>
      </c>
      <c r="CT116" s="12" t="s">
        <v>892</v>
      </c>
      <c r="CU116" s="12" t="s">
        <v>893</v>
      </c>
      <c r="CV116" s="12" t="s">
        <v>841</v>
      </c>
      <c r="CW116" s="12" t="s">
        <v>3815</v>
      </c>
      <c r="CX116" s="12" t="s">
        <v>894</v>
      </c>
      <c r="CY116" s="12" t="s">
        <v>895</v>
      </c>
      <c r="CZ116" s="12" t="s">
        <v>896</v>
      </c>
      <c r="DA116" s="12" t="s">
        <v>897</v>
      </c>
      <c r="DB116" s="12" t="s">
        <v>898</v>
      </c>
      <c r="DC116" s="12" t="s">
        <v>899</v>
      </c>
    </row>
    <row r="117">
      <c r="A117" s="12" t="s">
        <v>1029</v>
      </c>
      <c r="B117" s="12" t="s">
        <v>431</v>
      </c>
      <c r="C117" s="12" t="s">
        <v>366</v>
      </c>
      <c r="D117" s="12" t="s">
        <v>833</v>
      </c>
      <c r="E117" s="12" t="s">
        <v>834</v>
      </c>
      <c r="F117" s="12"/>
      <c r="G117" s="12" t="s">
        <v>338</v>
      </c>
      <c r="H117" s="12" t="s">
        <v>418</v>
      </c>
      <c r="I117" s="12"/>
      <c r="J117" s="43">
        <f t="shared" si="1"/>
        <v>0.02953481425</v>
      </c>
      <c r="K117" s="43">
        <f t="shared" si="2"/>
        <v>2.91139968</v>
      </c>
      <c r="L117" s="43">
        <f t="shared" si="3"/>
        <v>0.02923820607</v>
      </c>
      <c r="M117" s="43">
        <f t="shared" si="4"/>
        <v>0.9763233052</v>
      </c>
      <c r="N117" s="12" t="s">
        <v>3834</v>
      </c>
      <c r="O117" s="12" t="s">
        <v>3835</v>
      </c>
      <c r="P117" s="43">
        <f t="shared" si="5"/>
        <v>4.130075311</v>
      </c>
      <c r="Q117" s="43">
        <f t="shared" si="6"/>
        <v>3.204754311</v>
      </c>
      <c r="R117" s="12" t="s">
        <v>3836</v>
      </c>
      <c r="S117" s="12" t="s">
        <v>3837</v>
      </c>
      <c r="T117" s="43">
        <f t="shared" si="7"/>
        <v>41.92969859</v>
      </c>
      <c r="U117" s="43">
        <f t="shared" si="8"/>
        <v>0.4417875</v>
      </c>
      <c r="V117" s="12" t="s">
        <v>839</v>
      </c>
      <c r="W117" s="12" t="s">
        <v>3838</v>
      </c>
      <c r="X117" s="12" t="s">
        <v>841</v>
      </c>
      <c r="Y117" s="12" t="s">
        <v>841</v>
      </c>
      <c r="Z117" s="12" t="s">
        <v>841</v>
      </c>
      <c r="AA117" s="12" t="s">
        <v>3839</v>
      </c>
      <c r="AB117" s="12" t="s">
        <v>3840</v>
      </c>
      <c r="AC117" s="12" t="s">
        <v>3841</v>
      </c>
      <c r="AD117" s="12" t="s">
        <v>845</v>
      </c>
      <c r="AE117" s="12" t="s">
        <v>846</v>
      </c>
      <c r="AF117" s="43">
        <f t="shared" si="9"/>
        <v>4.486482</v>
      </c>
      <c r="AG117" s="12" t="s">
        <v>847</v>
      </c>
      <c r="AH117" s="12" t="s">
        <v>2484</v>
      </c>
      <c r="AI117" s="12" t="s">
        <v>3842</v>
      </c>
      <c r="AJ117" s="12" t="s">
        <v>3843</v>
      </c>
      <c r="AK117" s="12" t="s">
        <v>3844</v>
      </c>
      <c r="AL117" s="43">
        <f t="shared" si="10"/>
        <v>29.46</v>
      </c>
      <c r="AM117" s="12" t="s">
        <v>3283</v>
      </c>
      <c r="AN117" s="12" t="s">
        <v>1337</v>
      </c>
      <c r="AO117" s="12" t="s">
        <v>3845</v>
      </c>
      <c r="AP117" s="12" t="s">
        <v>3846</v>
      </c>
      <c r="AQ117" s="12" t="s">
        <v>1661</v>
      </c>
      <c r="AR117" s="12" t="s">
        <v>3847</v>
      </c>
      <c r="AS117" s="12" t="s">
        <v>3728</v>
      </c>
      <c r="AT117" s="12" t="s">
        <v>366</v>
      </c>
      <c r="AU117" s="12" t="s">
        <v>3729</v>
      </c>
      <c r="AV117" s="12" t="s">
        <v>832</v>
      </c>
      <c r="AW117" s="12" t="s">
        <v>868</v>
      </c>
      <c r="AX117" s="12" t="s">
        <v>868</v>
      </c>
      <c r="AY117" s="12" t="s">
        <v>868</v>
      </c>
      <c r="AZ117" s="12" t="s">
        <v>868</v>
      </c>
      <c r="BA117" s="12" t="s">
        <v>868</v>
      </c>
      <c r="BB117" s="12" t="s">
        <v>868</v>
      </c>
      <c r="BC117" s="12" t="s">
        <v>866</v>
      </c>
      <c r="BD117" s="12" t="s">
        <v>867</v>
      </c>
      <c r="BE117" s="12" t="s">
        <v>868</v>
      </c>
      <c r="BF117" s="12" t="s">
        <v>869</v>
      </c>
      <c r="BG117" s="12" t="s">
        <v>870</v>
      </c>
      <c r="BH117" s="12" t="s">
        <v>841</v>
      </c>
      <c r="BI117" s="12" t="s">
        <v>871</v>
      </c>
      <c r="BJ117" s="12" t="s">
        <v>841</v>
      </c>
      <c r="BK117" s="12" t="s">
        <v>841</v>
      </c>
      <c r="BL117" s="12" t="s">
        <v>872</v>
      </c>
      <c r="BM117" s="12" t="s">
        <v>873</v>
      </c>
      <c r="BN117" s="12" t="s">
        <v>866</v>
      </c>
      <c r="BO117" s="12" t="s">
        <v>874</v>
      </c>
      <c r="BP117" s="12" t="s">
        <v>875</v>
      </c>
      <c r="BQ117" s="12" t="s">
        <v>876</v>
      </c>
      <c r="BR117" s="12" t="s">
        <v>869</v>
      </c>
      <c r="BS117" s="12" t="s">
        <v>869</v>
      </c>
      <c r="BT117" s="12" t="s">
        <v>877</v>
      </c>
      <c r="BU117" s="12" t="s">
        <v>877</v>
      </c>
      <c r="BV117" s="12" t="s">
        <v>877</v>
      </c>
      <c r="BW117" s="12" t="s">
        <v>841</v>
      </c>
      <c r="BX117" s="12" t="s">
        <v>878</v>
      </c>
      <c r="BY117" s="12" t="s">
        <v>841</v>
      </c>
      <c r="BZ117" s="12" t="s">
        <v>841</v>
      </c>
      <c r="CA117" s="12" t="s">
        <v>841</v>
      </c>
      <c r="CB117" s="12" t="s">
        <v>841</v>
      </c>
      <c r="CC117" s="12" t="s">
        <v>3848</v>
      </c>
      <c r="CD117" s="12" t="s">
        <v>3849</v>
      </c>
      <c r="CE117" s="12" t="s">
        <v>3850</v>
      </c>
      <c r="CF117" s="12" t="s">
        <v>3851</v>
      </c>
      <c r="CG117" s="12" t="s">
        <v>3852</v>
      </c>
      <c r="CH117" s="12" t="s">
        <v>3853</v>
      </c>
      <c r="CI117" s="12" t="s">
        <v>3854</v>
      </c>
      <c r="CJ117" s="12" t="s">
        <v>3855</v>
      </c>
      <c r="CK117" s="12" t="s">
        <v>3839</v>
      </c>
      <c r="CL117" s="12" t="s">
        <v>1299</v>
      </c>
      <c r="CM117" s="12" t="s">
        <v>888</v>
      </c>
      <c r="CN117" s="12" t="s">
        <v>841</v>
      </c>
      <c r="CO117" s="12" t="s">
        <v>847</v>
      </c>
      <c r="CP117" s="12" t="s">
        <v>889</v>
      </c>
      <c r="CQ117" s="12" t="s">
        <v>890</v>
      </c>
      <c r="CR117" s="12" t="s">
        <v>847</v>
      </c>
      <c r="CS117" s="12" t="s">
        <v>891</v>
      </c>
      <c r="CT117" s="12" t="s">
        <v>892</v>
      </c>
      <c r="CU117" s="12" t="s">
        <v>893</v>
      </c>
      <c r="CV117" s="12" t="s">
        <v>841</v>
      </c>
      <c r="CW117" s="12" t="s">
        <v>3838</v>
      </c>
      <c r="CX117" s="12" t="s">
        <v>894</v>
      </c>
      <c r="CY117" s="12" t="s">
        <v>895</v>
      </c>
      <c r="CZ117" s="12" t="s">
        <v>896</v>
      </c>
      <c r="DA117" s="12" t="s">
        <v>897</v>
      </c>
      <c r="DB117" s="12" t="s">
        <v>898</v>
      </c>
      <c r="DC117" s="12" t="s">
        <v>899</v>
      </c>
    </row>
    <row r="118">
      <c r="A118" s="12" t="s">
        <v>1058</v>
      </c>
      <c r="B118" s="12" t="s">
        <v>433</v>
      </c>
      <c r="C118" s="12" t="s">
        <v>366</v>
      </c>
      <c r="D118" s="12" t="s">
        <v>833</v>
      </c>
      <c r="E118" s="12" t="s">
        <v>834</v>
      </c>
      <c r="F118" s="12"/>
      <c r="G118" s="12" t="s">
        <v>338</v>
      </c>
      <c r="H118" s="12" t="s">
        <v>418</v>
      </c>
      <c r="I118" s="12"/>
      <c r="J118" s="43">
        <f t="shared" si="1"/>
        <v>-0.04334294929</v>
      </c>
      <c r="K118" s="43">
        <f t="shared" si="2"/>
        <v>2.909022</v>
      </c>
      <c r="L118" s="43">
        <f t="shared" si="3"/>
        <v>-0.04399850465</v>
      </c>
      <c r="M118" s="43">
        <f t="shared" si="4"/>
        <v>-1.373021091</v>
      </c>
      <c r="N118" s="12" t="s">
        <v>3856</v>
      </c>
      <c r="O118" s="12" t="s">
        <v>3857</v>
      </c>
      <c r="P118" s="43">
        <f t="shared" si="5"/>
        <v>3.821467966</v>
      </c>
      <c r="Q118" s="43">
        <f t="shared" si="6"/>
        <v>3.000127966</v>
      </c>
      <c r="R118" s="12" t="s">
        <v>3858</v>
      </c>
      <c r="S118" s="12" t="s">
        <v>3859</v>
      </c>
      <c r="T118" s="43">
        <f t="shared" si="7"/>
        <v>38.81239047</v>
      </c>
      <c r="U118" s="43">
        <f t="shared" si="8"/>
        <v>0.4417875</v>
      </c>
      <c r="V118" s="12" t="s">
        <v>839</v>
      </c>
      <c r="W118" s="12" t="s">
        <v>3860</v>
      </c>
      <c r="X118" s="12" t="s">
        <v>841</v>
      </c>
      <c r="Y118" s="12" t="s">
        <v>841</v>
      </c>
      <c r="Z118" s="12" t="s">
        <v>841</v>
      </c>
      <c r="AA118" s="12" t="s">
        <v>3861</v>
      </c>
      <c r="AB118" s="12" t="s">
        <v>3862</v>
      </c>
      <c r="AC118" s="12" t="s">
        <v>3863</v>
      </c>
      <c r="AD118" s="12" t="s">
        <v>845</v>
      </c>
      <c r="AE118" s="12" t="s">
        <v>846</v>
      </c>
      <c r="AF118" s="43">
        <f t="shared" si="9"/>
        <v>6.9455232</v>
      </c>
      <c r="AG118" s="12" t="s">
        <v>847</v>
      </c>
      <c r="AH118" s="12" t="s">
        <v>3864</v>
      </c>
      <c r="AI118" s="12" t="s">
        <v>3361</v>
      </c>
      <c r="AJ118" s="12" t="s">
        <v>3865</v>
      </c>
      <c r="AK118" s="12" t="s">
        <v>3866</v>
      </c>
      <c r="AL118" s="43">
        <f t="shared" si="10"/>
        <v>28.12</v>
      </c>
      <c r="AM118" s="12" t="s">
        <v>3251</v>
      </c>
      <c r="AN118" s="12" t="s">
        <v>1072</v>
      </c>
      <c r="AO118" s="12" t="s">
        <v>3867</v>
      </c>
      <c r="AP118" s="12" t="s">
        <v>3868</v>
      </c>
      <c r="AQ118" s="12" t="s">
        <v>2129</v>
      </c>
      <c r="AR118" s="12" t="s">
        <v>3847</v>
      </c>
      <c r="AS118" s="12" t="s">
        <v>3728</v>
      </c>
      <c r="AT118" s="12" t="s">
        <v>366</v>
      </c>
      <c r="AU118" s="12" t="s">
        <v>3729</v>
      </c>
      <c r="AV118" s="12" t="s">
        <v>832</v>
      </c>
      <c r="AW118" s="12" t="s">
        <v>868</v>
      </c>
      <c r="AX118" s="12" t="s">
        <v>868</v>
      </c>
      <c r="AY118" s="12" t="s">
        <v>868</v>
      </c>
      <c r="AZ118" s="12" t="s">
        <v>868</v>
      </c>
      <c r="BA118" s="12" t="s">
        <v>868</v>
      </c>
      <c r="BB118" s="12" t="s">
        <v>868</v>
      </c>
      <c r="BC118" s="12" t="s">
        <v>866</v>
      </c>
      <c r="BD118" s="12" t="s">
        <v>867</v>
      </c>
      <c r="BE118" s="12" t="s">
        <v>868</v>
      </c>
      <c r="BF118" s="12" t="s">
        <v>869</v>
      </c>
      <c r="BG118" s="12" t="s">
        <v>870</v>
      </c>
      <c r="BH118" s="12" t="s">
        <v>841</v>
      </c>
      <c r="BI118" s="12" t="s">
        <v>871</v>
      </c>
      <c r="BJ118" s="12" t="s">
        <v>841</v>
      </c>
      <c r="BK118" s="12" t="s">
        <v>841</v>
      </c>
      <c r="BL118" s="12" t="s">
        <v>872</v>
      </c>
      <c r="BM118" s="12" t="s">
        <v>873</v>
      </c>
      <c r="BN118" s="12" t="s">
        <v>866</v>
      </c>
      <c r="BO118" s="12" t="s">
        <v>874</v>
      </c>
      <c r="BP118" s="12" t="s">
        <v>875</v>
      </c>
      <c r="BQ118" s="12" t="s">
        <v>876</v>
      </c>
      <c r="BR118" s="12" t="s">
        <v>869</v>
      </c>
      <c r="BS118" s="12" t="s">
        <v>869</v>
      </c>
      <c r="BT118" s="12" t="s">
        <v>877</v>
      </c>
      <c r="BU118" s="12" t="s">
        <v>877</v>
      </c>
      <c r="BV118" s="12" t="s">
        <v>877</v>
      </c>
      <c r="BW118" s="12" t="s">
        <v>841</v>
      </c>
      <c r="BX118" s="12" t="s">
        <v>878</v>
      </c>
      <c r="BY118" s="12" t="s">
        <v>841</v>
      </c>
      <c r="BZ118" s="12" t="s">
        <v>841</v>
      </c>
      <c r="CA118" s="12" t="s">
        <v>841</v>
      </c>
      <c r="CB118" s="12" t="s">
        <v>841</v>
      </c>
      <c r="CC118" s="12" t="s">
        <v>3869</v>
      </c>
      <c r="CD118" s="12" t="s">
        <v>3870</v>
      </c>
      <c r="CE118" s="12" t="s">
        <v>3871</v>
      </c>
      <c r="CF118" s="12" t="s">
        <v>3872</v>
      </c>
      <c r="CG118" s="12" t="s">
        <v>3873</v>
      </c>
      <c r="CH118" s="12" t="s">
        <v>3874</v>
      </c>
      <c r="CI118" s="12" t="s">
        <v>3875</v>
      </c>
      <c r="CJ118" s="12" t="s">
        <v>3876</v>
      </c>
      <c r="CK118" s="12" t="s">
        <v>3861</v>
      </c>
      <c r="CL118" s="12" t="s">
        <v>1324</v>
      </c>
      <c r="CM118" s="12" t="s">
        <v>888</v>
      </c>
      <c r="CN118" s="12" t="s">
        <v>841</v>
      </c>
      <c r="CO118" s="12" t="s">
        <v>847</v>
      </c>
      <c r="CP118" s="12" t="s">
        <v>889</v>
      </c>
      <c r="CQ118" s="12" t="s">
        <v>890</v>
      </c>
      <c r="CR118" s="12" t="s">
        <v>847</v>
      </c>
      <c r="CS118" s="12" t="s">
        <v>891</v>
      </c>
      <c r="CT118" s="12" t="s">
        <v>892</v>
      </c>
      <c r="CU118" s="12" t="s">
        <v>893</v>
      </c>
      <c r="CV118" s="12" t="s">
        <v>841</v>
      </c>
      <c r="CW118" s="12" t="s">
        <v>3860</v>
      </c>
      <c r="CX118" s="12" t="s">
        <v>894</v>
      </c>
      <c r="CY118" s="12" t="s">
        <v>895</v>
      </c>
      <c r="CZ118" s="12" t="s">
        <v>896</v>
      </c>
      <c r="DA118" s="12" t="s">
        <v>897</v>
      </c>
      <c r="DB118" s="12" t="s">
        <v>898</v>
      </c>
      <c r="DC118" s="12" t="s">
        <v>899</v>
      </c>
    </row>
    <row r="119">
      <c r="A119" s="12" t="s">
        <v>1094</v>
      </c>
      <c r="B119" s="12" t="s">
        <v>434</v>
      </c>
      <c r="C119" s="12" t="s">
        <v>366</v>
      </c>
      <c r="D119" s="12" t="s">
        <v>833</v>
      </c>
      <c r="E119" s="12" t="s">
        <v>834</v>
      </c>
      <c r="F119" s="12"/>
      <c r="G119" s="12" t="s">
        <v>338</v>
      </c>
      <c r="H119" s="12" t="s">
        <v>418</v>
      </c>
      <c r="I119" s="12"/>
      <c r="J119" s="43">
        <f t="shared" si="1"/>
        <v>0.008207812101</v>
      </c>
      <c r="K119" s="43">
        <f t="shared" si="2"/>
        <v>2.90981592</v>
      </c>
      <c r="L119" s="43">
        <f t="shared" si="3"/>
        <v>0.008184725181</v>
      </c>
      <c r="M119" s="43">
        <f t="shared" si="4"/>
        <v>0.2607704274</v>
      </c>
      <c r="N119" s="12" t="s">
        <v>3877</v>
      </c>
      <c r="O119" s="12" t="s">
        <v>3878</v>
      </c>
      <c r="P119" s="43">
        <f t="shared" si="5"/>
        <v>3.931899346</v>
      </c>
      <c r="Q119" s="43">
        <f t="shared" si="6"/>
        <v>3.061136346</v>
      </c>
      <c r="R119" s="12" t="s">
        <v>3879</v>
      </c>
      <c r="S119" s="12" t="s">
        <v>3880</v>
      </c>
      <c r="T119" s="43">
        <f t="shared" si="7"/>
        <v>39.92586664</v>
      </c>
      <c r="U119" s="43">
        <f t="shared" si="8"/>
        <v>0.4417875</v>
      </c>
      <c r="V119" s="12" t="s">
        <v>839</v>
      </c>
      <c r="W119" s="12" t="s">
        <v>3881</v>
      </c>
      <c r="X119" s="12" t="s">
        <v>841</v>
      </c>
      <c r="Y119" s="12" t="s">
        <v>841</v>
      </c>
      <c r="Z119" s="12" t="s">
        <v>841</v>
      </c>
      <c r="AA119" s="12" t="s">
        <v>3882</v>
      </c>
      <c r="AB119" s="12" t="s">
        <v>3883</v>
      </c>
      <c r="AC119" s="12" t="s">
        <v>3884</v>
      </c>
      <c r="AD119" s="12" t="s">
        <v>845</v>
      </c>
      <c r="AE119" s="12" t="s">
        <v>846</v>
      </c>
      <c r="AF119" s="43">
        <f t="shared" si="9"/>
        <v>6.537264</v>
      </c>
      <c r="AG119" s="12" t="s">
        <v>847</v>
      </c>
      <c r="AH119" s="12" t="s">
        <v>3885</v>
      </c>
      <c r="AI119" s="12" t="s">
        <v>3886</v>
      </c>
      <c r="AJ119" s="12" t="s">
        <v>3865</v>
      </c>
      <c r="AK119" s="12" t="s">
        <v>3887</v>
      </c>
      <c r="AL119" s="43">
        <f t="shared" si="10"/>
        <v>28.61</v>
      </c>
      <c r="AM119" s="12" t="s">
        <v>3036</v>
      </c>
      <c r="AN119" s="12" t="s">
        <v>914</v>
      </c>
      <c r="AO119" s="12" t="s">
        <v>3888</v>
      </c>
      <c r="AP119" s="12" t="s">
        <v>3038</v>
      </c>
      <c r="AQ119" s="12" t="s">
        <v>1894</v>
      </c>
      <c r="AR119" s="12" t="s">
        <v>3889</v>
      </c>
      <c r="AS119" s="12" t="s">
        <v>3728</v>
      </c>
      <c r="AT119" s="12" t="s">
        <v>366</v>
      </c>
      <c r="AU119" s="12" t="s">
        <v>3729</v>
      </c>
      <c r="AV119" s="12" t="s">
        <v>832</v>
      </c>
      <c r="AW119" s="12" t="s">
        <v>861</v>
      </c>
      <c r="AX119" s="12" t="s">
        <v>868</v>
      </c>
      <c r="AY119" s="12" t="s">
        <v>868</v>
      </c>
      <c r="AZ119" s="12" t="s">
        <v>3890</v>
      </c>
      <c r="BA119" s="12" t="s">
        <v>868</v>
      </c>
      <c r="BB119" s="12" t="s">
        <v>868</v>
      </c>
      <c r="BC119" s="12" t="s">
        <v>866</v>
      </c>
      <c r="BD119" s="12" t="s">
        <v>867</v>
      </c>
      <c r="BE119" s="12" t="s">
        <v>868</v>
      </c>
      <c r="BF119" s="12" t="s">
        <v>869</v>
      </c>
      <c r="BG119" s="12" t="s">
        <v>870</v>
      </c>
      <c r="BH119" s="12" t="s">
        <v>841</v>
      </c>
      <c r="BI119" s="12" t="s">
        <v>871</v>
      </c>
      <c r="BJ119" s="12" t="s">
        <v>841</v>
      </c>
      <c r="BK119" s="12" t="s">
        <v>841</v>
      </c>
      <c r="BL119" s="12" t="s">
        <v>872</v>
      </c>
      <c r="BM119" s="12" t="s">
        <v>873</v>
      </c>
      <c r="BN119" s="12" t="s">
        <v>866</v>
      </c>
      <c r="BO119" s="12" t="s">
        <v>874</v>
      </c>
      <c r="BP119" s="12" t="s">
        <v>875</v>
      </c>
      <c r="BQ119" s="12" t="s">
        <v>876</v>
      </c>
      <c r="BR119" s="12" t="s">
        <v>869</v>
      </c>
      <c r="BS119" s="12" t="s">
        <v>869</v>
      </c>
      <c r="BT119" s="12" t="s">
        <v>877</v>
      </c>
      <c r="BU119" s="12" t="s">
        <v>877</v>
      </c>
      <c r="BV119" s="12" t="s">
        <v>877</v>
      </c>
      <c r="BW119" s="12" t="s">
        <v>841</v>
      </c>
      <c r="BX119" s="12" t="s">
        <v>878</v>
      </c>
      <c r="BY119" s="12" t="s">
        <v>841</v>
      </c>
      <c r="BZ119" s="12" t="s">
        <v>841</v>
      </c>
      <c r="CA119" s="12" t="s">
        <v>841</v>
      </c>
      <c r="CB119" s="12" t="s">
        <v>841</v>
      </c>
      <c r="CC119" s="12" t="s">
        <v>3891</v>
      </c>
      <c r="CD119" s="12" t="s">
        <v>3892</v>
      </c>
      <c r="CE119" s="12" t="s">
        <v>3893</v>
      </c>
      <c r="CF119" s="12" t="s">
        <v>3894</v>
      </c>
      <c r="CG119" s="12" t="s">
        <v>3895</v>
      </c>
      <c r="CH119" s="12" t="s">
        <v>3896</v>
      </c>
      <c r="CI119" s="12" t="s">
        <v>3897</v>
      </c>
      <c r="CJ119" s="12" t="s">
        <v>3898</v>
      </c>
      <c r="CK119" s="12" t="s">
        <v>3882</v>
      </c>
      <c r="CL119" s="12" t="s">
        <v>3211</v>
      </c>
      <c r="CM119" s="12" t="s">
        <v>888</v>
      </c>
      <c r="CN119" s="12" t="s">
        <v>841</v>
      </c>
      <c r="CO119" s="12" t="s">
        <v>847</v>
      </c>
      <c r="CP119" s="12" t="s">
        <v>889</v>
      </c>
      <c r="CQ119" s="12" t="s">
        <v>890</v>
      </c>
      <c r="CR119" s="12" t="s">
        <v>847</v>
      </c>
      <c r="CS119" s="12" t="s">
        <v>891</v>
      </c>
      <c r="CT119" s="12" t="s">
        <v>892</v>
      </c>
      <c r="CU119" s="12" t="s">
        <v>893</v>
      </c>
      <c r="CV119" s="12" t="s">
        <v>841</v>
      </c>
      <c r="CW119" s="12" t="s">
        <v>3881</v>
      </c>
      <c r="CX119" s="12" t="s">
        <v>894</v>
      </c>
      <c r="CY119" s="12" t="s">
        <v>895</v>
      </c>
      <c r="CZ119" s="12" t="s">
        <v>896</v>
      </c>
      <c r="DA119" s="12" t="s">
        <v>897</v>
      </c>
      <c r="DB119" s="12" t="s">
        <v>898</v>
      </c>
      <c r="DC119" s="12" t="s">
        <v>899</v>
      </c>
    </row>
    <row r="120">
      <c r="A120" s="12" t="s">
        <v>1120</v>
      </c>
      <c r="B120" s="12" t="s">
        <v>437</v>
      </c>
      <c r="C120" s="12" t="s">
        <v>366</v>
      </c>
      <c r="D120" s="12" t="s">
        <v>833</v>
      </c>
      <c r="E120" s="12" t="s">
        <v>834</v>
      </c>
      <c r="F120" s="12"/>
      <c r="G120" s="12" t="s">
        <v>338</v>
      </c>
      <c r="H120" s="12" t="s">
        <v>435</v>
      </c>
      <c r="I120" s="12"/>
      <c r="J120" s="43">
        <f t="shared" si="1"/>
        <v>0.01823658118</v>
      </c>
      <c r="K120" s="43">
        <f t="shared" si="2"/>
        <v>2.909022</v>
      </c>
      <c r="L120" s="43">
        <f t="shared" si="3"/>
        <v>0.01812296877</v>
      </c>
      <c r="M120" s="43">
        <f t="shared" si="4"/>
        <v>0.5791258427</v>
      </c>
      <c r="N120" s="12" t="s">
        <v>3899</v>
      </c>
      <c r="O120" s="12" t="s">
        <v>3900</v>
      </c>
      <c r="P120" s="43">
        <f t="shared" si="5"/>
        <v>3.941035794</v>
      </c>
      <c r="Q120" s="43">
        <f t="shared" si="6"/>
        <v>3.071048794</v>
      </c>
      <c r="R120" s="12" t="s">
        <v>3901</v>
      </c>
      <c r="S120" s="12" t="s">
        <v>3902</v>
      </c>
      <c r="T120" s="43">
        <f t="shared" si="7"/>
        <v>40.00645411</v>
      </c>
      <c r="U120" s="43">
        <f t="shared" si="8"/>
        <v>0.4417875</v>
      </c>
      <c r="V120" s="12" t="s">
        <v>839</v>
      </c>
      <c r="W120" s="12" t="s">
        <v>3903</v>
      </c>
      <c r="X120" s="12" t="s">
        <v>841</v>
      </c>
      <c r="Y120" s="12" t="s">
        <v>841</v>
      </c>
      <c r="Z120" s="12" t="s">
        <v>841</v>
      </c>
      <c r="AA120" s="12" t="s">
        <v>3904</v>
      </c>
      <c r="AB120" s="12" t="s">
        <v>3905</v>
      </c>
      <c r="AC120" s="12" t="s">
        <v>3906</v>
      </c>
      <c r="AD120" s="12" t="s">
        <v>845</v>
      </c>
      <c r="AE120" s="12" t="s">
        <v>846</v>
      </c>
      <c r="AF120" s="43">
        <f t="shared" si="9"/>
        <v>6.1651296</v>
      </c>
      <c r="AG120" s="12" t="s">
        <v>847</v>
      </c>
      <c r="AH120" s="12" t="s">
        <v>3907</v>
      </c>
      <c r="AI120" s="12" t="s">
        <v>3908</v>
      </c>
      <c r="AJ120" s="12" t="s">
        <v>3909</v>
      </c>
      <c r="AK120" s="12" t="s">
        <v>3910</v>
      </c>
      <c r="AL120" s="43">
        <f t="shared" si="10"/>
        <v>28.65</v>
      </c>
      <c r="AM120" s="12" t="s">
        <v>3415</v>
      </c>
      <c r="AN120" s="12" t="s">
        <v>1072</v>
      </c>
      <c r="AO120" s="12" t="s">
        <v>3911</v>
      </c>
      <c r="AP120" s="12" t="s">
        <v>2010</v>
      </c>
      <c r="AQ120" s="12" t="s">
        <v>1894</v>
      </c>
      <c r="AR120" s="12" t="s">
        <v>3912</v>
      </c>
      <c r="AS120" s="12" t="s">
        <v>3728</v>
      </c>
      <c r="AT120" s="12" t="s">
        <v>366</v>
      </c>
      <c r="AU120" s="12" t="s">
        <v>3729</v>
      </c>
      <c r="AV120" s="12" t="s">
        <v>832</v>
      </c>
      <c r="AW120" s="12" t="s">
        <v>868</v>
      </c>
      <c r="AX120" s="12" t="s">
        <v>868</v>
      </c>
      <c r="AY120" s="12" t="s">
        <v>868</v>
      </c>
      <c r="AZ120" s="12" t="s">
        <v>868</v>
      </c>
      <c r="BA120" s="12" t="s">
        <v>868</v>
      </c>
      <c r="BB120" s="12" t="s">
        <v>868</v>
      </c>
      <c r="BC120" s="12" t="s">
        <v>866</v>
      </c>
      <c r="BD120" s="12" t="s">
        <v>867</v>
      </c>
      <c r="BE120" s="12" t="s">
        <v>868</v>
      </c>
      <c r="BF120" s="12" t="s">
        <v>869</v>
      </c>
      <c r="BG120" s="12" t="s">
        <v>870</v>
      </c>
      <c r="BH120" s="12" t="s">
        <v>841</v>
      </c>
      <c r="BI120" s="12" t="s">
        <v>871</v>
      </c>
      <c r="BJ120" s="12" t="s">
        <v>841</v>
      </c>
      <c r="BK120" s="12" t="s">
        <v>841</v>
      </c>
      <c r="BL120" s="12" t="s">
        <v>872</v>
      </c>
      <c r="BM120" s="12" t="s">
        <v>873</v>
      </c>
      <c r="BN120" s="12" t="s">
        <v>866</v>
      </c>
      <c r="BO120" s="12" t="s">
        <v>874</v>
      </c>
      <c r="BP120" s="12" t="s">
        <v>875</v>
      </c>
      <c r="BQ120" s="12" t="s">
        <v>876</v>
      </c>
      <c r="BR120" s="12" t="s">
        <v>869</v>
      </c>
      <c r="BS120" s="12" t="s">
        <v>869</v>
      </c>
      <c r="BT120" s="12" t="s">
        <v>877</v>
      </c>
      <c r="BU120" s="12" t="s">
        <v>877</v>
      </c>
      <c r="BV120" s="12" t="s">
        <v>877</v>
      </c>
      <c r="BW120" s="12" t="s">
        <v>841</v>
      </c>
      <c r="BX120" s="12" t="s">
        <v>878</v>
      </c>
      <c r="BY120" s="12" t="s">
        <v>841</v>
      </c>
      <c r="BZ120" s="12" t="s">
        <v>841</v>
      </c>
      <c r="CA120" s="12" t="s">
        <v>841</v>
      </c>
      <c r="CB120" s="12" t="s">
        <v>841</v>
      </c>
      <c r="CC120" s="12" t="s">
        <v>3913</v>
      </c>
      <c r="CD120" s="12" t="s">
        <v>3914</v>
      </c>
      <c r="CE120" s="12" t="s">
        <v>3915</v>
      </c>
      <c r="CF120" s="12" t="s">
        <v>3916</v>
      </c>
      <c r="CG120" s="12" t="s">
        <v>3917</v>
      </c>
      <c r="CH120" s="12" t="s">
        <v>3918</v>
      </c>
      <c r="CI120" s="12" t="s">
        <v>3919</v>
      </c>
      <c r="CJ120" s="12" t="s">
        <v>3920</v>
      </c>
      <c r="CK120" s="12" t="s">
        <v>3921</v>
      </c>
      <c r="CL120" s="12" t="s">
        <v>933</v>
      </c>
      <c r="CM120" s="12" t="s">
        <v>888</v>
      </c>
      <c r="CN120" s="12" t="s">
        <v>841</v>
      </c>
      <c r="CO120" s="12" t="s">
        <v>847</v>
      </c>
      <c r="CP120" s="12" t="s">
        <v>889</v>
      </c>
      <c r="CQ120" s="12" t="s">
        <v>890</v>
      </c>
      <c r="CR120" s="12" t="s">
        <v>847</v>
      </c>
      <c r="CS120" s="12" t="s">
        <v>891</v>
      </c>
      <c r="CT120" s="12" t="s">
        <v>892</v>
      </c>
      <c r="CU120" s="12" t="s">
        <v>893</v>
      </c>
      <c r="CV120" s="12" t="s">
        <v>841</v>
      </c>
      <c r="CW120" s="12" t="s">
        <v>3903</v>
      </c>
      <c r="CX120" s="12" t="s">
        <v>894</v>
      </c>
      <c r="CY120" s="12" t="s">
        <v>895</v>
      </c>
      <c r="CZ120" s="12" t="s">
        <v>896</v>
      </c>
      <c r="DA120" s="12" t="s">
        <v>897</v>
      </c>
      <c r="DB120" s="12" t="s">
        <v>898</v>
      </c>
      <c r="DC120" s="12" t="s">
        <v>899</v>
      </c>
    </row>
    <row r="121">
      <c r="A121" s="12" t="s">
        <v>1146</v>
      </c>
      <c r="B121" s="12" t="s">
        <v>438</v>
      </c>
      <c r="C121" s="12" t="s">
        <v>366</v>
      </c>
      <c r="D121" s="12" t="s">
        <v>833</v>
      </c>
      <c r="E121" s="12" t="s">
        <v>834</v>
      </c>
      <c r="F121" s="12"/>
      <c r="G121" s="12" t="s">
        <v>338</v>
      </c>
      <c r="H121" s="12" t="s">
        <v>435</v>
      </c>
      <c r="I121" s="12"/>
      <c r="J121" s="43">
        <f t="shared" si="1"/>
        <v>-0.0303915159</v>
      </c>
      <c r="K121" s="43">
        <f t="shared" si="2"/>
        <v>2.90981592</v>
      </c>
      <c r="L121" s="43">
        <f t="shared" si="3"/>
        <v>-0.03071228981</v>
      </c>
      <c r="M121" s="43">
        <f t="shared" si="4"/>
        <v>-0.9739260788</v>
      </c>
      <c r="N121" s="12" t="s">
        <v>3922</v>
      </c>
      <c r="O121" s="12" t="s">
        <v>3923</v>
      </c>
      <c r="P121" s="43">
        <f t="shared" si="5"/>
        <v>3.884235431</v>
      </c>
      <c r="Q121" s="43">
        <f t="shared" si="6"/>
        <v>3.049409431</v>
      </c>
      <c r="R121" s="12" t="s">
        <v>3924</v>
      </c>
      <c r="S121" s="12" t="s">
        <v>3925</v>
      </c>
      <c r="T121" s="43">
        <f t="shared" si="7"/>
        <v>39.42585699</v>
      </c>
      <c r="U121" s="43">
        <f t="shared" si="8"/>
        <v>0.4417875</v>
      </c>
      <c r="V121" s="12" t="s">
        <v>839</v>
      </c>
      <c r="W121" s="12" t="s">
        <v>3926</v>
      </c>
      <c r="X121" s="12" t="s">
        <v>841</v>
      </c>
      <c r="Y121" s="12" t="s">
        <v>841</v>
      </c>
      <c r="Z121" s="12" t="s">
        <v>841</v>
      </c>
      <c r="AA121" s="12" t="s">
        <v>3927</v>
      </c>
      <c r="AB121" s="12" t="s">
        <v>3928</v>
      </c>
      <c r="AC121" s="12" t="s">
        <v>3929</v>
      </c>
      <c r="AD121" s="12" t="s">
        <v>845</v>
      </c>
      <c r="AE121" s="12" t="s">
        <v>846</v>
      </c>
      <c r="AF121" s="43">
        <f t="shared" si="9"/>
        <v>24.13076</v>
      </c>
      <c r="AG121" s="12" t="s">
        <v>847</v>
      </c>
      <c r="AH121" s="12" t="s">
        <v>3930</v>
      </c>
      <c r="AI121" s="12" t="s">
        <v>3361</v>
      </c>
      <c r="AJ121" s="12" t="s">
        <v>3931</v>
      </c>
      <c r="AK121" s="12" t="s">
        <v>3932</v>
      </c>
      <c r="AL121" s="43">
        <f t="shared" si="10"/>
        <v>28.4</v>
      </c>
      <c r="AM121" s="12" t="s">
        <v>3933</v>
      </c>
      <c r="AN121" s="12" t="s">
        <v>914</v>
      </c>
      <c r="AO121" s="12" t="s">
        <v>3934</v>
      </c>
      <c r="AP121" s="12" t="s">
        <v>3935</v>
      </c>
      <c r="AQ121" s="12" t="s">
        <v>3936</v>
      </c>
      <c r="AR121" s="12" t="s">
        <v>3937</v>
      </c>
      <c r="AS121" s="12" t="s">
        <v>3728</v>
      </c>
      <c r="AT121" s="12" t="s">
        <v>366</v>
      </c>
      <c r="AU121" s="12" t="s">
        <v>3729</v>
      </c>
      <c r="AV121" s="12" t="s">
        <v>832</v>
      </c>
      <c r="AW121" s="12" t="s">
        <v>861</v>
      </c>
      <c r="AX121" s="12" t="s">
        <v>868</v>
      </c>
      <c r="AY121" s="12" t="s">
        <v>868</v>
      </c>
      <c r="AZ121" s="12" t="s">
        <v>1196</v>
      </c>
      <c r="BA121" s="12" t="s">
        <v>868</v>
      </c>
      <c r="BB121" s="12" t="s">
        <v>868</v>
      </c>
      <c r="BC121" s="12" t="s">
        <v>866</v>
      </c>
      <c r="BD121" s="12" t="s">
        <v>867</v>
      </c>
      <c r="BE121" s="12" t="s">
        <v>868</v>
      </c>
      <c r="BF121" s="12" t="s">
        <v>869</v>
      </c>
      <c r="BG121" s="12" t="s">
        <v>870</v>
      </c>
      <c r="BH121" s="12" t="s">
        <v>841</v>
      </c>
      <c r="BI121" s="12" t="s">
        <v>871</v>
      </c>
      <c r="BJ121" s="12" t="s">
        <v>841</v>
      </c>
      <c r="BK121" s="12" t="s">
        <v>841</v>
      </c>
      <c r="BL121" s="12" t="s">
        <v>872</v>
      </c>
      <c r="BM121" s="12" t="s">
        <v>873</v>
      </c>
      <c r="BN121" s="12" t="s">
        <v>866</v>
      </c>
      <c r="BO121" s="12" t="s">
        <v>874</v>
      </c>
      <c r="BP121" s="12" t="s">
        <v>875</v>
      </c>
      <c r="BQ121" s="12" t="s">
        <v>876</v>
      </c>
      <c r="BR121" s="12" t="s">
        <v>869</v>
      </c>
      <c r="BS121" s="12" t="s">
        <v>869</v>
      </c>
      <c r="BT121" s="12" t="s">
        <v>877</v>
      </c>
      <c r="BU121" s="12" t="s">
        <v>877</v>
      </c>
      <c r="BV121" s="12" t="s">
        <v>877</v>
      </c>
      <c r="BW121" s="12" t="s">
        <v>841</v>
      </c>
      <c r="BX121" s="12" t="s">
        <v>878</v>
      </c>
      <c r="BY121" s="12" t="s">
        <v>841</v>
      </c>
      <c r="BZ121" s="12" t="s">
        <v>841</v>
      </c>
      <c r="CA121" s="12" t="s">
        <v>841</v>
      </c>
      <c r="CB121" s="12" t="s">
        <v>841</v>
      </c>
      <c r="CC121" s="12" t="s">
        <v>3938</v>
      </c>
      <c r="CD121" s="12" t="s">
        <v>3939</v>
      </c>
      <c r="CE121" s="12" t="s">
        <v>3940</v>
      </c>
      <c r="CF121" s="12" t="s">
        <v>3941</v>
      </c>
      <c r="CG121" s="12" t="s">
        <v>3942</v>
      </c>
      <c r="CH121" s="12" t="s">
        <v>3943</v>
      </c>
      <c r="CI121" s="12" t="s">
        <v>3944</v>
      </c>
      <c r="CJ121" s="12" t="s">
        <v>3945</v>
      </c>
      <c r="CK121" s="12" t="s">
        <v>3927</v>
      </c>
      <c r="CL121" s="12" t="s">
        <v>3211</v>
      </c>
      <c r="CM121" s="12" t="s">
        <v>888</v>
      </c>
      <c r="CN121" s="12" t="s">
        <v>841</v>
      </c>
      <c r="CO121" s="12" t="s">
        <v>847</v>
      </c>
      <c r="CP121" s="12" t="s">
        <v>889</v>
      </c>
      <c r="CQ121" s="12" t="s">
        <v>890</v>
      </c>
      <c r="CR121" s="12" t="s">
        <v>847</v>
      </c>
      <c r="CS121" s="12" t="s">
        <v>891</v>
      </c>
      <c r="CT121" s="12" t="s">
        <v>892</v>
      </c>
      <c r="CU121" s="12" t="s">
        <v>893</v>
      </c>
      <c r="CV121" s="12" t="s">
        <v>841</v>
      </c>
      <c r="CW121" s="12" t="s">
        <v>3926</v>
      </c>
      <c r="CX121" s="12" t="s">
        <v>894</v>
      </c>
      <c r="CY121" s="12" t="s">
        <v>895</v>
      </c>
      <c r="CZ121" s="12" t="s">
        <v>896</v>
      </c>
      <c r="DA121" s="12" t="s">
        <v>897</v>
      </c>
      <c r="DB121" s="12" t="s">
        <v>898</v>
      </c>
      <c r="DC121" s="12" t="s">
        <v>899</v>
      </c>
    </row>
    <row r="122">
      <c r="A122" s="12" t="s">
        <v>1177</v>
      </c>
      <c r="B122" s="12" t="s">
        <v>441</v>
      </c>
      <c r="C122" s="12" t="s">
        <v>366</v>
      </c>
      <c r="D122" s="12" t="s">
        <v>833</v>
      </c>
      <c r="E122" s="12" t="s">
        <v>834</v>
      </c>
      <c r="F122" s="12"/>
      <c r="G122" s="12" t="s">
        <v>338</v>
      </c>
      <c r="H122" s="12" t="s">
        <v>435</v>
      </c>
      <c r="I122" s="12"/>
      <c r="J122" s="43">
        <f t="shared" si="1"/>
        <v>0.00623208949</v>
      </c>
      <c r="K122" s="43">
        <f t="shared" si="2"/>
        <v>2.909022</v>
      </c>
      <c r="L122" s="43">
        <f t="shared" si="3"/>
        <v>0.00621876683</v>
      </c>
      <c r="M122" s="43">
        <f t="shared" si="4"/>
        <v>0.201157425</v>
      </c>
      <c r="N122" s="12" t="s">
        <v>3946</v>
      </c>
      <c r="O122" s="12" t="s">
        <v>3947</v>
      </c>
      <c r="P122" s="43">
        <f t="shared" si="5"/>
        <v>3.984687238</v>
      </c>
      <c r="Q122" s="43">
        <f t="shared" si="6"/>
        <v>3.108179238</v>
      </c>
      <c r="R122" s="12" t="s">
        <v>3948</v>
      </c>
      <c r="S122" s="12" t="s">
        <v>3949</v>
      </c>
      <c r="T122" s="43">
        <f t="shared" si="7"/>
        <v>40.44546527</v>
      </c>
      <c r="U122" s="43">
        <f t="shared" si="8"/>
        <v>0.4417875</v>
      </c>
      <c r="V122" s="12" t="s">
        <v>839</v>
      </c>
      <c r="W122" s="12" t="s">
        <v>3950</v>
      </c>
      <c r="X122" s="12" t="s">
        <v>841</v>
      </c>
      <c r="Y122" s="12" t="s">
        <v>841</v>
      </c>
      <c r="Z122" s="12" t="s">
        <v>841</v>
      </c>
      <c r="AA122" s="12" t="s">
        <v>3951</v>
      </c>
      <c r="AB122" s="12" t="s">
        <v>3952</v>
      </c>
      <c r="AC122" s="12" t="s">
        <v>3953</v>
      </c>
      <c r="AD122" s="12" t="s">
        <v>845</v>
      </c>
      <c r="AE122" s="12" t="s">
        <v>846</v>
      </c>
      <c r="AF122" s="43">
        <f t="shared" si="9"/>
        <v>20.360816</v>
      </c>
      <c r="AG122" s="12" t="s">
        <v>847</v>
      </c>
      <c r="AH122" s="12" t="s">
        <v>3954</v>
      </c>
      <c r="AI122" s="12" t="s">
        <v>3955</v>
      </c>
      <c r="AJ122" s="12" t="s">
        <v>3956</v>
      </c>
      <c r="AK122" s="12" t="s">
        <v>3534</v>
      </c>
      <c r="AL122" s="43">
        <f t="shared" si="10"/>
        <v>28.84</v>
      </c>
      <c r="AM122" s="12" t="s">
        <v>3933</v>
      </c>
      <c r="AN122" s="12" t="s">
        <v>1072</v>
      </c>
      <c r="AO122" s="12" t="s">
        <v>3957</v>
      </c>
      <c r="AP122" s="12" t="s">
        <v>3958</v>
      </c>
      <c r="AQ122" s="12" t="s">
        <v>393</v>
      </c>
      <c r="AR122" s="12" t="s">
        <v>3937</v>
      </c>
      <c r="AS122" s="12" t="s">
        <v>3728</v>
      </c>
      <c r="AT122" s="12" t="s">
        <v>366</v>
      </c>
      <c r="AU122" s="12" t="s">
        <v>3729</v>
      </c>
      <c r="AV122" s="12" t="s">
        <v>832</v>
      </c>
      <c r="AW122" s="12" t="s">
        <v>868</v>
      </c>
      <c r="AX122" s="12" t="s">
        <v>868</v>
      </c>
      <c r="AY122" s="12" t="s">
        <v>868</v>
      </c>
      <c r="AZ122" s="12" t="s">
        <v>868</v>
      </c>
      <c r="BA122" s="12" t="s">
        <v>868</v>
      </c>
      <c r="BB122" s="12" t="s">
        <v>868</v>
      </c>
      <c r="BC122" s="12" t="s">
        <v>866</v>
      </c>
      <c r="BD122" s="12" t="s">
        <v>867</v>
      </c>
      <c r="BE122" s="12" t="s">
        <v>868</v>
      </c>
      <c r="BF122" s="12" t="s">
        <v>869</v>
      </c>
      <c r="BG122" s="12" t="s">
        <v>870</v>
      </c>
      <c r="BH122" s="12" t="s">
        <v>841</v>
      </c>
      <c r="BI122" s="12" t="s">
        <v>871</v>
      </c>
      <c r="BJ122" s="12" t="s">
        <v>841</v>
      </c>
      <c r="BK122" s="12" t="s">
        <v>841</v>
      </c>
      <c r="BL122" s="12" t="s">
        <v>872</v>
      </c>
      <c r="BM122" s="12" t="s">
        <v>873</v>
      </c>
      <c r="BN122" s="12" t="s">
        <v>866</v>
      </c>
      <c r="BO122" s="12" t="s">
        <v>874</v>
      </c>
      <c r="BP122" s="12" t="s">
        <v>875</v>
      </c>
      <c r="BQ122" s="12" t="s">
        <v>876</v>
      </c>
      <c r="BR122" s="12" t="s">
        <v>869</v>
      </c>
      <c r="BS122" s="12" t="s">
        <v>869</v>
      </c>
      <c r="BT122" s="12" t="s">
        <v>877</v>
      </c>
      <c r="BU122" s="12" t="s">
        <v>877</v>
      </c>
      <c r="BV122" s="12" t="s">
        <v>877</v>
      </c>
      <c r="BW122" s="12" t="s">
        <v>841</v>
      </c>
      <c r="BX122" s="12" t="s">
        <v>878</v>
      </c>
      <c r="BY122" s="12" t="s">
        <v>841</v>
      </c>
      <c r="BZ122" s="12" t="s">
        <v>841</v>
      </c>
      <c r="CA122" s="12" t="s">
        <v>841</v>
      </c>
      <c r="CB122" s="12" t="s">
        <v>841</v>
      </c>
      <c r="CC122" s="12" t="s">
        <v>3959</v>
      </c>
      <c r="CD122" s="12" t="s">
        <v>3960</v>
      </c>
      <c r="CE122" s="12" t="s">
        <v>3961</v>
      </c>
      <c r="CF122" s="12" t="s">
        <v>3962</v>
      </c>
      <c r="CG122" s="12" t="s">
        <v>3963</v>
      </c>
      <c r="CH122" s="12" t="s">
        <v>3964</v>
      </c>
      <c r="CI122" s="12" t="s">
        <v>3965</v>
      </c>
      <c r="CJ122" s="12" t="s">
        <v>3966</v>
      </c>
      <c r="CK122" s="12" t="s">
        <v>3967</v>
      </c>
      <c r="CL122" s="12" t="s">
        <v>3211</v>
      </c>
      <c r="CM122" s="12" t="s">
        <v>888</v>
      </c>
      <c r="CN122" s="12" t="s">
        <v>841</v>
      </c>
      <c r="CO122" s="12" t="s">
        <v>847</v>
      </c>
      <c r="CP122" s="12" t="s">
        <v>889</v>
      </c>
      <c r="CQ122" s="12" t="s">
        <v>890</v>
      </c>
      <c r="CR122" s="12" t="s">
        <v>847</v>
      </c>
      <c r="CS122" s="12" t="s">
        <v>891</v>
      </c>
      <c r="CT122" s="12" t="s">
        <v>892</v>
      </c>
      <c r="CU122" s="12" t="s">
        <v>893</v>
      </c>
      <c r="CV122" s="12" t="s">
        <v>841</v>
      </c>
      <c r="CW122" s="12" t="s">
        <v>3950</v>
      </c>
      <c r="CX122" s="12" t="s">
        <v>894</v>
      </c>
      <c r="CY122" s="12" t="s">
        <v>895</v>
      </c>
      <c r="CZ122" s="12" t="s">
        <v>896</v>
      </c>
      <c r="DA122" s="12" t="s">
        <v>897</v>
      </c>
      <c r="DB122" s="12" t="s">
        <v>898</v>
      </c>
      <c r="DC122" s="12" t="s">
        <v>899</v>
      </c>
    </row>
    <row r="123">
      <c r="A123" s="12" t="s">
        <v>1209</v>
      </c>
      <c r="B123" s="12" t="s">
        <v>443</v>
      </c>
      <c r="C123" s="12" t="s">
        <v>366</v>
      </c>
      <c r="D123" s="12" t="s">
        <v>833</v>
      </c>
      <c r="E123" s="12" t="s">
        <v>834</v>
      </c>
      <c r="F123" s="12"/>
      <c r="G123" s="12" t="s">
        <v>338</v>
      </c>
      <c r="H123" s="12" t="s">
        <v>435</v>
      </c>
      <c r="I123" s="12"/>
      <c r="J123" s="43">
        <f t="shared" si="1"/>
        <v>0.02012738823</v>
      </c>
      <c r="K123" s="43">
        <f t="shared" si="2"/>
        <v>2.90981592</v>
      </c>
      <c r="L123" s="43">
        <f t="shared" si="3"/>
        <v>0.01998912215</v>
      </c>
      <c r="M123" s="43">
        <f t="shared" si="4"/>
        <v>0.6483524911</v>
      </c>
      <c r="N123" s="12" t="s">
        <v>3968</v>
      </c>
      <c r="O123" s="12" t="s">
        <v>3969</v>
      </c>
      <c r="P123" s="43">
        <f t="shared" si="5"/>
        <v>4.003192556</v>
      </c>
      <c r="Q123" s="43">
        <f t="shared" si="6"/>
        <v>3.115248556</v>
      </c>
      <c r="R123" s="12" t="s">
        <v>3970</v>
      </c>
      <c r="S123" s="12" t="s">
        <v>3971</v>
      </c>
      <c r="T123" s="43">
        <f t="shared" si="7"/>
        <v>40.64567526</v>
      </c>
      <c r="U123" s="43">
        <f t="shared" si="8"/>
        <v>0.4417875</v>
      </c>
      <c r="V123" s="12" t="s">
        <v>839</v>
      </c>
      <c r="W123" s="12" t="s">
        <v>3972</v>
      </c>
      <c r="X123" s="12" t="s">
        <v>841</v>
      </c>
      <c r="Y123" s="12" t="s">
        <v>841</v>
      </c>
      <c r="Z123" s="12" t="s">
        <v>841</v>
      </c>
      <c r="AA123" s="12" t="s">
        <v>3973</v>
      </c>
      <c r="AB123" s="12" t="s">
        <v>3974</v>
      </c>
      <c r="AC123" s="12" t="s">
        <v>3975</v>
      </c>
      <c r="AD123" s="12" t="s">
        <v>845</v>
      </c>
      <c r="AE123" s="12" t="s">
        <v>846</v>
      </c>
      <c r="AF123" s="43">
        <f t="shared" si="9"/>
        <v>13.176544</v>
      </c>
      <c r="AG123" s="12" t="s">
        <v>847</v>
      </c>
      <c r="AH123" s="12" t="s">
        <v>3976</v>
      </c>
      <c r="AI123" s="12" t="s">
        <v>3977</v>
      </c>
      <c r="AJ123" s="12" t="s">
        <v>3956</v>
      </c>
      <c r="AK123" s="12" t="s">
        <v>3978</v>
      </c>
      <c r="AL123" s="43">
        <f t="shared" si="10"/>
        <v>28.92</v>
      </c>
      <c r="AM123" s="12" t="s">
        <v>3121</v>
      </c>
      <c r="AN123" s="12" t="s">
        <v>914</v>
      </c>
      <c r="AO123" s="12" t="s">
        <v>3979</v>
      </c>
      <c r="AP123" s="12" t="s">
        <v>3980</v>
      </c>
      <c r="AQ123" s="12" t="s">
        <v>949</v>
      </c>
      <c r="AR123" s="12" t="s">
        <v>3981</v>
      </c>
      <c r="AS123" s="12" t="s">
        <v>3728</v>
      </c>
      <c r="AT123" s="12" t="s">
        <v>366</v>
      </c>
      <c r="AU123" s="12" t="s">
        <v>3729</v>
      </c>
      <c r="AV123" s="12" t="s">
        <v>832</v>
      </c>
      <c r="AW123" s="12" t="s">
        <v>868</v>
      </c>
      <c r="AX123" s="12" t="s">
        <v>868</v>
      </c>
      <c r="AY123" s="12" t="s">
        <v>868</v>
      </c>
      <c r="AZ123" s="12" t="s">
        <v>868</v>
      </c>
      <c r="BA123" s="12" t="s">
        <v>868</v>
      </c>
      <c r="BB123" s="12" t="s">
        <v>868</v>
      </c>
      <c r="BC123" s="12" t="s">
        <v>866</v>
      </c>
      <c r="BD123" s="12" t="s">
        <v>867</v>
      </c>
      <c r="BE123" s="12" t="s">
        <v>868</v>
      </c>
      <c r="BF123" s="12" t="s">
        <v>869</v>
      </c>
      <c r="BG123" s="12" t="s">
        <v>870</v>
      </c>
      <c r="BH123" s="12" t="s">
        <v>841</v>
      </c>
      <c r="BI123" s="12" t="s">
        <v>871</v>
      </c>
      <c r="BJ123" s="12" t="s">
        <v>841</v>
      </c>
      <c r="BK123" s="12" t="s">
        <v>841</v>
      </c>
      <c r="BL123" s="12" t="s">
        <v>872</v>
      </c>
      <c r="BM123" s="12" t="s">
        <v>873</v>
      </c>
      <c r="BN123" s="12" t="s">
        <v>866</v>
      </c>
      <c r="BO123" s="12" t="s">
        <v>874</v>
      </c>
      <c r="BP123" s="12" t="s">
        <v>875</v>
      </c>
      <c r="BQ123" s="12" t="s">
        <v>876</v>
      </c>
      <c r="BR123" s="12" t="s">
        <v>869</v>
      </c>
      <c r="BS123" s="12" t="s">
        <v>869</v>
      </c>
      <c r="BT123" s="12" t="s">
        <v>877</v>
      </c>
      <c r="BU123" s="12" t="s">
        <v>877</v>
      </c>
      <c r="BV123" s="12" t="s">
        <v>877</v>
      </c>
      <c r="BW123" s="12" t="s">
        <v>841</v>
      </c>
      <c r="BX123" s="12" t="s">
        <v>878</v>
      </c>
      <c r="BY123" s="12" t="s">
        <v>841</v>
      </c>
      <c r="BZ123" s="12" t="s">
        <v>841</v>
      </c>
      <c r="CA123" s="12" t="s">
        <v>841</v>
      </c>
      <c r="CB123" s="12" t="s">
        <v>841</v>
      </c>
      <c r="CC123" s="12" t="s">
        <v>3982</v>
      </c>
      <c r="CD123" s="12" t="s">
        <v>3983</v>
      </c>
      <c r="CE123" s="12" t="s">
        <v>3984</v>
      </c>
      <c r="CF123" s="12" t="s">
        <v>3985</v>
      </c>
      <c r="CG123" s="12" t="s">
        <v>3986</v>
      </c>
      <c r="CH123" s="12" t="s">
        <v>3987</v>
      </c>
      <c r="CI123" s="12" t="s">
        <v>3988</v>
      </c>
      <c r="CJ123" s="12" t="s">
        <v>3989</v>
      </c>
      <c r="CK123" s="12" t="s">
        <v>3990</v>
      </c>
      <c r="CL123" s="12" t="s">
        <v>2231</v>
      </c>
      <c r="CM123" s="12" t="s">
        <v>888</v>
      </c>
      <c r="CN123" s="12" t="s">
        <v>841</v>
      </c>
      <c r="CO123" s="12" t="s">
        <v>847</v>
      </c>
      <c r="CP123" s="12" t="s">
        <v>889</v>
      </c>
      <c r="CQ123" s="12" t="s">
        <v>890</v>
      </c>
      <c r="CR123" s="12" t="s">
        <v>847</v>
      </c>
      <c r="CS123" s="12" t="s">
        <v>891</v>
      </c>
      <c r="CT123" s="12" t="s">
        <v>892</v>
      </c>
      <c r="CU123" s="12" t="s">
        <v>893</v>
      </c>
      <c r="CV123" s="12" t="s">
        <v>841</v>
      </c>
      <c r="CW123" s="12" t="s">
        <v>3972</v>
      </c>
      <c r="CX123" s="12" t="s">
        <v>894</v>
      </c>
      <c r="CY123" s="12" t="s">
        <v>895</v>
      </c>
      <c r="CZ123" s="12" t="s">
        <v>896</v>
      </c>
      <c r="DA123" s="12" t="s">
        <v>897</v>
      </c>
      <c r="DB123" s="12" t="s">
        <v>898</v>
      </c>
      <c r="DC123" s="12" t="s">
        <v>899</v>
      </c>
    </row>
    <row r="124">
      <c r="A124" s="12" t="s">
        <v>832</v>
      </c>
      <c r="B124" s="12" t="s">
        <v>444</v>
      </c>
      <c r="C124" s="12" t="s">
        <v>366</v>
      </c>
      <c r="D124" s="12" t="s">
        <v>833</v>
      </c>
      <c r="E124" s="12" t="s">
        <v>834</v>
      </c>
      <c r="F124" s="12"/>
      <c r="G124" s="12" t="s">
        <v>350</v>
      </c>
      <c r="H124" s="12" t="s">
        <v>309</v>
      </c>
      <c r="I124" s="12"/>
      <c r="J124" s="43">
        <f t="shared" si="1"/>
        <v>0.001400778342</v>
      </c>
      <c r="K124" s="43">
        <f t="shared" si="2"/>
        <v>2.90822672</v>
      </c>
      <c r="L124" s="43">
        <f t="shared" si="3"/>
        <v>0.001400103967</v>
      </c>
      <c r="M124" s="43">
        <f t="shared" si="4"/>
        <v>0.06856114435</v>
      </c>
      <c r="N124" s="12" t="s">
        <v>3991</v>
      </c>
      <c r="O124" s="12" t="s">
        <v>3992</v>
      </c>
      <c r="P124" s="43">
        <f t="shared" si="5"/>
        <v>5.576827059</v>
      </c>
      <c r="Q124" s="43">
        <f t="shared" si="6"/>
        <v>4.658967059</v>
      </c>
      <c r="R124" s="12" t="s">
        <v>3993</v>
      </c>
      <c r="S124" s="12" t="s">
        <v>3994</v>
      </c>
      <c r="T124" s="43">
        <f t="shared" si="7"/>
        <v>56.68083198</v>
      </c>
      <c r="U124" s="43">
        <f t="shared" si="8"/>
        <v>0.4417875</v>
      </c>
      <c r="V124" s="12" t="s">
        <v>839</v>
      </c>
      <c r="W124" s="12" t="s">
        <v>3995</v>
      </c>
      <c r="X124" s="12" t="s">
        <v>841</v>
      </c>
      <c r="Y124" s="12" t="s">
        <v>841</v>
      </c>
      <c r="Z124" s="12" t="s">
        <v>841</v>
      </c>
      <c r="AA124" s="12" t="s">
        <v>3996</v>
      </c>
      <c r="AB124" s="12" t="s">
        <v>3997</v>
      </c>
      <c r="AC124" s="12" t="s">
        <v>3998</v>
      </c>
      <c r="AD124" s="12" t="s">
        <v>845</v>
      </c>
      <c r="AE124" s="12" t="s">
        <v>846</v>
      </c>
      <c r="AF124" s="43">
        <f t="shared" si="9"/>
        <v>100.05161</v>
      </c>
      <c r="AG124" s="12" t="s">
        <v>847</v>
      </c>
      <c r="AH124" s="12" t="s">
        <v>3999</v>
      </c>
      <c r="AI124" s="12" t="s">
        <v>4000</v>
      </c>
      <c r="AJ124" s="12" t="s">
        <v>4001</v>
      </c>
      <c r="AK124" s="12" t="s">
        <v>4002</v>
      </c>
      <c r="AL124" s="43">
        <f t="shared" si="10"/>
        <v>34.77</v>
      </c>
      <c r="AM124" s="12" t="s">
        <v>4003</v>
      </c>
      <c r="AN124" s="12" t="s">
        <v>853</v>
      </c>
      <c r="AO124" s="12" t="s">
        <v>4004</v>
      </c>
      <c r="AP124" s="12" t="s">
        <v>4005</v>
      </c>
      <c r="AQ124" s="12" t="s">
        <v>4006</v>
      </c>
      <c r="AR124" s="12" t="s">
        <v>4007</v>
      </c>
      <c r="AS124" s="12" t="s">
        <v>4008</v>
      </c>
      <c r="AT124" s="12" t="s">
        <v>366</v>
      </c>
      <c r="AU124" s="12" t="s">
        <v>4009</v>
      </c>
      <c r="AV124" s="12" t="s">
        <v>832</v>
      </c>
      <c r="AW124" s="12" t="s">
        <v>923</v>
      </c>
      <c r="AX124" s="12" t="s">
        <v>923</v>
      </c>
      <c r="AY124" s="12" t="s">
        <v>1047</v>
      </c>
      <c r="AZ124" s="12" t="s">
        <v>4010</v>
      </c>
      <c r="BA124" s="12" t="s">
        <v>4011</v>
      </c>
      <c r="BB124" s="12" t="s">
        <v>4012</v>
      </c>
      <c r="BC124" s="12" t="s">
        <v>866</v>
      </c>
      <c r="BD124" s="12" t="s">
        <v>867</v>
      </c>
      <c r="BE124" s="12" t="s">
        <v>868</v>
      </c>
      <c r="BF124" s="12" t="s">
        <v>869</v>
      </c>
      <c r="BG124" s="12" t="s">
        <v>870</v>
      </c>
      <c r="BH124" s="12" t="s">
        <v>841</v>
      </c>
      <c r="BI124" s="12" t="s">
        <v>871</v>
      </c>
      <c r="BJ124" s="12" t="s">
        <v>841</v>
      </c>
      <c r="BK124" s="12" t="s">
        <v>841</v>
      </c>
      <c r="BL124" s="12" t="s">
        <v>872</v>
      </c>
      <c r="BM124" s="12" t="s">
        <v>873</v>
      </c>
      <c r="BN124" s="12" t="s">
        <v>866</v>
      </c>
      <c r="BO124" s="12" t="s">
        <v>874</v>
      </c>
      <c r="BP124" s="12" t="s">
        <v>875</v>
      </c>
      <c r="BQ124" s="12" t="s">
        <v>876</v>
      </c>
      <c r="BR124" s="12" t="s">
        <v>869</v>
      </c>
      <c r="BS124" s="12" t="s">
        <v>869</v>
      </c>
      <c r="BT124" s="12" t="s">
        <v>877</v>
      </c>
      <c r="BU124" s="12" t="s">
        <v>877</v>
      </c>
      <c r="BV124" s="12" t="s">
        <v>877</v>
      </c>
      <c r="BW124" s="12" t="s">
        <v>841</v>
      </c>
      <c r="BX124" s="12" t="s">
        <v>878</v>
      </c>
      <c r="BY124" s="12" t="s">
        <v>841</v>
      </c>
      <c r="BZ124" s="12" t="s">
        <v>841</v>
      </c>
      <c r="CA124" s="12" t="s">
        <v>841</v>
      </c>
      <c r="CB124" s="12" t="s">
        <v>841</v>
      </c>
      <c r="CC124" s="12" t="s">
        <v>4013</v>
      </c>
      <c r="CD124" s="12" t="s">
        <v>4014</v>
      </c>
      <c r="CE124" s="12" t="s">
        <v>4015</v>
      </c>
      <c r="CF124" s="12" t="s">
        <v>4016</v>
      </c>
      <c r="CG124" s="12" t="s">
        <v>4017</v>
      </c>
      <c r="CH124" s="12" t="s">
        <v>4018</v>
      </c>
      <c r="CI124" s="12" t="s">
        <v>4019</v>
      </c>
      <c r="CJ124" s="12" t="s">
        <v>4020</v>
      </c>
      <c r="CK124" s="12" t="s">
        <v>4021</v>
      </c>
      <c r="CL124" s="12" t="s">
        <v>4022</v>
      </c>
      <c r="CM124" s="12" t="s">
        <v>888</v>
      </c>
      <c r="CN124" s="12" t="s">
        <v>841</v>
      </c>
      <c r="CO124" s="12" t="s">
        <v>847</v>
      </c>
      <c r="CP124" s="12" t="s">
        <v>889</v>
      </c>
      <c r="CQ124" s="12" t="s">
        <v>890</v>
      </c>
      <c r="CR124" s="12" t="s">
        <v>847</v>
      </c>
      <c r="CS124" s="12" t="s">
        <v>891</v>
      </c>
      <c r="CT124" s="12" t="s">
        <v>892</v>
      </c>
      <c r="CU124" s="12" t="s">
        <v>893</v>
      </c>
      <c r="CV124" s="12" t="s">
        <v>841</v>
      </c>
      <c r="CW124" s="12" t="s">
        <v>3995</v>
      </c>
      <c r="CX124" s="12" t="s">
        <v>894</v>
      </c>
      <c r="CY124" s="12" t="s">
        <v>895</v>
      </c>
      <c r="CZ124" s="12" t="s">
        <v>896</v>
      </c>
      <c r="DA124" s="12" t="s">
        <v>897</v>
      </c>
      <c r="DB124" s="12" t="s">
        <v>898</v>
      </c>
      <c r="DC124" s="12" t="s">
        <v>899</v>
      </c>
    </row>
    <row r="125">
      <c r="A125" s="12" t="s">
        <v>900</v>
      </c>
      <c r="B125" s="12" t="s">
        <v>447</v>
      </c>
      <c r="C125" s="12" t="s">
        <v>366</v>
      </c>
      <c r="D125" s="12" t="s">
        <v>833</v>
      </c>
      <c r="E125" s="12" t="s">
        <v>834</v>
      </c>
      <c r="F125" s="12"/>
      <c r="G125" s="12" t="s">
        <v>350</v>
      </c>
      <c r="H125" s="12" t="s">
        <v>309</v>
      </c>
      <c r="I125" s="12"/>
      <c r="J125" s="43">
        <f t="shared" si="1"/>
        <v>0.01583994035</v>
      </c>
      <c r="K125" s="43">
        <f t="shared" si="2"/>
        <v>2.90743008</v>
      </c>
      <c r="L125" s="43">
        <f t="shared" si="3"/>
        <v>0.01575411054</v>
      </c>
      <c r="M125" s="43">
        <f t="shared" si="4"/>
        <v>0.6624725665</v>
      </c>
      <c r="N125" s="12" t="s">
        <v>4023</v>
      </c>
      <c r="O125" s="12" t="s">
        <v>4024</v>
      </c>
      <c r="P125" s="43">
        <f t="shared" si="5"/>
        <v>4.953598973</v>
      </c>
      <c r="Q125" s="43">
        <f t="shared" si="6"/>
        <v>4.013440973</v>
      </c>
      <c r="R125" s="12" t="s">
        <v>4025</v>
      </c>
      <c r="S125" s="12" t="s">
        <v>4026</v>
      </c>
      <c r="T125" s="43">
        <f t="shared" si="7"/>
        <v>50.3465695</v>
      </c>
      <c r="U125" s="43">
        <f t="shared" si="8"/>
        <v>0.4417875</v>
      </c>
      <c r="V125" s="12" t="s">
        <v>839</v>
      </c>
      <c r="W125" s="12" t="s">
        <v>4027</v>
      </c>
      <c r="X125" s="12" t="s">
        <v>841</v>
      </c>
      <c r="Y125" s="12" t="s">
        <v>841</v>
      </c>
      <c r="Z125" s="12" t="s">
        <v>841</v>
      </c>
      <c r="AA125" s="12" t="s">
        <v>4028</v>
      </c>
      <c r="AB125" s="12" t="s">
        <v>4029</v>
      </c>
      <c r="AC125" s="12" t="s">
        <v>4030</v>
      </c>
      <c r="AD125" s="12" t="s">
        <v>845</v>
      </c>
      <c r="AE125" s="12" t="s">
        <v>846</v>
      </c>
      <c r="AF125" s="43">
        <f t="shared" si="9"/>
        <v>167.6494144</v>
      </c>
      <c r="AG125" s="12" t="s">
        <v>847</v>
      </c>
      <c r="AH125" s="12" t="s">
        <v>4031</v>
      </c>
      <c r="AI125" s="12" t="s">
        <v>4032</v>
      </c>
      <c r="AJ125" s="12" t="s">
        <v>4033</v>
      </c>
      <c r="AK125" s="12" t="s">
        <v>4034</v>
      </c>
      <c r="AL125" s="43">
        <f t="shared" si="10"/>
        <v>32.65</v>
      </c>
      <c r="AM125" s="12" t="s">
        <v>4003</v>
      </c>
      <c r="AN125" s="12" t="s">
        <v>1009</v>
      </c>
      <c r="AO125" s="12" t="s">
        <v>4035</v>
      </c>
      <c r="AP125" s="12" t="s">
        <v>1808</v>
      </c>
      <c r="AQ125" s="12" t="s">
        <v>4036</v>
      </c>
      <c r="AR125" s="12" t="s">
        <v>4037</v>
      </c>
      <c r="AS125" s="12" t="s">
        <v>4008</v>
      </c>
      <c r="AT125" s="12" t="s">
        <v>366</v>
      </c>
      <c r="AU125" s="12" t="s">
        <v>4009</v>
      </c>
      <c r="AV125" s="12" t="s">
        <v>832</v>
      </c>
      <c r="AW125" s="12" t="s">
        <v>919</v>
      </c>
      <c r="AX125" s="12" t="s">
        <v>1457</v>
      </c>
      <c r="AY125" s="12" t="s">
        <v>1286</v>
      </c>
      <c r="AZ125" s="12" t="s">
        <v>4038</v>
      </c>
      <c r="BA125" s="12" t="s">
        <v>4039</v>
      </c>
      <c r="BB125" s="12" t="s">
        <v>4040</v>
      </c>
      <c r="BC125" s="12" t="s">
        <v>866</v>
      </c>
      <c r="BD125" s="12" t="s">
        <v>867</v>
      </c>
      <c r="BE125" s="12" t="s">
        <v>868</v>
      </c>
      <c r="BF125" s="12" t="s">
        <v>869</v>
      </c>
      <c r="BG125" s="12" t="s">
        <v>870</v>
      </c>
      <c r="BH125" s="12" t="s">
        <v>841</v>
      </c>
      <c r="BI125" s="12" t="s">
        <v>871</v>
      </c>
      <c r="BJ125" s="12" t="s">
        <v>841</v>
      </c>
      <c r="BK125" s="12" t="s">
        <v>841</v>
      </c>
      <c r="BL125" s="12" t="s">
        <v>872</v>
      </c>
      <c r="BM125" s="12" t="s">
        <v>873</v>
      </c>
      <c r="BN125" s="12" t="s">
        <v>866</v>
      </c>
      <c r="BO125" s="12" t="s">
        <v>874</v>
      </c>
      <c r="BP125" s="12" t="s">
        <v>875</v>
      </c>
      <c r="BQ125" s="12" t="s">
        <v>876</v>
      </c>
      <c r="BR125" s="12" t="s">
        <v>869</v>
      </c>
      <c r="BS125" s="12" t="s">
        <v>869</v>
      </c>
      <c r="BT125" s="12" t="s">
        <v>877</v>
      </c>
      <c r="BU125" s="12" t="s">
        <v>877</v>
      </c>
      <c r="BV125" s="12" t="s">
        <v>877</v>
      </c>
      <c r="BW125" s="12" t="s">
        <v>841</v>
      </c>
      <c r="BX125" s="12" t="s">
        <v>878</v>
      </c>
      <c r="BY125" s="12" t="s">
        <v>841</v>
      </c>
      <c r="BZ125" s="12" t="s">
        <v>841</v>
      </c>
      <c r="CA125" s="12" t="s">
        <v>841</v>
      </c>
      <c r="CB125" s="12" t="s">
        <v>841</v>
      </c>
      <c r="CC125" s="12" t="s">
        <v>4041</v>
      </c>
      <c r="CD125" s="12" t="s">
        <v>4042</v>
      </c>
      <c r="CE125" s="12" t="s">
        <v>4043</v>
      </c>
      <c r="CF125" s="12" t="s">
        <v>4044</v>
      </c>
      <c r="CG125" s="12" t="s">
        <v>4045</v>
      </c>
      <c r="CH125" s="12" t="s">
        <v>4046</v>
      </c>
      <c r="CI125" s="12" t="s">
        <v>4047</v>
      </c>
      <c r="CJ125" s="12" t="s">
        <v>4048</v>
      </c>
      <c r="CK125" s="12" t="s">
        <v>4028</v>
      </c>
      <c r="CL125" s="12" t="s">
        <v>1354</v>
      </c>
      <c r="CM125" s="12" t="s">
        <v>888</v>
      </c>
      <c r="CN125" s="12" t="s">
        <v>841</v>
      </c>
      <c r="CO125" s="12" t="s">
        <v>847</v>
      </c>
      <c r="CP125" s="12" t="s">
        <v>889</v>
      </c>
      <c r="CQ125" s="12" t="s">
        <v>890</v>
      </c>
      <c r="CR125" s="12" t="s">
        <v>847</v>
      </c>
      <c r="CS125" s="12" t="s">
        <v>891</v>
      </c>
      <c r="CT125" s="12" t="s">
        <v>892</v>
      </c>
      <c r="CU125" s="12" t="s">
        <v>893</v>
      </c>
      <c r="CV125" s="12" t="s">
        <v>841</v>
      </c>
      <c r="CW125" s="12" t="s">
        <v>4027</v>
      </c>
      <c r="CX125" s="12" t="s">
        <v>894</v>
      </c>
      <c r="CY125" s="12" t="s">
        <v>895</v>
      </c>
      <c r="CZ125" s="12" t="s">
        <v>896</v>
      </c>
      <c r="DA125" s="12" t="s">
        <v>897</v>
      </c>
      <c r="DB125" s="12" t="s">
        <v>898</v>
      </c>
      <c r="DC125" s="12" t="s">
        <v>899</v>
      </c>
    </row>
    <row r="126">
      <c r="A126" s="12" t="s">
        <v>934</v>
      </c>
      <c r="B126" s="12" t="s">
        <v>448</v>
      </c>
      <c r="C126" s="12" t="s">
        <v>366</v>
      </c>
      <c r="D126" s="12" t="s">
        <v>833</v>
      </c>
      <c r="E126" s="12" t="s">
        <v>834</v>
      </c>
      <c r="F126" s="12"/>
      <c r="G126" s="12" t="s">
        <v>350</v>
      </c>
      <c r="H126" s="12" t="s">
        <v>309</v>
      </c>
      <c r="I126" s="12"/>
      <c r="J126" s="43">
        <f t="shared" si="1"/>
        <v>0.009591462416</v>
      </c>
      <c r="K126" s="43">
        <f t="shared" si="2"/>
        <v>2.909022</v>
      </c>
      <c r="L126" s="43">
        <f t="shared" si="3"/>
        <v>0.009559941917</v>
      </c>
      <c r="M126" s="43">
        <f t="shared" si="4"/>
        <v>0.421182268</v>
      </c>
      <c r="N126" s="12" t="s">
        <v>4049</v>
      </c>
      <c r="O126" s="12" t="s">
        <v>4050</v>
      </c>
      <c r="P126" s="43">
        <f t="shared" si="5"/>
        <v>5.140775879</v>
      </c>
      <c r="Q126" s="43">
        <f t="shared" si="6"/>
        <v>4.200331879</v>
      </c>
      <c r="R126" s="12" t="s">
        <v>4051</v>
      </c>
      <c r="S126" s="12" t="s">
        <v>4052</v>
      </c>
      <c r="T126" s="43">
        <f t="shared" si="7"/>
        <v>52.25427809</v>
      </c>
      <c r="U126" s="43">
        <f t="shared" si="8"/>
        <v>0.4417875</v>
      </c>
      <c r="V126" s="12" t="s">
        <v>839</v>
      </c>
      <c r="W126" s="12" t="s">
        <v>4053</v>
      </c>
      <c r="X126" s="12" t="s">
        <v>841</v>
      </c>
      <c r="Y126" s="12" t="s">
        <v>841</v>
      </c>
      <c r="Z126" s="12" t="s">
        <v>841</v>
      </c>
      <c r="AA126" s="12" t="s">
        <v>4054</v>
      </c>
      <c r="AB126" s="12" t="s">
        <v>4055</v>
      </c>
      <c r="AC126" s="12" t="s">
        <v>4056</v>
      </c>
      <c r="AD126" s="12" t="s">
        <v>845</v>
      </c>
      <c r="AE126" s="12" t="s">
        <v>846</v>
      </c>
      <c r="AF126" s="43">
        <f t="shared" si="9"/>
        <v>273.2714028</v>
      </c>
      <c r="AG126" s="12" t="s">
        <v>847</v>
      </c>
      <c r="AH126" s="12" t="s">
        <v>3930</v>
      </c>
      <c r="AI126" s="12" t="s">
        <v>4057</v>
      </c>
      <c r="AJ126" s="12" t="s">
        <v>4058</v>
      </c>
      <c r="AK126" s="12" t="s">
        <v>4059</v>
      </c>
      <c r="AL126" s="43">
        <f t="shared" si="10"/>
        <v>33.31</v>
      </c>
      <c r="AM126" s="12" t="s">
        <v>4060</v>
      </c>
      <c r="AN126" s="12" t="s">
        <v>1072</v>
      </c>
      <c r="AO126" s="12" t="s">
        <v>4061</v>
      </c>
      <c r="AP126" s="12" t="s">
        <v>4062</v>
      </c>
      <c r="AQ126" s="12" t="s">
        <v>4063</v>
      </c>
      <c r="AR126" s="12" t="s">
        <v>4064</v>
      </c>
      <c r="AS126" s="12" t="s">
        <v>4008</v>
      </c>
      <c r="AT126" s="12" t="s">
        <v>366</v>
      </c>
      <c r="AU126" s="12" t="s">
        <v>4009</v>
      </c>
      <c r="AV126" s="12" t="s">
        <v>832</v>
      </c>
      <c r="AW126" s="12" t="s">
        <v>923</v>
      </c>
      <c r="AX126" s="12" t="s">
        <v>1372</v>
      </c>
      <c r="AY126" s="12" t="s">
        <v>860</v>
      </c>
      <c r="AZ126" s="12" t="s">
        <v>4065</v>
      </c>
      <c r="BA126" s="12" t="s">
        <v>4066</v>
      </c>
      <c r="BB126" s="12" t="s">
        <v>4067</v>
      </c>
      <c r="BC126" s="12" t="s">
        <v>866</v>
      </c>
      <c r="BD126" s="12" t="s">
        <v>867</v>
      </c>
      <c r="BE126" s="12" t="s">
        <v>868</v>
      </c>
      <c r="BF126" s="12" t="s">
        <v>869</v>
      </c>
      <c r="BG126" s="12" t="s">
        <v>870</v>
      </c>
      <c r="BH126" s="12" t="s">
        <v>841</v>
      </c>
      <c r="BI126" s="12" t="s">
        <v>871</v>
      </c>
      <c r="BJ126" s="12" t="s">
        <v>841</v>
      </c>
      <c r="BK126" s="12" t="s">
        <v>841</v>
      </c>
      <c r="BL126" s="12" t="s">
        <v>872</v>
      </c>
      <c r="BM126" s="12" t="s">
        <v>873</v>
      </c>
      <c r="BN126" s="12" t="s">
        <v>866</v>
      </c>
      <c r="BO126" s="12" t="s">
        <v>874</v>
      </c>
      <c r="BP126" s="12" t="s">
        <v>875</v>
      </c>
      <c r="BQ126" s="12" t="s">
        <v>876</v>
      </c>
      <c r="BR126" s="12" t="s">
        <v>869</v>
      </c>
      <c r="BS126" s="12" t="s">
        <v>869</v>
      </c>
      <c r="BT126" s="12" t="s">
        <v>877</v>
      </c>
      <c r="BU126" s="12" t="s">
        <v>877</v>
      </c>
      <c r="BV126" s="12" t="s">
        <v>877</v>
      </c>
      <c r="BW126" s="12" t="s">
        <v>841</v>
      </c>
      <c r="BX126" s="12" t="s">
        <v>878</v>
      </c>
      <c r="BY126" s="12" t="s">
        <v>841</v>
      </c>
      <c r="BZ126" s="12" t="s">
        <v>841</v>
      </c>
      <c r="CA126" s="12" t="s">
        <v>841</v>
      </c>
      <c r="CB126" s="12" t="s">
        <v>841</v>
      </c>
      <c r="CC126" s="12" t="s">
        <v>4068</v>
      </c>
      <c r="CD126" s="12" t="s">
        <v>4069</v>
      </c>
      <c r="CE126" s="12" t="s">
        <v>4070</v>
      </c>
      <c r="CF126" s="12" t="s">
        <v>4071</v>
      </c>
      <c r="CG126" s="12" t="s">
        <v>4072</v>
      </c>
      <c r="CH126" s="12" t="s">
        <v>4073</v>
      </c>
      <c r="CI126" s="12" t="s">
        <v>4074</v>
      </c>
      <c r="CJ126" s="12" t="s">
        <v>4075</v>
      </c>
      <c r="CK126" s="12" t="s">
        <v>4054</v>
      </c>
      <c r="CL126" s="12" t="s">
        <v>967</v>
      </c>
      <c r="CM126" s="12" t="s">
        <v>888</v>
      </c>
      <c r="CN126" s="12" t="s">
        <v>841</v>
      </c>
      <c r="CO126" s="12" t="s">
        <v>847</v>
      </c>
      <c r="CP126" s="12" t="s">
        <v>889</v>
      </c>
      <c r="CQ126" s="12" t="s">
        <v>890</v>
      </c>
      <c r="CR126" s="12" t="s">
        <v>847</v>
      </c>
      <c r="CS126" s="12" t="s">
        <v>891</v>
      </c>
      <c r="CT126" s="12" t="s">
        <v>892</v>
      </c>
      <c r="CU126" s="12" t="s">
        <v>893</v>
      </c>
      <c r="CV126" s="12" t="s">
        <v>841</v>
      </c>
      <c r="CW126" s="12" t="s">
        <v>4053</v>
      </c>
      <c r="CX126" s="12" t="s">
        <v>894</v>
      </c>
      <c r="CY126" s="12" t="s">
        <v>895</v>
      </c>
      <c r="CZ126" s="12" t="s">
        <v>896</v>
      </c>
      <c r="DA126" s="12" t="s">
        <v>897</v>
      </c>
      <c r="DB126" s="12" t="s">
        <v>898</v>
      </c>
      <c r="DC126" s="12" t="s">
        <v>899</v>
      </c>
    </row>
    <row r="127">
      <c r="A127" s="12" t="s">
        <v>968</v>
      </c>
      <c r="B127" s="12" t="s">
        <v>449</v>
      </c>
      <c r="C127" s="12" t="s">
        <v>366</v>
      </c>
      <c r="D127" s="12" t="s">
        <v>833</v>
      </c>
      <c r="E127" s="12" t="s">
        <v>834</v>
      </c>
      <c r="F127" s="12"/>
      <c r="G127" s="12" t="s">
        <v>350</v>
      </c>
      <c r="H127" s="12" t="s">
        <v>446</v>
      </c>
      <c r="I127" s="12"/>
      <c r="J127" s="43">
        <f t="shared" si="1"/>
        <v>0.0355478263</v>
      </c>
      <c r="K127" s="43">
        <f t="shared" si="2"/>
        <v>2.90822672</v>
      </c>
      <c r="L127" s="43">
        <f t="shared" si="3"/>
        <v>0.03511856518</v>
      </c>
      <c r="M127" s="43">
        <f t="shared" si="4"/>
        <v>1.466639267</v>
      </c>
      <c r="N127" s="12" t="s">
        <v>4076</v>
      </c>
      <c r="O127" s="12" t="s">
        <v>4077</v>
      </c>
      <c r="P127" s="43">
        <f t="shared" si="5"/>
        <v>5.046432392</v>
      </c>
      <c r="Q127" s="43">
        <f t="shared" si="6"/>
        <v>3.980974392</v>
      </c>
      <c r="R127" s="12" t="s">
        <v>4078</v>
      </c>
      <c r="S127" s="12" t="s">
        <v>4079</v>
      </c>
      <c r="T127" s="43">
        <f t="shared" si="7"/>
        <v>51.29530791</v>
      </c>
      <c r="U127" s="43">
        <f t="shared" si="8"/>
        <v>0.4417875</v>
      </c>
      <c r="V127" s="12" t="s">
        <v>839</v>
      </c>
      <c r="W127" s="12" t="s">
        <v>4080</v>
      </c>
      <c r="X127" s="12" t="s">
        <v>841</v>
      </c>
      <c r="Y127" s="12" t="s">
        <v>841</v>
      </c>
      <c r="Z127" s="12" t="s">
        <v>841</v>
      </c>
      <c r="AA127" s="12" t="s">
        <v>4081</v>
      </c>
      <c r="AB127" s="12" t="s">
        <v>4082</v>
      </c>
      <c r="AC127" s="12" t="s">
        <v>4083</v>
      </c>
      <c r="AD127" s="12" t="s">
        <v>845</v>
      </c>
      <c r="AE127" s="12" t="s">
        <v>846</v>
      </c>
      <c r="AF127" s="43">
        <f t="shared" si="9"/>
        <v>4.5718272</v>
      </c>
      <c r="AG127" s="12" t="s">
        <v>847</v>
      </c>
      <c r="AH127" s="12" t="s">
        <v>2746</v>
      </c>
      <c r="AI127" s="12" t="s">
        <v>4084</v>
      </c>
      <c r="AJ127" s="12" t="s">
        <v>4085</v>
      </c>
      <c r="AK127" s="12" t="s">
        <v>4086</v>
      </c>
      <c r="AL127" s="43">
        <f t="shared" si="10"/>
        <v>32.98</v>
      </c>
      <c r="AM127" s="12" t="s">
        <v>4060</v>
      </c>
      <c r="AN127" s="12" t="s">
        <v>853</v>
      </c>
      <c r="AO127" s="12" t="s">
        <v>4087</v>
      </c>
      <c r="AP127" s="12" t="s">
        <v>4088</v>
      </c>
      <c r="AQ127" s="12" t="s">
        <v>1894</v>
      </c>
      <c r="AR127" s="12" t="s">
        <v>4089</v>
      </c>
      <c r="AS127" s="12" t="s">
        <v>4008</v>
      </c>
      <c r="AT127" s="12" t="s">
        <v>366</v>
      </c>
      <c r="AU127" s="12" t="s">
        <v>4009</v>
      </c>
      <c r="AV127" s="12" t="s">
        <v>832</v>
      </c>
      <c r="AW127" s="12" t="s">
        <v>1164</v>
      </c>
      <c r="AX127" s="12" t="s">
        <v>1403</v>
      </c>
      <c r="AY127" s="12" t="s">
        <v>2896</v>
      </c>
      <c r="AZ127" s="12" t="s">
        <v>4090</v>
      </c>
      <c r="BA127" s="12" t="s">
        <v>4091</v>
      </c>
      <c r="BB127" s="12" t="s">
        <v>4092</v>
      </c>
      <c r="BC127" s="12" t="s">
        <v>866</v>
      </c>
      <c r="BD127" s="12" t="s">
        <v>867</v>
      </c>
      <c r="BE127" s="12" t="s">
        <v>868</v>
      </c>
      <c r="BF127" s="12" t="s">
        <v>869</v>
      </c>
      <c r="BG127" s="12" t="s">
        <v>870</v>
      </c>
      <c r="BH127" s="12" t="s">
        <v>841</v>
      </c>
      <c r="BI127" s="12" t="s">
        <v>871</v>
      </c>
      <c r="BJ127" s="12" t="s">
        <v>841</v>
      </c>
      <c r="BK127" s="12" t="s">
        <v>841</v>
      </c>
      <c r="BL127" s="12" t="s">
        <v>872</v>
      </c>
      <c r="BM127" s="12" t="s">
        <v>873</v>
      </c>
      <c r="BN127" s="12" t="s">
        <v>866</v>
      </c>
      <c r="BO127" s="12" t="s">
        <v>874</v>
      </c>
      <c r="BP127" s="12" t="s">
        <v>875</v>
      </c>
      <c r="BQ127" s="12" t="s">
        <v>876</v>
      </c>
      <c r="BR127" s="12" t="s">
        <v>869</v>
      </c>
      <c r="BS127" s="12" t="s">
        <v>869</v>
      </c>
      <c r="BT127" s="12" t="s">
        <v>877</v>
      </c>
      <c r="BU127" s="12" t="s">
        <v>877</v>
      </c>
      <c r="BV127" s="12" t="s">
        <v>877</v>
      </c>
      <c r="BW127" s="12" t="s">
        <v>841</v>
      </c>
      <c r="BX127" s="12" t="s">
        <v>878</v>
      </c>
      <c r="BY127" s="12" t="s">
        <v>841</v>
      </c>
      <c r="BZ127" s="12" t="s">
        <v>841</v>
      </c>
      <c r="CA127" s="12" t="s">
        <v>841</v>
      </c>
      <c r="CB127" s="12" t="s">
        <v>841</v>
      </c>
      <c r="CC127" s="12" t="s">
        <v>4093</v>
      </c>
      <c r="CD127" s="12" t="s">
        <v>4094</v>
      </c>
      <c r="CE127" s="12" t="s">
        <v>4095</v>
      </c>
      <c r="CF127" s="12" t="s">
        <v>4096</v>
      </c>
      <c r="CG127" s="12" t="s">
        <v>4097</v>
      </c>
      <c r="CH127" s="12" t="s">
        <v>4098</v>
      </c>
      <c r="CI127" s="12" t="s">
        <v>4099</v>
      </c>
      <c r="CJ127" s="12" t="s">
        <v>4100</v>
      </c>
      <c r="CK127" s="12" t="s">
        <v>4081</v>
      </c>
      <c r="CL127" s="12" t="s">
        <v>996</v>
      </c>
      <c r="CM127" s="12" t="s">
        <v>888</v>
      </c>
      <c r="CN127" s="12" t="s">
        <v>841</v>
      </c>
      <c r="CO127" s="12" t="s">
        <v>847</v>
      </c>
      <c r="CP127" s="12" t="s">
        <v>889</v>
      </c>
      <c r="CQ127" s="12" t="s">
        <v>890</v>
      </c>
      <c r="CR127" s="12" t="s">
        <v>847</v>
      </c>
      <c r="CS127" s="12" t="s">
        <v>891</v>
      </c>
      <c r="CT127" s="12" t="s">
        <v>892</v>
      </c>
      <c r="CU127" s="12" t="s">
        <v>893</v>
      </c>
      <c r="CV127" s="12" t="s">
        <v>841</v>
      </c>
      <c r="CW127" s="12" t="s">
        <v>4080</v>
      </c>
      <c r="CX127" s="12" t="s">
        <v>894</v>
      </c>
      <c r="CY127" s="12" t="s">
        <v>895</v>
      </c>
      <c r="CZ127" s="12" t="s">
        <v>896</v>
      </c>
      <c r="DA127" s="12" t="s">
        <v>897</v>
      </c>
      <c r="DB127" s="12" t="s">
        <v>898</v>
      </c>
      <c r="DC127" s="12" t="s">
        <v>899</v>
      </c>
    </row>
    <row r="128">
      <c r="A128" s="12" t="s">
        <v>997</v>
      </c>
      <c r="B128" s="12" t="s">
        <v>451</v>
      </c>
      <c r="C128" s="12" t="s">
        <v>366</v>
      </c>
      <c r="D128" s="12" t="s">
        <v>833</v>
      </c>
      <c r="E128" s="12" t="s">
        <v>834</v>
      </c>
      <c r="F128" s="12"/>
      <c r="G128" s="12" t="s">
        <v>350</v>
      </c>
      <c r="H128" s="12" t="s">
        <v>446</v>
      </c>
      <c r="I128" s="12"/>
      <c r="J128" s="43">
        <f t="shared" si="1"/>
        <v>0.02067217697</v>
      </c>
      <c r="K128" s="43">
        <f t="shared" si="2"/>
        <v>2.91060848</v>
      </c>
      <c r="L128" s="43">
        <f t="shared" si="3"/>
        <v>0.02052639124</v>
      </c>
      <c r="M128" s="43">
        <f t="shared" si="4"/>
        <v>0.8253837108</v>
      </c>
      <c r="N128" s="12" t="s">
        <v>4101</v>
      </c>
      <c r="O128" s="12" t="s">
        <v>4102</v>
      </c>
      <c r="P128" s="43">
        <f t="shared" si="5"/>
        <v>4.884263492</v>
      </c>
      <c r="Q128" s="43">
        <f t="shared" si="6"/>
        <v>3.836223492</v>
      </c>
      <c r="R128" s="12" t="s">
        <v>4103</v>
      </c>
      <c r="S128" s="12" t="s">
        <v>4104</v>
      </c>
      <c r="T128" s="43">
        <f t="shared" si="7"/>
        <v>49.6519619</v>
      </c>
      <c r="U128" s="43">
        <f t="shared" si="8"/>
        <v>0.4417875</v>
      </c>
      <c r="V128" s="12" t="s">
        <v>839</v>
      </c>
      <c r="W128" s="12" t="s">
        <v>4105</v>
      </c>
      <c r="X128" s="12" t="s">
        <v>841</v>
      </c>
      <c r="Y128" s="12" t="s">
        <v>841</v>
      </c>
      <c r="Z128" s="12" t="s">
        <v>841</v>
      </c>
      <c r="AA128" s="12" t="s">
        <v>4106</v>
      </c>
      <c r="AB128" s="12" t="s">
        <v>4107</v>
      </c>
      <c r="AC128" s="12" t="s">
        <v>4108</v>
      </c>
      <c r="AD128" s="12" t="s">
        <v>845</v>
      </c>
      <c r="AE128" s="12" t="s">
        <v>846</v>
      </c>
      <c r="AF128" s="43">
        <f t="shared" si="9"/>
        <v>576.9131368</v>
      </c>
      <c r="AG128" s="12" t="s">
        <v>847</v>
      </c>
      <c r="AH128" s="12" t="s">
        <v>1752</v>
      </c>
      <c r="AI128" s="12" t="s">
        <v>4109</v>
      </c>
      <c r="AJ128" s="12" t="s">
        <v>4110</v>
      </c>
      <c r="AK128" s="12" t="s">
        <v>4111</v>
      </c>
      <c r="AL128" s="43">
        <f t="shared" si="10"/>
        <v>32.4</v>
      </c>
      <c r="AM128" s="12" t="s">
        <v>4112</v>
      </c>
      <c r="AN128" s="12" t="s">
        <v>1159</v>
      </c>
      <c r="AO128" s="12" t="s">
        <v>4113</v>
      </c>
      <c r="AP128" s="12" t="s">
        <v>4114</v>
      </c>
      <c r="AQ128" s="12" t="s">
        <v>4115</v>
      </c>
      <c r="AR128" s="12" t="s">
        <v>4089</v>
      </c>
      <c r="AS128" s="12" t="s">
        <v>4008</v>
      </c>
      <c r="AT128" s="12" t="s">
        <v>366</v>
      </c>
      <c r="AU128" s="12" t="s">
        <v>4009</v>
      </c>
      <c r="AV128" s="12" t="s">
        <v>832</v>
      </c>
      <c r="AW128" s="12" t="s">
        <v>1542</v>
      </c>
      <c r="AX128" s="12" t="s">
        <v>1342</v>
      </c>
      <c r="AY128" s="12" t="s">
        <v>1513</v>
      </c>
      <c r="AZ128" s="12" t="s">
        <v>1227</v>
      </c>
      <c r="BA128" s="12" t="s">
        <v>4116</v>
      </c>
      <c r="BB128" s="12" t="s">
        <v>4117</v>
      </c>
      <c r="BC128" s="12" t="s">
        <v>866</v>
      </c>
      <c r="BD128" s="12" t="s">
        <v>867</v>
      </c>
      <c r="BE128" s="12" t="s">
        <v>868</v>
      </c>
      <c r="BF128" s="12" t="s">
        <v>869</v>
      </c>
      <c r="BG128" s="12" t="s">
        <v>870</v>
      </c>
      <c r="BH128" s="12" t="s">
        <v>841</v>
      </c>
      <c r="BI128" s="12" t="s">
        <v>871</v>
      </c>
      <c r="BJ128" s="12" t="s">
        <v>841</v>
      </c>
      <c r="BK128" s="12" t="s">
        <v>841</v>
      </c>
      <c r="BL128" s="12" t="s">
        <v>872</v>
      </c>
      <c r="BM128" s="12" t="s">
        <v>873</v>
      </c>
      <c r="BN128" s="12" t="s">
        <v>866</v>
      </c>
      <c r="BO128" s="12" t="s">
        <v>874</v>
      </c>
      <c r="BP128" s="12" t="s">
        <v>875</v>
      </c>
      <c r="BQ128" s="12" t="s">
        <v>876</v>
      </c>
      <c r="BR128" s="12" t="s">
        <v>869</v>
      </c>
      <c r="BS128" s="12" t="s">
        <v>869</v>
      </c>
      <c r="BT128" s="12" t="s">
        <v>877</v>
      </c>
      <c r="BU128" s="12" t="s">
        <v>877</v>
      </c>
      <c r="BV128" s="12" t="s">
        <v>877</v>
      </c>
      <c r="BW128" s="12" t="s">
        <v>841</v>
      </c>
      <c r="BX128" s="12" t="s">
        <v>878</v>
      </c>
      <c r="BY128" s="12" t="s">
        <v>841</v>
      </c>
      <c r="BZ128" s="12" t="s">
        <v>841</v>
      </c>
      <c r="CA128" s="12" t="s">
        <v>841</v>
      </c>
      <c r="CB128" s="12" t="s">
        <v>841</v>
      </c>
      <c r="CC128" s="12" t="s">
        <v>4118</v>
      </c>
      <c r="CD128" s="12" t="s">
        <v>4119</v>
      </c>
      <c r="CE128" s="12" t="s">
        <v>4120</v>
      </c>
      <c r="CF128" s="12" t="s">
        <v>4121</v>
      </c>
      <c r="CG128" s="12" t="s">
        <v>4122</v>
      </c>
      <c r="CH128" s="12" t="s">
        <v>4123</v>
      </c>
      <c r="CI128" s="12" t="s">
        <v>4124</v>
      </c>
      <c r="CJ128" s="12" t="s">
        <v>4125</v>
      </c>
      <c r="CK128" s="12" t="s">
        <v>4106</v>
      </c>
      <c r="CL128" s="12" t="s">
        <v>1324</v>
      </c>
      <c r="CM128" s="12" t="s">
        <v>888</v>
      </c>
      <c r="CN128" s="12" t="s">
        <v>841</v>
      </c>
      <c r="CO128" s="12" t="s">
        <v>847</v>
      </c>
      <c r="CP128" s="12" t="s">
        <v>889</v>
      </c>
      <c r="CQ128" s="12" t="s">
        <v>890</v>
      </c>
      <c r="CR128" s="12" t="s">
        <v>847</v>
      </c>
      <c r="CS128" s="12" t="s">
        <v>891</v>
      </c>
      <c r="CT128" s="12" t="s">
        <v>892</v>
      </c>
      <c r="CU128" s="12" t="s">
        <v>893</v>
      </c>
      <c r="CV128" s="12" t="s">
        <v>841</v>
      </c>
      <c r="CW128" s="12" t="s">
        <v>4105</v>
      </c>
      <c r="CX128" s="12" t="s">
        <v>894</v>
      </c>
      <c r="CY128" s="12" t="s">
        <v>895</v>
      </c>
      <c r="CZ128" s="12" t="s">
        <v>896</v>
      </c>
      <c r="DA128" s="12" t="s">
        <v>897</v>
      </c>
      <c r="DB128" s="12" t="s">
        <v>898</v>
      </c>
      <c r="DC128" s="12" t="s">
        <v>899</v>
      </c>
    </row>
    <row r="129">
      <c r="A129" s="12" t="s">
        <v>1029</v>
      </c>
      <c r="B129" s="12" t="s">
        <v>452</v>
      </c>
      <c r="C129" s="12" t="s">
        <v>366</v>
      </c>
      <c r="D129" s="12" t="s">
        <v>833</v>
      </c>
      <c r="E129" s="12" t="s">
        <v>834</v>
      </c>
      <c r="F129" s="12"/>
      <c r="G129" s="12" t="s">
        <v>350</v>
      </c>
      <c r="H129" s="12" t="s">
        <v>446</v>
      </c>
      <c r="I129" s="12"/>
      <c r="J129" s="43">
        <f t="shared" si="1"/>
        <v>-0.002978057965</v>
      </c>
      <c r="K129" s="43">
        <f t="shared" si="2"/>
        <v>2.90981592</v>
      </c>
      <c r="L129" s="43">
        <f t="shared" si="3"/>
        <v>-0.002981108988</v>
      </c>
      <c r="M129" s="43">
        <f t="shared" si="4"/>
        <v>-0.120069673</v>
      </c>
      <c r="N129" s="12" t="s">
        <v>4126</v>
      </c>
      <c r="O129" s="12" t="s">
        <v>4127</v>
      </c>
      <c r="P129" s="43">
        <f t="shared" si="5"/>
        <v>4.815774225</v>
      </c>
      <c r="Q129" s="43">
        <f t="shared" si="6"/>
        <v>3.845492225</v>
      </c>
      <c r="R129" s="12" t="s">
        <v>4128</v>
      </c>
      <c r="S129" s="12" t="s">
        <v>4129</v>
      </c>
      <c r="T129" s="43">
        <f t="shared" si="7"/>
        <v>48.95572049</v>
      </c>
      <c r="U129" s="43">
        <f t="shared" si="8"/>
        <v>0.4417875</v>
      </c>
      <c r="V129" s="12" t="s">
        <v>839</v>
      </c>
      <c r="W129" s="12" t="s">
        <v>4130</v>
      </c>
      <c r="X129" s="12" t="s">
        <v>841</v>
      </c>
      <c r="Y129" s="12" t="s">
        <v>841</v>
      </c>
      <c r="Z129" s="12" t="s">
        <v>841</v>
      </c>
      <c r="AA129" s="12" t="s">
        <v>4131</v>
      </c>
      <c r="AB129" s="12" t="s">
        <v>4132</v>
      </c>
      <c r="AC129" s="12" t="s">
        <v>4133</v>
      </c>
      <c r="AD129" s="12" t="s">
        <v>845</v>
      </c>
      <c r="AE129" s="12" t="s">
        <v>846</v>
      </c>
      <c r="AF129" s="43">
        <f t="shared" si="9"/>
        <v>24.459668</v>
      </c>
      <c r="AG129" s="12" t="s">
        <v>847</v>
      </c>
      <c r="AH129" s="12" t="s">
        <v>4134</v>
      </c>
      <c r="AI129" s="12" t="s">
        <v>4135</v>
      </c>
      <c r="AJ129" s="12" t="s">
        <v>4136</v>
      </c>
      <c r="AK129" s="12" t="s">
        <v>4137</v>
      </c>
      <c r="AL129" s="43">
        <f t="shared" si="10"/>
        <v>32.15</v>
      </c>
      <c r="AM129" s="12" t="s">
        <v>4112</v>
      </c>
      <c r="AN129" s="12" t="s">
        <v>914</v>
      </c>
      <c r="AO129" s="12" t="s">
        <v>4138</v>
      </c>
      <c r="AP129" s="12" t="s">
        <v>4139</v>
      </c>
      <c r="AQ129" s="12" t="s">
        <v>4140</v>
      </c>
      <c r="AR129" s="12" t="s">
        <v>4089</v>
      </c>
      <c r="AS129" s="12" t="s">
        <v>4008</v>
      </c>
      <c r="AT129" s="12" t="s">
        <v>366</v>
      </c>
      <c r="AU129" s="12" t="s">
        <v>4009</v>
      </c>
      <c r="AV129" s="12" t="s">
        <v>832</v>
      </c>
      <c r="AW129" s="12" t="s">
        <v>1047</v>
      </c>
      <c r="AX129" s="12" t="s">
        <v>1164</v>
      </c>
      <c r="AY129" s="12" t="s">
        <v>1287</v>
      </c>
      <c r="AZ129" s="12" t="s">
        <v>4141</v>
      </c>
      <c r="BA129" s="12" t="s">
        <v>4142</v>
      </c>
      <c r="BB129" s="12" t="s">
        <v>4143</v>
      </c>
      <c r="BC129" s="12" t="s">
        <v>866</v>
      </c>
      <c r="BD129" s="12" t="s">
        <v>867</v>
      </c>
      <c r="BE129" s="12" t="s">
        <v>868</v>
      </c>
      <c r="BF129" s="12" t="s">
        <v>869</v>
      </c>
      <c r="BG129" s="12" t="s">
        <v>870</v>
      </c>
      <c r="BH129" s="12" t="s">
        <v>841</v>
      </c>
      <c r="BI129" s="12" t="s">
        <v>871</v>
      </c>
      <c r="BJ129" s="12" t="s">
        <v>841</v>
      </c>
      <c r="BK129" s="12" t="s">
        <v>841</v>
      </c>
      <c r="BL129" s="12" t="s">
        <v>872</v>
      </c>
      <c r="BM129" s="12" t="s">
        <v>873</v>
      </c>
      <c r="BN129" s="12" t="s">
        <v>866</v>
      </c>
      <c r="BO129" s="12" t="s">
        <v>874</v>
      </c>
      <c r="BP129" s="12" t="s">
        <v>875</v>
      </c>
      <c r="BQ129" s="12" t="s">
        <v>876</v>
      </c>
      <c r="BR129" s="12" t="s">
        <v>869</v>
      </c>
      <c r="BS129" s="12" t="s">
        <v>869</v>
      </c>
      <c r="BT129" s="12" t="s">
        <v>877</v>
      </c>
      <c r="BU129" s="12" t="s">
        <v>877</v>
      </c>
      <c r="BV129" s="12" t="s">
        <v>877</v>
      </c>
      <c r="BW129" s="12" t="s">
        <v>841</v>
      </c>
      <c r="BX129" s="12" t="s">
        <v>878</v>
      </c>
      <c r="BY129" s="12" t="s">
        <v>841</v>
      </c>
      <c r="BZ129" s="12" t="s">
        <v>841</v>
      </c>
      <c r="CA129" s="12" t="s">
        <v>841</v>
      </c>
      <c r="CB129" s="12" t="s">
        <v>841</v>
      </c>
      <c r="CC129" s="12" t="s">
        <v>4144</v>
      </c>
      <c r="CD129" s="12" t="s">
        <v>4145</v>
      </c>
      <c r="CE129" s="12" t="s">
        <v>4146</v>
      </c>
      <c r="CF129" s="12" t="s">
        <v>4147</v>
      </c>
      <c r="CG129" s="12" t="s">
        <v>4148</v>
      </c>
      <c r="CH129" s="12" t="s">
        <v>4149</v>
      </c>
      <c r="CI129" s="12" t="s">
        <v>4150</v>
      </c>
      <c r="CJ129" s="12" t="s">
        <v>4151</v>
      </c>
      <c r="CK129" s="12" t="s">
        <v>4131</v>
      </c>
      <c r="CL129" s="12" t="s">
        <v>1028</v>
      </c>
      <c r="CM129" s="12" t="s">
        <v>888</v>
      </c>
      <c r="CN129" s="12" t="s">
        <v>841</v>
      </c>
      <c r="CO129" s="12" t="s">
        <v>847</v>
      </c>
      <c r="CP129" s="12" t="s">
        <v>889</v>
      </c>
      <c r="CQ129" s="12" t="s">
        <v>890</v>
      </c>
      <c r="CR129" s="12" t="s">
        <v>847</v>
      </c>
      <c r="CS129" s="12" t="s">
        <v>891</v>
      </c>
      <c r="CT129" s="12" t="s">
        <v>892</v>
      </c>
      <c r="CU129" s="12" t="s">
        <v>893</v>
      </c>
      <c r="CV129" s="12" t="s">
        <v>841</v>
      </c>
      <c r="CW129" s="12" t="s">
        <v>4130</v>
      </c>
      <c r="CX129" s="12" t="s">
        <v>894</v>
      </c>
      <c r="CY129" s="12" t="s">
        <v>895</v>
      </c>
      <c r="CZ129" s="12" t="s">
        <v>896</v>
      </c>
      <c r="DA129" s="12" t="s">
        <v>897</v>
      </c>
      <c r="DB129" s="12" t="s">
        <v>898</v>
      </c>
      <c r="DC129" s="12" t="s">
        <v>899</v>
      </c>
    </row>
    <row r="130">
      <c r="A130" s="12" t="s">
        <v>1058</v>
      </c>
      <c r="B130" s="12" t="s">
        <v>454</v>
      </c>
      <c r="C130" s="12" t="s">
        <v>366</v>
      </c>
      <c r="D130" s="12" t="s">
        <v>833</v>
      </c>
      <c r="E130" s="12" t="s">
        <v>834</v>
      </c>
      <c r="F130" s="12"/>
      <c r="G130" s="12" t="s">
        <v>350</v>
      </c>
      <c r="H130" s="12" t="s">
        <v>446</v>
      </c>
      <c r="I130" s="12"/>
      <c r="J130" s="43">
        <f t="shared" si="1"/>
        <v>-0.02384864676</v>
      </c>
      <c r="K130" s="43">
        <f t="shared" si="2"/>
        <v>2.909022</v>
      </c>
      <c r="L130" s="43">
        <f t="shared" si="3"/>
        <v>-0.02404577805</v>
      </c>
      <c r="M130" s="43">
        <f t="shared" si="4"/>
        <v>-1.244736852</v>
      </c>
      <c r="N130" s="12" t="s">
        <v>4152</v>
      </c>
      <c r="O130" s="12" t="s">
        <v>4153</v>
      </c>
      <c r="P130" s="43">
        <f t="shared" si="5"/>
        <v>5.829124945</v>
      </c>
      <c r="Q130" s="43">
        <f t="shared" si="6"/>
        <v>4.917665945</v>
      </c>
      <c r="R130" s="12" t="s">
        <v>4154</v>
      </c>
      <c r="S130" s="12" t="s">
        <v>4155</v>
      </c>
      <c r="T130" s="43">
        <f t="shared" si="7"/>
        <v>59.25714084</v>
      </c>
      <c r="U130" s="43">
        <f t="shared" si="8"/>
        <v>0.4417875</v>
      </c>
      <c r="V130" s="12" t="s">
        <v>839</v>
      </c>
      <c r="W130" s="12" t="s">
        <v>4156</v>
      </c>
      <c r="X130" s="12" t="s">
        <v>841</v>
      </c>
      <c r="Y130" s="12" t="s">
        <v>841</v>
      </c>
      <c r="Z130" s="12" t="s">
        <v>841</v>
      </c>
      <c r="AA130" s="12" t="s">
        <v>4157</v>
      </c>
      <c r="AB130" s="12" t="s">
        <v>4158</v>
      </c>
      <c r="AC130" s="12" t="s">
        <v>4159</v>
      </c>
      <c r="AD130" s="12" t="s">
        <v>845</v>
      </c>
      <c r="AE130" s="12" t="s">
        <v>846</v>
      </c>
      <c r="AF130" s="43">
        <f t="shared" si="9"/>
        <v>90.9508184</v>
      </c>
      <c r="AG130" s="12" t="s">
        <v>847</v>
      </c>
      <c r="AH130" s="12" t="s">
        <v>4160</v>
      </c>
      <c r="AI130" s="12" t="s">
        <v>4161</v>
      </c>
      <c r="AJ130" s="12" t="s">
        <v>1006</v>
      </c>
      <c r="AK130" s="12" t="s">
        <v>4162</v>
      </c>
      <c r="AL130" s="43">
        <f t="shared" si="10"/>
        <v>35.57</v>
      </c>
      <c r="AM130" s="12" t="s">
        <v>4112</v>
      </c>
      <c r="AN130" s="12" t="s">
        <v>1072</v>
      </c>
      <c r="AO130" s="12" t="s">
        <v>4163</v>
      </c>
      <c r="AP130" s="12" t="s">
        <v>4164</v>
      </c>
      <c r="AQ130" s="12" t="s">
        <v>4165</v>
      </c>
      <c r="AR130" s="12" t="s">
        <v>4166</v>
      </c>
      <c r="AS130" s="12" t="s">
        <v>4008</v>
      </c>
      <c r="AT130" s="12" t="s">
        <v>366</v>
      </c>
      <c r="AU130" s="12" t="s">
        <v>4009</v>
      </c>
      <c r="AV130" s="12" t="s">
        <v>832</v>
      </c>
      <c r="AW130" s="12" t="s">
        <v>861</v>
      </c>
      <c r="AX130" s="12" t="s">
        <v>923</v>
      </c>
      <c r="AY130" s="12" t="s">
        <v>923</v>
      </c>
      <c r="AZ130" s="12" t="s">
        <v>4167</v>
      </c>
      <c r="BA130" s="12" t="s">
        <v>4168</v>
      </c>
      <c r="BB130" s="12" t="s">
        <v>4169</v>
      </c>
      <c r="BC130" s="12" t="s">
        <v>866</v>
      </c>
      <c r="BD130" s="12" t="s">
        <v>867</v>
      </c>
      <c r="BE130" s="12" t="s">
        <v>868</v>
      </c>
      <c r="BF130" s="12" t="s">
        <v>869</v>
      </c>
      <c r="BG130" s="12" t="s">
        <v>870</v>
      </c>
      <c r="BH130" s="12" t="s">
        <v>841</v>
      </c>
      <c r="BI130" s="12" t="s">
        <v>871</v>
      </c>
      <c r="BJ130" s="12" t="s">
        <v>841</v>
      </c>
      <c r="BK130" s="12" t="s">
        <v>841</v>
      </c>
      <c r="BL130" s="12" t="s">
        <v>872</v>
      </c>
      <c r="BM130" s="12" t="s">
        <v>873</v>
      </c>
      <c r="BN130" s="12" t="s">
        <v>866</v>
      </c>
      <c r="BO130" s="12" t="s">
        <v>874</v>
      </c>
      <c r="BP130" s="12" t="s">
        <v>875</v>
      </c>
      <c r="BQ130" s="12" t="s">
        <v>876</v>
      </c>
      <c r="BR130" s="12" t="s">
        <v>869</v>
      </c>
      <c r="BS130" s="12" t="s">
        <v>869</v>
      </c>
      <c r="BT130" s="12" t="s">
        <v>877</v>
      </c>
      <c r="BU130" s="12" t="s">
        <v>877</v>
      </c>
      <c r="BV130" s="12" t="s">
        <v>877</v>
      </c>
      <c r="BW130" s="12" t="s">
        <v>841</v>
      </c>
      <c r="BX130" s="12" t="s">
        <v>878</v>
      </c>
      <c r="BY130" s="12" t="s">
        <v>841</v>
      </c>
      <c r="BZ130" s="12" t="s">
        <v>841</v>
      </c>
      <c r="CA130" s="12" t="s">
        <v>841</v>
      </c>
      <c r="CB130" s="12" t="s">
        <v>841</v>
      </c>
      <c r="CC130" s="12" t="s">
        <v>4170</v>
      </c>
      <c r="CD130" s="12" t="s">
        <v>4171</v>
      </c>
      <c r="CE130" s="12" t="s">
        <v>4172</v>
      </c>
      <c r="CF130" s="12" t="s">
        <v>4173</v>
      </c>
      <c r="CG130" s="12" t="s">
        <v>4174</v>
      </c>
      <c r="CH130" s="12" t="s">
        <v>4175</v>
      </c>
      <c r="CI130" s="12" t="s">
        <v>4176</v>
      </c>
      <c r="CJ130" s="12" t="s">
        <v>4177</v>
      </c>
      <c r="CK130" s="12" t="s">
        <v>4157</v>
      </c>
      <c r="CL130" s="12" t="s">
        <v>3211</v>
      </c>
      <c r="CM130" s="12" t="s">
        <v>888</v>
      </c>
      <c r="CN130" s="12" t="s">
        <v>841</v>
      </c>
      <c r="CO130" s="12" t="s">
        <v>847</v>
      </c>
      <c r="CP130" s="12" t="s">
        <v>889</v>
      </c>
      <c r="CQ130" s="12" t="s">
        <v>890</v>
      </c>
      <c r="CR130" s="12" t="s">
        <v>847</v>
      </c>
      <c r="CS130" s="12" t="s">
        <v>891</v>
      </c>
      <c r="CT130" s="12" t="s">
        <v>892</v>
      </c>
      <c r="CU130" s="12" t="s">
        <v>893</v>
      </c>
      <c r="CV130" s="12" t="s">
        <v>841</v>
      </c>
      <c r="CW130" s="12" t="s">
        <v>4156</v>
      </c>
      <c r="CX130" s="12" t="s">
        <v>894</v>
      </c>
      <c r="CY130" s="12" t="s">
        <v>895</v>
      </c>
      <c r="CZ130" s="12" t="s">
        <v>896</v>
      </c>
      <c r="DA130" s="12" t="s">
        <v>897</v>
      </c>
      <c r="DB130" s="12" t="s">
        <v>898</v>
      </c>
      <c r="DC130" s="12" t="s">
        <v>899</v>
      </c>
    </row>
    <row r="131">
      <c r="A131" s="12" t="s">
        <v>1094</v>
      </c>
      <c r="B131" s="12" t="s">
        <v>456</v>
      </c>
      <c r="C131" s="12" t="s">
        <v>366</v>
      </c>
      <c r="D131" s="12" t="s">
        <v>833</v>
      </c>
      <c r="E131" s="12" t="s">
        <v>834</v>
      </c>
      <c r="F131" s="12"/>
      <c r="G131" s="12" t="s">
        <v>350</v>
      </c>
      <c r="H131" s="12" t="s">
        <v>446</v>
      </c>
      <c r="I131" s="12"/>
      <c r="J131" s="43">
        <f t="shared" si="1"/>
        <v>-0.005044125912</v>
      </c>
      <c r="K131" s="43">
        <f t="shared" si="2"/>
        <v>2.91218952</v>
      </c>
      <c r="L131" s="43">
        <f t="shared" si="3"/>
        <v>-0.005052877867</v>
      </c>
      <c r="M131" s="43">
        <f t="shared" si="4"/>
        <v>-0.2112019703</v>
      </c>
      <c r="N131" s="12" t="s">
        <v>4178</v>
      </c>
      <c r="O131" s="12" t="s">
        <v>4179</v>
      </c>
      <c r="P131" s="43">
        <f t="shared" si="5"/>
        <v>4.920211782</v>
      </c>
      <c r="Q131" s="43">
        <f t="shared" si="6"/>
        <v>3.989384782</v>
      </c>
      <c r="R131" s="12" t="s">
        <v>4180</v>
      </c>
      <c r="S131" s="12" t="s">
        <v>4181</v>
      </c>
      <c r="T131" s="43">
        <f t="shared" si="7"/>
        <v>50.01740146</v>
      </c>
      <c r="U131" s="43">
        <f t="shared" si="8"/>
        <v>0.4417875</v>
      </c>
      <c r="V131" s="12" t="s">
        <v>839</v>
      </c>
      <c r="W131" s="12" t="s">
        <v>4182</v>
      </c>
      <c r="X131" s="12" t="s">
        <v>841</v>
      </c>
      <c r="Y131" s="12" t="s">
        <v>841</v>
      </c>
      <c r="Z131" s="12" t="s">
        <v>841</v>
      </c>
      <c r="AA131" s="12" t="s">
        <v>4183</v>
      </c>
      <c r="AB131" s="12" t="s">
        <v>4184</v>
      </c>
      <c r="AC131" s="12" t="s">
        <v>4185</v>
      </c>
      <c r="AD131" s="12" t="s">
        <v>845</v>
      </c>
      <c r="AE131" s="12" t="s">
        <v>846</v>
      </c>
      <c r="AF131" s="43">
        <f t="shared" si="9"/>
        <v>18.59205</v>
      </c>
      <c r="AG131" s="12" t="s">
        <v>847</v>
      </c>
      <c r="AH131" s="12" t="s">
        <v>4186</v>
      </c>
      <c r="AI131" s="12" t="s">
        <v>4187</v>
      </c>
      <c r="AJ131" s="12" t="s">
        <v>4188</v>
      </c>
      <c r="AK131" s="12" t="s">
        <v>4189</v>
      </c>
      <c r="AL131" s="43">
        <f t="shared" si="10"/>
        <v>32.53</v>
      </c>
      <c r="AM131" s="12" t="s">
        <v>4112</v>
      </c>
      <c r="AN131" s="12" t="s">
        <v>4190</v>
      </c>
      <c r="AO131" s="12" t="s">
        <v>4191</v>
      </c>
      <c r="AP131" s="12" t="s">
        <v>4192</v>
      </c>
      <c r="AQ131" s="12" t="s">
        <v>4140</v>
      </c>
      <c r="AR131" s="12" t="s">
        <v>4166</v>
      </c>
      <c r="AS131" s="12" t="s">
        <v>4008</v>
      </c>
      <c r="AT131" s="12" t="s">
        <v>366</v>
      </c>
      <c r="AU131" s="12" t="s">
        <v>4009</v>
      </c>
      <c r="AV131" s="12" t="s">
        <v>832</v>
      </c>
      <c r="AW131" s="12" t="s">
        <v>919</v>
      </c>
      <c r="AX131" s="12" t="s">
        <v>1543</v>
      </c>
      <c r="AY131" s="12" t="s">
        <v>1342</v>
      </c>
      <c r="AZ131" s="12" t="s">
        <v>4193</v>
      </c>
      <c r="BA131" s="12" t="s">
        <v>4194</v>
      </c>
      <c r="BB131" s="12" t="s">
        <v>4195</v>
      </c>
      <c r="BC131" s="12" t="s">
        <v>866</v>
      </c>
      <c r="BD131" s="12" t="s">
        <v>867</v>
      </c>
      <c r="BE131" s="12" t="s">
        <v>868</v>
      </c>
      <c r="BF131" s="12" t="s">
        <v>869</v>
      </c>
      <c r="BG131" s="12" t="s">
        <v>870</v>
      </c>
      <c r="BH131" s="12" t="s">
        <v>841</v>
      </c>
      <c r="BI131" s="12" t="s">
        <v>871</v>
      </c>
      <c r="BJ131" s="12" t="s">
        <v>841</v>
      </c>
      <c r="BK131" s="12" t="s">
        <v>841</v>
      </c>
      <c r="BL131" s="12" t="s">
        <v>872</v>
      </c>
      <c r="BM131" s="12" t="s">
        <v>873</v>
      </c>
      <c r="BN131" s="12" t="s">
        <v>866</v>
      </c>
      <c r="BO131" s="12" t="s">
        <v>874</v>
      </c>
      <c r="BP131" s="12" t="s">
        <v>875</v>
      </c>
      <c r="BQ131" s="12" t="s">
        <v>876</v>
      </c>
      <c r="BR131" s="12" t="s">
        <v>869</v>
      </c>
      <c r="BS131" s="12" t="s">
        <v>869</v>
      </c>
      <c r="BT131" s="12" t="s">
        <v>877</v>
      </c>
      <c r="BU131" s="12" t="s">
        <v>877</v>
      </c>
      <c r="BV131" s="12" t="s">
        <v>877</v>
      </c>
      <c r="BW131" s="12" t="s">
        <v>841</v>
      </c>
      <c r="BX131" s="12" t="s">
        <v>878</v>
      </c>
      <c r="BY131" s="12" t="s">
        <v>841</v>
      </c>
      <c r="BZ131" s="12" t="s">
        <v>841</v>
      </c>
      <c r="CA131" s="12" t="s">
        <v>841</v>
      </c>
      <c r="CB131" s="12" t="s">
        <v>841</v>
      </c>
      <c r="CC131" s="12" t="s">
        <v>4196</v>
      </c>
      <c r="CD131" s="12" t="s">
        <v>2121</v>
      </c>
      <c r="CE131" s="12" t="s">
        <v>4197</v>
      </c>
      <c r="CF131" s="12" t="s">
        <v>4198</v>
      </c>
      <c r="CG131" s="12" t="s">
        <v>4199</v>
      </c>
      <c r="CH131" s="12" t="s">
        <v>4200</v>
      </c>
      <c r="CI131" s="12" t="s">
        <v>4201</v>
      </c>
      <c r="CJ131" s="12" t="s">
        <v>4202</v>
      </c>
      <c r="CK131" s="12" t="s">
        <v>4183</v>
      </c>
      <c r="CL131" s="12" t="s">
        <v>996</v>
      </c>
      <c r="CM131" s="12" t="s">
        <v>888</v>
      </c>
      <c r="CN131" s="12" t="s">
        <v>841</v>
      </c>
      <c r="CO131" s="12" t="s">
        <v>847</v>
      </c>
      <c r="CP131" s="12" t="s">
        <v>889</v>
      </c>
      <c r="CQ131" s="12" t="s">
        <v>890</v>
      </c>
      <c r="CR131" s="12" t="s">
        <v>847</v>
      </c>
      <c r="CS131" s="12" t="s">
        <v>891</v>
      </c>
      <c r="CT131" s="12" t="s">
        <v>892</v>
      </c>
      <c r="CU131" s="12" t="s">
        <v>893</v>
      </c>
      <c r="CV131" s="12" t="s">
        <v>841</v>
      </c>
      <c r="CW131" s="12" t="s">
        <v>4182</v>
      </c>
      <c r="CX131" s="12" t="s">
        <v>894</v>
      </c>
      <c r="CY131" s="12" t="s">
        <v>895</v>
      </c>
      <c r="CZ131" s="12" t="s">
        <v>896</v>
      </c>
      <c r="DA131" s="12" t="s">
        <v>897</v>
      </c>
      <c r="DB131" s="12" t="s">
        <v>898</v>
      </c>
      <c r="DC131" s="12" t="s">
        <v>899</v>
      </c>
    </row>
    <row r="132">
      <c r="A132" s="12" t="s">
        <v>1120</v>
      </c>
      <c r="B132" s="12" t="s">
        <v>457</v>
      </c>
      <c r="C132" s="12" t="s">
        <v>366</v>
      </c>
      <c r="D132" s="12" t="s">
        <v>833</v>
      </c>
      <c r="E132" s="12" t="s">
        <v>834</v>
      </c>
      <c r="F132" s="12"/>
      <c r="G132" s="12" t="s">
        <v>350</v>
      </c>
      <c r="H132" s="12" t="s">
        <v>446</v>
      </c>
      <c r="I132" s="12"/>
      <c r="J132" s="43">
        <f t="shared" si="1"/>
        <v>-0.01642094237</v>
      </c>
      <c r="K132" s="43">
        <f t="shared" si="2"/>
        <v>2.91060848</v>
      </c>
      <c r="L132" s="43">
        <f t="shared" si="3"/>
        <v>-0.01651411096</v>
      </c>
      <c r="M132" s="43">
        <f t="shared" si="4"/>
        <v>-0.6764688871</v>
      </c>
      <c r="N132" s="12" t="s">
        <v>4203</v>
      </c>
      <c r="O132" s="12" t="s">
        <v>4204</v>
      </c>
      <c r="P132" s="43">
        <f t="shared" si="5"/>
        <v>4.856766728</v>
      </c>
      <c r="Q132" s="43">
        <f t="shared" si="6"/>
        <v>3.911544728</v>
      </c>
      <c r="R132" s="12" t="s">
        <v>4205</v>
      </c>
      <c r="S132" s="12" t="s">
        <v>4206</v>
      </c>
      <c r="T132" s="43">
        <f t="shared" si="7"/>
        <v>49.36240195</v>
      </c>
      <c r="U132" s="43">
        <f t="shared" si="8"/>
        <v>0.4417875</v>
      </c>
      <c r="V132" s="12" t="s">
        <v>839</v>
      </c>
      <c r="W132" s="12" t="s">
        <v>4207</v>
      </c>
      <c r="X132" s="12" t="s">
        <v>841</v>
      </c>
      <c r="Y132" s="12" t="s">
        <v>841</v>
      </c>
      <c r="Z132" s="12" t="s">
        <v>841</v>
      </c>
      <c r="AA132" s="12" t="s">
        <v>4208</v>
      </c>
      <c r="AB132" s="12" t="s">
        <v>4209</v>
      </c>
      <c r="AC132" s="12" t="s">
        <v>4210</v>
      </c>
      <c r="AD132" s="12" t="s">
        <v>845</v>
      </c>
      <c r="AE132" s="12" t="s">
        <v>846</v>
      </c>
      <c r="AF132" s="43">
        <f t="shared" si="9"/>
        <v>5.1299608</v>
      </c>
      <c r="AG132" s="12" t="s">
        <v>847</v>
      </c>
      <c r="AH132" s="12" t="s">
        <v>4211</v>
      </c>
      <c r="AI132" s="12" t="s">
        <v>4212</v>
      </c>
      <c r="AJ132" s="12" t="s">
        <v>4213</v>
      </c>
      <c r="AK132" s="12" t="s">
        <v>4214</v>
      </c>
      <c r="AL132" s="43">
        <f t="shared" si="10"/>
        <v>32.3</v>
      </c>
      <c r="AM132" s="12" t="s">
        <v>4003</v>
      </c>
      <c r="AN132" s="12" t="s">
        <v>1159</v>
      </c>
      <c r="AO132" s="12" t="s">
        <v>4215</v>
      </c>
      <c r="AP132" s="12" t="s">
        <v>4216</v>
      </c>
      <c r="AQ132" s="12" t="s">
        <v>2022</v>
      </c>
      <c r="AR132" s="12" t="s">
        <v>4217</v>
      </c>
      <c r="AS132" s="12" t="s">
        <v>4008</v>
      </c>
      <c r="AT132" s="12" t="s">
        <v>366</v>
      </c>
      <c r="AU132" s="12" t="s">
        <v>4009</v>
      </c>
      <c r="AV132" s="12" t="s">
        <v>832</v>
      </c>
      <c r="AW132" s="12" t="s">
        <v>1286</v>
      </c>
      <c r="AX132" s="12" t="s">
        <v>1164</v>
      </c>
      <c r="AY132" s="12" t="s">
        <v>861</v>
      </c>
      <c r="AZ132" s="12" t="s">
        <v>4218</v>
      </c>
      <c r="BA132" s="12" t="s">
        <v>4219</v>
      </c>
      <c r="BB132" s="12" t="s">
        <v>4220</v>
      </c>
      <c r="BC132" s="12" t="s">
        <v>866</v>
      </c>
      <c r="BD132" s="12" t="s">
        <v>867</v>
      </c>
      <c r="BE132" s="12" t="s">
        <v>868</v>
      </c>
      <c r="BF132" s="12" t="s">
        <v>869</v>
      </c>
      <c r="BG132" s="12" t="s">
        <v>870</v>
      </c>
      <c r="BH132" s="12" t="s">
        <v>841</v>
      </c>
      <c r="BI132" s="12" t="s">
        <v>871</v>
      </c>
      <c r="BJ132" s="12" t="s">
        <v>841</v>
      </c>
      <c r="BK132" s="12" t="s">
        <v>841</v>
      </c>
      <c r="BL132" s="12" t="s">
        <v>872</v>
      </c>
      <c r="BM132" s="12" t="s">
        <v>873</v>
      </c>
      <c r="BN132" s="12" t="s">
        <v>866</v>
      </c>
      <c r="BO132" s="12" t="s">
        <v>874</v>
      </c>
      <c r="BP132" s="12" t="s">
        <v>875</v>
      </c>
      <c r="BQ132" s="12" t="s">
        <v>876</v>
      </c>
      <c r="BR132" s="12" t="s">
        <v>869</v>
      </c>
      <c r="BS132" s="12" t="s">
        <v>869</v>
      </c>
      <c r="BT132" s="12" t="s">
        <v>877</v>
      </c>
      <c r="BU132" s="12" t="s">
        <v>877</v>
      </c>
      <c r="BV132" s="12" t="s">
        <v>877</v>
      </c>
      <c r="BW132" s="12" t="s">
        <v>841</v>
      </c>
      <c r="BX132" s="12" t="s">
        <v>878</v>
      </c>
      <c r="BY132" s="12" t="s">
        <v>841</v>
      </c>
      <c r="BZ132" s="12" t="s">
        <v>841</v>
      </c>
      <c r="CA132" s="12" t="s">
        <v>841</v>
      </c>
      <c r="CB132" s="12" t="s">
        <v>841</v>
      </c>
      <c r="CC132" s="12" t="s">
        <v>4221</v>
      </c>
      <c r="CD132" s="12" t="s">
        <v>4222</v>
      </c>
      <c r="CE132" s="12" t="s">
        <v>4223</v>
      </c>
      <c r="CF132" s="12" t="s">
        <v>4224</v>
      </c>
      <c r="CG132" s="12" t="s">
        <v>4225</v>
      </c>
      <c r="CH132" s="12" t="s">
        <v>4226</v>
      </c>
      <c r="CI132" s="12" t="s">
        <v>4227</v>
      </c>
      <c r="CJ132" s="12" t="s">
        <v>4228</v>
      </c>
      <c r="CK132" s="12" t="s">
        <v>4208</v>
      </c>
      <c r="CL132" s="12" t="s">
        <v>1415</v>
      </c>
      <c r="CM132" s="12" t="s">
        <v>888</v>
      </c>
      <c r="CN132" s="12" t="s">
        <v>841</v>
      </c>
      <c r="CO132" s="12" t="s">
        <v>847</v>
      </c>
      <c r="CP132" s="12" t="s">
        <v>889</v>
      </c>
      <c r="CQ132" s="12" t="s">
        <v>890</v>
      </c>
      <c r="CR132" s="12" t="s">
        <v>847</v>
      </c>
      <c r="CS132" s="12" t="s">
        <v>891</v>
      </c>
      <c r="CT132" s="12" t="s">
        <v>892</v>
      </c>
      <c r="CU132" s="12" t="s">
        <v>893</v>
      </c>
      <c r="CV132" s="12" t="s">
        <v>841</v>
      </c>
      <c r="CW132" s="12" t="s">
        <v>4207</v>
      </c>
      <c r="CX132" s="12" t="s">
        <v>894</v>
      </c>
      <c r="CY132" s="12" t="s">
        <v>895</v>
      </c>
      <c r="CZ132" s="12" t="s">
        <v>896</v>
      </c>
      <c r="DA132" s="12" t="s">
        <v>897</v>
      </c>
      <c r="DB132" s="12" t="s">
        <v>898</v>
      </c>
      <c r="DC132" s="12" t="s">
        <v>899</v>
      </c>
    </row>
    <row r="133">
      <c r="A133" s="12" t="s">
        <v>1146</v>
      </c>
      <c r="B133" s="12" t="s">
        <v>458</v>
      </c>
      <c r="C133" s="12" t="s">
        <v>366</v>
      </c>
      <c r="D133" s="12" t="s">
        <v>833</v>
      </c>
      <c r="E133" s="12" t="s">
        <v>834</v>
      </c>
      <c r="F133" s="12"/>
      <c r="G133" s="12" t="s">
        <v>350</v>
      </c>
      <c r="H133" s="12" t="s">
        <v>446</v>
      </c>
      <c r="I133" s="12"/>
      <c r="J133" s="43">
        <f t="shared" si="1"/>
        <v>-0.02662710332</v>
      </c>
      <c r="K133" s="43">
        <f t="shared" si="2"/>
        <v>2.909022</v>
      </c>
      <c r="L133" s="43">
        <f t="shared" si="3"/>
        <v>-0.02687308025</v>
      </c>
      <c r="M133" s="43">
        <f t="shared" si="4"/>
        <v>-1.288456126</v>
      </c>
      <c r="N133" s="12" t="s">
        <v>4229</v>
      </c>
      <c r="O133" s="12" t="s">
        <v>4230</v>
      </c>
      <c r="P133" s="43">
        <f t="shared" si="5"/>
        <v>5.442152026</v>
      </c>
      <c r="Q133" s="43">
        <f t="shared" si="6"/>
        <v>4.565439026</v>
      </c>
      <c r="R133" s="12" t="s">
        <v>4231</v>
      </c>
      <c r="S133" s="12" t="s">
        <v>4232</v>
      </c>
      <c r="T133" s="43">
        <f t="shared" si="7"/>
        <v>55.31766646</v>
      </c>
      <c r="U133" s="43">
        <f t="shared" si="8"/>
        <v>0.4417875</v>
      </c>
      <c r="V133" s="12" t="s">
        <v>839</v>
      </c>
      <c r="W133" s="12" t="s">
        <v>4233</v>
      </c>
      <c r="X133" s="12" t="s">
        <v>841</v>
      </c>
      <c r="Y133" s="12" t="s">
        <v>841</v>
      </c>
      <c r="Z133" s="12" t="s">
        <v>841</v>
      </c>
      <c r="AA133" s="12" t="s">
        <v>4234</v>
      </c>
      <c r="AB133" s="12" t="s">
        <v>4235</v>
      </c>
      <c r="AC133" s="12" t="s">
        <v>4236</v>
      </c>
      <c r="AD133" s="12" t="s">
        <v>845</v>
      </c>
      <c r="AE133" s="12" t="s">
        <v>846</v>
      </c>
      <c r="AF133" s="43">
        <f t="shared" si="9"/>
        <v>72.1824408</v>
      </c>
      <c r="AG133" s="12" t="s">
        <v>847</v>
      </c>
      <c r="AH133" s="12" t="s">
        <v>4237</v>
      </c>
      <c r="AI133" s="12" t="s">
        <v>4238</v>
      </c>
      <c r="AJ133" s="12" t="s">
        <v>4239</v>
      </c>
      <c r="AK133" s="12" t="s">
        <v>4240</v>
      </c>
      <c r="AL133" s="43">
        <f t="shared" si="10"/>
        <v>34.33</v>
      </c>
      <c r="AM133" s="12" t="s">
        <v>4060</v>
      </c>
      <c r="AN133" s="12" t="s">
        <v>1072</v>
      </c>
      <c r="AO133" s="12" t="s">
        <v>4241</v>
      </c>
      <c r="AP133" s="12" t="s">
        <v>4242</v>
      </c>
      <c r="AQ133" s="12" t="s">
        <v>4243</v>
      </c>
      <c r="AR133" s="12" t="s">
        <v>4244</v>
      </c>
      <c r="AS133" s="12" t="s">
        <v>4008</v>
      </c>
      <c r="AT133" s="12" t="s">
        <v>366</v>
      </c>
      <c r="AU133" s="12" t="s">
        <v>4009</v>
      </c>
      <c r="AV133" s="12" t="s">
        <v>832</v>
      </c>
      <c r="AW133" s="12" t="s">
        <v>923</v>
      </c>
      <c r="AX133" s="12" t="s">
        <v>953</v>
      </c>
      <c r="AY133" s="12" t="s">
        <v>4245</v>
      </c>
      <c r="AZ133" s="12" t="s">
        <v>4246</v>
      </c>
      <c r="BA133" s="12" t="s">
        <v>2440</v>
      </c>
      <c r="BB133" s="12" t="s">
        <v>4247</v>
      </c>
      <c r="BC133" s="12" t="s">
        <v>866</v>
      </c>
      <c r="BD133" s="12" t="s">
        <v>867</v>
      </c>
      <c r="BE133" s="12" t="s">
        <v>868</v>
      </c>
      <c r="BF133" s="12" t="s">
        <v>869</v>
      </c>
      <c r="BG133" s="12" t="s">
        <v>870</v>
      </c>
      <c r="BH133" s="12" t="s">
        <v>841</v>
      </c>
      <c r="BI133" s="12" t="s">
        <v>871</v>
      </c>
      <c r="BJ133" s="12" t="s">
        <v>841</v>
      </c>
      <c r="BK133" s="12" t="s">
        <v>841</v>
      </c>
      <c r="BL133" s="12" t="s">
        <v>872</v>
      </c>
      <c r="BM133" s="12" t="s">
        <v>873</v>
      </c>
      <c r="BN133" s="12" t="s">
        <v>866</v>
      </c>
      <c r="BO133" s="12" t="s">
        <v>874</v>
      </c>
      <c r="BP133" s="12" t="s">
        <v>875</v>
      </c>
      <c r="BQ133" s="12" t="s">
        <v>876</v>
      </c>
      <c r="BR133" s="12" t="s">
        <v>869</v>
      </c>
      <c r="BS133" s="12" t="s">
        <v>869</v>
      </c>
      <c r="BT133" s="12" t="s">
        <v>877</v>
      </c>
      <c r="BU133" s="12" t="s">
        <v>877</v>
      </c>
      <c r="BV133" s="12" t="s">
        <v>877</v>
      </c>
      <c r="BW133" s="12" t="s">
        <v>841</v>
      </c>
      <c r="BX133" s="12" t="s">
        <v>878</v>
      </c>
      <c r="BY133" s="12" t="s">
        <v>841</v>
      </c>
      <c r="BZ133" s="12" t="s">
        <v>841</v>
      </c>
      <c r="CA133" s="12" t="s">
        <v>841</v>
      </c>
      <c r="CB133" s="12" t="s">
        <v>841</v>
      </c>
      <c r="CC133" s="12" t="s">
        <v>4248</v>
      </c>
      <c r="CD133" s="12" t="s">
        <v>4249</v>
      </c>
      <c r="CE133" s="12" t="s">
        <v>4250</v>
      </c>
      <c r="CF133" s="12" t="s">
        <v>4251</v>
      </c>
      <c r="CG133" s="12" t="s">
        <v>4252</v>
      </c>
      <c r="CH133" s="12" t="s">
        <v>4253</v>
      </c>
      <c r="CI133" s="12" t="s">
        <v>4254</v>
      </c>
      <c r="CJ133" s="12" t="s">
        <v>4255</v>
      </c>
      <c r="CK133" s="12" t="s">
        <v>4234</v>
      </c>
      <c r="CL133" s="12" t="s">
        <v>1354</v>
      </c>
      <c r="CM133" s="12" t="s">
        <v>888</v>
      </c>
      <c r="CN133" s="12" t="s">
        <v>841</v>
      </c>
      <c r="CO133" s="12" t="s">
        <v>847</v>
      </c>
      <c r="CP133" s="12" t="s">
        <v>889</v>
      </c>
      <c r="CQ133" s="12" t="s">
        <v>890</v>
      </c>
      <c r="CR133" s="12" t="s">
        <v>847</v>
      </c>
      <c r="CS133" s="12" t="s">
        <v>891</v>
      </c>
      <c r="CT133" s="12" t="s">
        <v>892</v>
      </c>
      <c r="CU133" s="12" t="s">
        <v>893</v>
      </c>
      <c r="CV133" s="12" t="s">
        <v>841</v>
      </c>
      <c r="CW133" s="12" t="s">
        <v>4233</v>
      </c>
      <c r="CX133" s="12" t="s">
        <v>894</v>
      </c>
      <c r="CY133" s="12" t="s">
        <v>895</v>
      </c>
      <c r="CZ133" s="12" t="s">
        <v>896</v>
      </c>
      <c r="DA133" s="12" t="s">
        <v>897</v>
      </c>
      <c r="DB133" s="12" t="s">
        <v>898</v>
      </c>
      <c r="DC133" s="12" t="s">
        <v>899</v>
      </c>
    </row>
    <row r="134">
      <c r="A134" s="12" t="s">
        <v>1177</v>
      </c>
      <c r="B134" s="12" t="s">
        <v>459</v>
      </c>
      <c r="C134" s="12" t="s">
        <v>366</v>
      </c>
      <c r="D134" s="12" t="s">
        <v>833</v>
      </c>
      <c r="E134" s="12" t="s">
        <v>834</v>
      </c>
      <c r="F134" s="12"/>
      <c r="G134" s="12" t="s">
        <v>350</v>
      </c>
      <c r="H134" s="12" t="s">
        <v>446</v>
      </c>
      <c r="I134" s="12"/>
      <c r="J134" s="43">
        <f t="shared" si="1"/>
        <v>-0.01065311837</v>
      </c>
      <c r="K134" s="43">
        <f t="shared" si="2"/>
        <v>2.90981592</v>
      </c>
      <c r="L134" s="43">
        <f t="shared" si="3"/>
        <v>-0.01069226379</v>
      </c>
      <c r="M134" s="43">
        <f t="shared" si="4"/>
        <v>-0.5696268922</v>
      </c>
      <c r="N134" s="12" t="s">
        <v>4256</v>
      </c>
      <c r="O134" s="12" t="s">
        <v>4257</v>
      </c>
      <c r="P134" s="43">
        <f t="shared" si="5"/>
        <v>5.962228731</v>
      </c>
      <c r="Q134" s="43">
        <f t="shared" si="6"/>
        <v>5.057697731</v>
      </c>
      <c r="R134" s="12" t="s">
        <v>4258</v>
      </c>
      <c r="S134" s="12" t="s">
        <v>4259</v>
      </c>
      <c r="T134" s="43">
        <f t="shared" si="7"/>
        <v>60.61023412</v>
      </c>
      <c r="U134" s="43">
        <f t="shared" si="8"/>
        <v>0.4417875</v>
      </c>
      <c r="V134" s="12" t="s">
        <v>839</v>
      </c>
      <c r="W134" s="12" t="s">
        <v>4260</v>
      </c>
      <c r="X134" s="12" t="s">
        <v>841</v>
      </c>
      <c r="Y134" s="12" t="s">
        <v>841</v>
      </c>
      <c r="Z134" s="12" t="s">
        <v>841</v>
      </c>
      <c r="AA134" s="12" t="s">
        <v>4261</v>
      </c>
      <c r="AB134" s="12" t="s">
        <v>4262</v>
      </c>
      <c r="AC134" s="12" t="s">
        <v>4263</v>
      </c>
      <c r="AD134" s="12" t="s">
        <v>845</v>
      </c>
      <c r="AE134" s="12" t="s">
        <v>846</v>
      </c>
      <c r="AF134" s="43">
        <f t="shared" si="9"/>
        <v>79.0448736</v>
      </c>
      <c r="AG134" s="12" t="s">
        <v>847</v>
      </c>
      <c r="AH134" s="12" t="s">
        <v>4264</v>
      </c>
      <c r="AI134" s="12" t="s">
        <v>4265</v>
      </c>
      <c r="AJ134" s="12" t="s">
        <v>4266</v>
      </c>
      <c r="AK134" s="12" t="s">
        <v>1427</v>
      </c>
      <c r="AL134" s="43">
        <f t="shared" si="10"/>
        <v>35.98</v>
      </c>
      <c r="AM134" s="12" t="s">
        <v>4112</v>
      </c>
      <c r="AN134" s="12" t="s">
        <v>914</v>
      </c>
      <c r="AO134" s="12" t="s">
        <v>4267</v>
      </c>
      <c r="AP134" s="12" t="s">
        <v>3562</v>
      </c>
      <c r="AQ134" s="12" t="s">
        <v>4268</v>
      </c>
      <c r="AR134" s="12" t="s">
        <v>4269</v>
      </c>
      <c r="AS134" s="12" t="s">
        <v>4008</v>
      </c>
      <c r="AT134" s="12" t="s">
        <v>366</v>
      </c>
      <c r="AU134" s="12" t="s">
        <v>4009</v>
      </c>
      <c r="AV134" s="12" t="s">
        <v>832</v>
      </c>
      <c r="AW134" s="12" t="s">
        <v>860</v>
      </c>
      <c r="AX134" s="12" t="s">
        <v>1047</v>
      </c>
      <c r="AY134" s="12" t="s">
        <v>1286</v>
      </c>
      <c r="AZ134" s="12" t="s">
        <v>4270</v>
      </c>
      <c r="BA134" s="12" t="s">
        <v>4271</v>
      </c>
      <c r="BB134" s="12" t="s">
        <v>4272</v>
      </c>
      <c r="BC134" s="12" t="s">
        <v>866</v>
      </c>
      <c r="BD134" s="12" t="s">
        <v>867</v>
      </c>
      <c r="BE134" s="12" t="s">
        <v>868</v>
      </c>
      <c r="BF134" s="12" t="s">
        <v>869</v>
      </c>
      <c r="BG134" s="12" t="s">
        <v>870</v>
      </c>
      <c r="BH134" s="12" t="s">
        <v>841</v>
      </c>
      <c r="BI134" s="12" t="s">
        <v>871</v>
      </c>
      <c r="BJ134" s="12" t="s">
        <v>841</v>
      </c>
      <c r="BK134" s="12" t="s">
        <v>841</v>
      </c>
      <c r="BL134" s="12" t="s">
        <v>872</v>
      </c>
      <c r="BM134" s="12" t="s">
        <v>873</v>
      </c>
      <c r="BN134" s="12" t="s">
        <v>866</v>
      </c>
      <c r="BO134" s="12" t="s">
        <v>874</v>
      </c>
      <c r="BP134" s="12" t="s">
        <v>875</v>
      </c>
      <c r="BQ134" s="12" t="s">
        <v>876</v>
      </c>
      <c r="BR134" s="12" t="s">
        <v>869</v>
      </c>
      <c r="BS134" s="12" t="s">
        <v>869</v>
      </c>
      <c r="BT134" s="12" t="s">
        <v>877</v>
      </c>
      <c r="BU134" s="12" t="s">
        <v>877</v>
      </c>
      <c r="BV134" s="12" t="s">
        <v>877</v>
      </c>
      <c r="BW134" s="12" t="s">
        <v>841</v>
      </c>
      <c r="BX134" s="12" t="s">
        <v>878</v>
      </c>
      <c r="BY134" s="12" t="s">
        <v>841</v>
      </c>
      <c r="BZ134" s="12" t="s">
        <v>841</v>
      </c>
      <c r="CA134" s="12" t="s">
        <v>841</v>
      </c>
      <c r="CB134" s="12" t="s">
        <v>841</v>
      </c>
      <c r="CC134" s="12" t="s">
        <v>4273</v>
      </c>
      <c r="CD134" s="12" t="s">
        <v>4274</v>
      </c>
      <c r="CE134" s="12" t="s">
        <v>4275</v>
      </c>
      <c r="CF134" s="12" t="s">
        <v>4276</v>
      </c>
      <c r="CG134" s="12" t="s">
        <v>4277</v>
      </c>
      <c r="CH134" s="12" t="s">
        <v>4278</v>
      </c>
      <c r="CI134" s="12" t="s">
        <v>4279</v>
      </c>
      <c r="CJ134" s="12" t="s">
        <v>4280</v>
      </c>
      <c r="CK134" s="12" t="s">
        <v>4261</v>
      </c>
      <c r="CL134" s="12" t="s">
        <v>3136</v>
      </c>
      <c r="CM134" s="12" t="s">
        <v>888</v>
      </c>
      <c r="CN134" s="12" t="s">
        <v>841</v>
      </c>
      <c r="CO134" s="12" t="s">
        <v>847</v>
      </c>
      <c r="CP134" s="12" t="s">
        <v>889</v>
      </c>
      <c r="CQ134" s="12" t="s">
        <v>890</v>
      </c>
      <c r="CR134" s="12" t="s">
        <v>847</v>
      </c>
      <c r="CS134" s="12" t="s">
        <v>891</v>
      </c>
      <c r="CT134" s="12" t="s">
        <v>892</v>
      </c>
      <c r="CU134" s="12" t="s">
        <v>893</v>
      </c>
      <c r="CV134" s="12" t="s">
        <v>841</v>
      </c>
      <c r="CW134" s="12" t="s">
        <v>4260</v>
      </c>
      <c r="CX134" s="12" t="s">
        <v>894</v>
      </c>
      <c r="CY134" s="12" t="s">
        <v>895</v>
      </c>
      <c r="CZ134" s="12" t="s">
        <v>896</v>
      </c>
      <c r="DA134" s="12" t="s">
        <v>897</v>
      </c>
      <c r="DB134" s="12" t="s">
        <v>898</v>
      </c>
      <c r="DC134" s="12" t="s">
        <v>899</v>
      </c>
    </row>
    <row r="135">
      <c r="A135" s="12" t="s">
        <v>1209</v>
      </c>
      <c r="B135" s="12" t="s">
        <v>461</v>
      </c>
      <c r="C135" s="12" t="s">
        <v>366</v>
      </c>
      <c r="D135" s="12" t="s">
        <v>833</v>
      </c>
      <c r="E135" s="12" t="s">
        <v>834</v>
      </c>
      <c r="F135" s="12"/>
      <c r="G135" s="12" t="s">
        <v>350</v>
      </c>
      <c r="H135" s="12" t="s">
        <v>446</v>
      </c>
      <c r="I135" s="12"/>
      <c r="J135" s="43">
        <f t="shared" si="1"/>
        <v>-0.01022654084</v>
      </c>
      <c r="K135" s="43">
        <f t="shared" si="2"/>
        <v>2.90822672</v>
      </c>
      <c r="L135" s="43">
        <f t="shared" si="3"/>
        <v>-0.01026262853</v>
      </c>
      <c r="M135" s="43">
        <f t="shared" si="4"/>
        <v>-0.4852632474</v>
      </c>
      <c r="N135" s="12" t="s">
        <v>4281</v>
      </c>
      <c r="O135" s="12" t="s">
        <v>4282</v>
      </c>
      <c r="P135" s="43">
        <f t="shared" si="5"/>
        <v>5.40892847</v>
      </c>
      <c r="Q135" s="43">
        <f t="shared" si="6"/>
        <v>4.50202447</v>
      </c>
      <c r="R135" s="12" t="s">
        <v>4283</v>
      </c>
      <c r="S135" s="12" t="s">
        <v>4284</v>
      </c>
      <c r="T135" s="43">
        <f t="shared" si="7"/>
        <v>54.98554916</v>
      </c>
      <c r="U135" s="43">
        <f t="shared" si="8"/>
        <v>0.4417875</v>
      </c>
      <c r="V135" s="12" t="s">
        <v>839</v>
      </c>
      <c r="W135" s="12" t="s">
        <v>4285</v>
      </c>
      <c r="X135" s="12" t="s">
        <v>841</v>
      </c>
      <c r="Y135" s="12" t="s">
        <v>841</v>
      </c>
      <c r="Z135" s="12" t="s">
        <v>841</v>
      </c>
      <c r="AA135" s="12" t="s">
        <v>4286</v>
      </c>
      <c r="AB135" s="12" t="s">
        <v>4287</v>
      </c>
      <c r="AC135" s="12" t="s">
        <v>4288</v>
      </c>
      <c r="AD135" s="12" t="s">
        <v>845</v>
      </c>
      <c r="AE135" s="12" t="s">
        <v>846</v>
      </c>
      <c r="AF135" s="43">
        <f t="shared" si="9"/>
        <v>93.177672</v>
      </c>
      <c r="AG135" s="12" t="s">
        <v>847</v>
      </c>
      <c r="AH135" s="12" t="s">
        <v>4289</v>
      </c>
      <c r="AI135" s="12" t="s">
        <v>4290</v>
      </c>
      <c r="AJ135" s="12" t="s">
        <v>4291</v>
      </c>
      <c r="AK135" s="12" t="s">
        <v>4292</v>
      </c>
      <c r="AL135" s="43">
        <f t="shared" si="10"/>
        <v>34.22</v>
      </c>
      <c r="AM135" s="12" t="s">
        <v>4112</v>
      </c>
      <c r="AN135" s="12" t="s">
        <v>853</v>
      </c>
      <c r="AO135" s="12" t="s">
        <v>4293</v>
      </c>
      <c r="AP135" s="12" t="s">
        <v>4294</v>
      </c>
      <c r="AQ135" s="12" t="s">
        <v>4295</v>
      </c>
      <c r="AR135" s="12" t="s">
        <v>4244</v>
      </c>
      <c r="AS135" s="12" t="s">
        <v>4008</v>
      </c>
      <c r="AT135" s="12" t="s">
        <v>366</v>
      </c>
      <c r="AU135" s="12" t="s">
        <v>4009</v>
      </c>
      <c r="AV135" s="12" t="s">
        <v>832</v>
      </c>
      <c r="AW135" s="12" t="s">
        <v>919</v>
      </c>
      <c r="AX135" s="12" t="s">
        <v>923</v>
      </c>
      <c r="AY135" s="12" t="s">
        <v>1081</v>
      </c>
      <c r="AZ135" s="12" t="s">
        <v>4296</v>
      </c>
      <c r="BA135" s="12" t="s">
        <v>4297</v>
      </c>
      <c r="BB135" s="12" t="s">
        <v>4298</v>
      </c>
      <c r="BC135" s="12" t="s">
        <v>866</v>
      </c>
      <c r="BD135" s="12" t="s">
        <v>867</v>
      </c>
      <c r="BE135" s="12" t="s">
        <v>868</v>
      </c>
      <c r="BF135" s="12" t="s">
        <v>869</v>
      </c>
      <c r="BG135" s="12" t="s">
        <v>870</v>
      </c>
      <c r="BH135" s="12" t="s">
        <v>841</v>
      </c>
      <c r="BI135" s="12" t="s">
        <v>871</v>
      </c>
      <c r="BJ135" s="12" t="s">
        <v>841</v>
      </c>
      <c r="BK135" s="12" t="s">
        <v>841</v>
      </c>
      <c r="BL135" s="12" t="s">
        <v>872</v>
      </c>
      <c r="BM135" s="12" t="s">
        <v>873</v>
      </c>
      <c r="BN135" s="12" t="s">
        <v>866</v>
      </c>
      <c r="BO135" s="12" t="s">
        <v>874</v>
      </c>
      <c r="BP135" s="12" t="s">
        <v>875</v>
      </c>
      <c r="BQ135" s="12" t="s">
        <v>876</v>
      </c>
      <c r="BR135" s="12" t="s">
        <v>869</v>
      </c>
      <c r="BS135" s="12" t="s">
        <v>869</v>
      </c>
      <c r="BT135" s="12" t="s">
        <v>877</v>
      </c>
      <c r="BU135" s="12" t="s">
        <v>877</v>
      </c>
      <c r="BV135" s="12" t="s">
        <v>877</v>
      </c>
      <c r="BW135" s="12" t="s">
        <v>841</v>
      </c>
      <c r="BX135" s="12" t="s">
        <v>878</v>
      </c>
      <c r="BY135" s="12" t="s">
        <v>841</v>
      </c>
      <c r="BZ135" s="12" t="s">
        <v>841</v>
      </c>
      <c r="CA135" s="12" t="s">
        <v>841</v>
      </c>
      <c r="CB135" s="12" t="s">
        <v>841</v>
      </c>
      <c r="CC135" s="12" t="s">
        <v>4299</v>
      </c>
      <c r="CD135" s="12" t="s">
        <v>4300</v>
      </c>
      <c r="CE135" s="12" t="s">
        <v>3708</v>
      </c>
      <c r="CF135" s="12" t="s">
        <v>4301</v>
      </c>
      <c r="CG135" s="12" t="s">
        <v>4302</v>
      </c>
      <c r="CH135" s="12" t="s">
        <v>4303</v>
      </c>
      <c r="CI135" s="12" t="s">
        <v>4304</v>
      </c>
      <c r="CJ135" s="12" t="s">
        <v>4305</v>
      </c>
      <c r="CK135" s="12" t="s">
        <v>4306</v>
      </c>
      <c r="CL135" s="12" t="s">
        <v>1415</v>
      </c>
      <c r="CM135" s="12" t="s">
        <v>888</v>
      </c>
      <c r="CN135" s="12" t="s">
        <v>841</v>
      </c>
      <c r="CO135" s="12" t="s">
        <v>847</v>
      </c>
      <c r="CP135" s="12" t="s">
        <v>889</v>
      </c>
      <c r="CQ135" s="12" t="s">
        <v>890</v>
      </c>
      <c r="CR135" s="12" t="s">
        <v>847</v>
      </c>
      <c r="CS135" s="12" t="s">
        <v>891</v>
      </c>
      <c r="CT135" s="12" t="s">
        <v>892</v>
      </c>
      <c r="CU135" s="12" t="s">
        <v>893</v>
      </c>
      <c r="CV135" s="12" t="s">
        <v>841</v>
      </c>
      <c r="CW135" s="12" t="s">
        <v>4285</v>
      </c>
      <c r="CX135" s="12" t="s">
        <v>894</v>
      </c>
      <c r="CY135" s="12" t="s">
        <v>895</v>
      </c>
      <c r="CZ135" s="12" t="s">
        <v>896</v>
      </c>
      <c r="DA135" s="12" t="s">
        <v>897</v>
      </c>
      <c r="DB135" s="12" t="s">
        <v>898</v>
      </c>
      <c r="DC135" s="12" t="s">
        <v>899</v>
      </c>
    </row>
    <row r="136">
      <c r="A136" s="12" t="s">
        <v>832</v>
      </c>
      <c r="B136" s="12" t="s">
        <v>462</v>
      </c>
      <c r="C136" s="12" t="s">
        <v>366</v>
      </c>
      <c r="D136" s="12" t="s">
        <v>833</v>
      </c>
      <c r="E136" s="12" t="s">
        <v>834</v>
      </c>
      <c r="F136" s="12"/>
      <c r="G136" s="12" t="s">
        <v>350</v>
      </c>
      <c r="H136" s="12" t="s">
        <v>427</v>
      </c>
      <c r="I136" s="12"/>
      <c r="J136" s="43">
        <f t="shared" si="1"/>
        <v>-0.02577914623</v>
      </c>
      <c r="K136" s="43">
        <f t="shared" si="2"/>
        <v>2.909022</v>
      </c>
      <c r="L136" s="43">
        <f t="shared" si="3"/>
        <v>-0.02600963821</v>
      </c>
      <c r="M136" s="43">
        <f t="shared" si="4"/>
        <v>-0.9673442459</v>
      </c>
      <c r="N136" s="12" t="s">
        <v>4307</v>
      </c>
      <c r="O136" s="12" t="s">
        <v>4308</v>
      </c>
      <c r="P136" s="43">
        <f t="shared" si="5"/>
        <v>4.41959998</v>
      </c>
      <c r="Q136" s="43">
        <f t="shared" si="6"/>
        <v>3.56076398</v>
      </c>
      <c r="R136" s="12" t="s">
        <v>4309</v>
      </c>
      <c r="S136" s="12" t="s">
        <v>4310</v>
      </c>
      <c r="T136" s="43">
        <f t="shared" si="7"/>
        <v>44.92376479</v>
      </c>
      <c r="U136" s="43">
        <f t="shared" si="8"/>
        <v>0.4417875</v>
      </c>
      <c r="V136" s="12" t="s">
        <v>839</v>
      </c>
      <c r="W136" s="12" t="s">
        <v>4311</v>
      </c>
      <c r="X136" s="12" t="s">
        <v>841</v>
      </c>
      <c r="Y136" s="12" t="s">
        <v>841</v>
      </c>
      <c r="Z136" s="12" t="s">
        <v>841</v>
      </c>
      <c r="AA136" s="12" t="s">
        <v>4312</v>
      </c>
      <c r="AB136" s="12" t="s">
        <v>4313</v>
      </c>
      <c r="AC136" s="12" t="s">
        <v>4314</v>
      </c>
      <c r="AD136" s="12" t="s">
        <v>845</v>
      </c>
      <c r="AE136" s="12" t="s">
        <v>846</v>
      </c>
      <c r="AF136" s="43">
        <f t="shared" si="9"/>
        <v>34.1638704</v>
      </c>
      <c r="AG136" s="12" t="s">
        <v>847</v>
      </c>
      <c r="AH136" s="12" t="s">
        <v>4265</v>
      </c>
      <c r="AI136" s="12" t="s">
        <v>4315</v>
      </c>
      <c r="AJ136" s="12" t="s">
        <v>4316</v>
      </c>
      <c r="AK136" s="12" t="s">
        <v>4317</v>
      </c>
      <c r="AL136" s="43">
        <f t="shared" si="10"/>
        <v>30.64</v>
      </c>
      <c r="AM136" s="12" t="s">
        <v>4060</v>
      </c>
      <c r="AN136" s="12" t="s">
        <v>1072</v>
      </c>
      <c r="AO136" s="12" t="s">
        <v>4318</v>
      </c>
      <c r="AP136" s="12" t="s">
        <v>4319</v>
      </c>
      <c r="AQ136" s="12" t="s">
        <v>242</v>
      </c>
      <c r="AR136" s="12" t="s">
        <v>4320</v>
      </c>
      <c r="AS136" s="12" t="s">
        <v>4321</v>
      </c>
      <c r="AT136" s="12" t="s">
        <v>366</v>
      </c>
      <c r="AU136" s="12" t="s">
        <v>4322</v>
      </c>
      <c r="AV136" s="12" t="s">
        <v>832</v>
      </c>
      <c r="AW136" s="12" t="s">
        <v>860</v>
      </c>
      <c r="AX136" s="12" t="s">
        <v>919</v>
      </c>
      <c r="AY136" s="12" t="s">
        <v>1047</v>
      </c>
      <c r="AZ136" s="12" t="s">
        <v>4323</v>
      </c>
      <c r="BA136" s="12" t="s">
        <v>4324</v>
      </c>
      <c r="BB136" s="12" t="s">
        <v>4325</v>
      </c>
      <c r="BC136" s="12" t="s">
        <v>866</v>
      </c>
      <c r="BD136" s="12" t="s">
        <v>867</v>
      </c>
      <c r="BE136" s="12" t="s">
        <v>868</v>
      </c>
      <c r="BF136" s="12" t="s">
        <v>869</v>
      </c>
      <c r="BG136" s="12" t="s">
        <v>870</v>
      </c>
      <c r="BH136" s="12" t="s">
        <v>841</v>
      </c>
      <c r="BI136" s="12" t="s">
        <v>871</v>
      </c>
      <c r="BJ136" s="12" t="s">
        <v>841</v>
      </c>
      <c r="BK136" s="12" t="s">
        <v>841</v>
      </c>
      <c r="BL136" s="12" t="s">
        <v>872</v>
      </c>
      <c r="BM136" s="12" t="s">
        <v>873</v>
      </c>
      <c r="BN136" s="12" t="s">
        <v>866</v>
      </c>
      <c r="BO136" s="12" t="s">
        <v>874</v>
      </c>
      <c r="BP136" s="12" t="s">
        <v>875</v>
      </c>
      <c r="BQ136" s="12" t="s">
        <v>876</v>
      </c>
      <c r="BR136" s="12" t="s">
        <v>869</v>
      </c>
      <c r="BS136" s="12" t="s">
        <v>869</v>
      </c>
      <c r="BT136" s="12" t="s">
        <v>877</v>
      </c>
      <c r="BU136" s="12" t="s">
        <v>877</v>
      </c>
      <c r="BV136" s="12" t="s">
        <v>877</v>
      </c>
      <c r="BW136" s="12" t="s">
        <v>841</v>
      </c>
      <c r="BX136" s="12" t="s">
        <v>878</v>
      </c>
      <c r="BY136" s="12" t="s">
        <v>841</v>
      </c>
      <c r="BZ136" s="12" t="s">
        <v>841</v>
      </c>
      <c r="CA136" s="12" t="s">
        <v>841</v>
      </c>
      <c r="CB136" s="12" t="s">
        <v>841</v>
      </c>
      <c r="CC136" s="12" t="s">
        <v>4326</v>
      </c>
      <c r="CD136" s="12" t="s">
        <v>4327</v>
      </c>
      <c r="CE136" s="12" t="s">
        <v>4328</v>
      </c>
      <c r="CF136" s="12" t="s">
        <v>4329</v>
      </c>
      <c r="CG136" s="12" t="s">
        <v>4330</v>
      </c>
      <c r="CH136" s="12" t="s">
        <v>4331</v>
      </c>
      <c r="CI136" s="12" t="s">
        <v>4332</v>
      </c>
      <c r="CJ136" s="12" t="s">
        <v>4333</v>
      </c>
      <c r="CK136" s="12" t="s">
        <v>4312</v>
      </c>
      <c r="CL136" s="12" t="s">
        <v>1354</v>
      </c>
      <c r="CM136" s="12" t="s">
        <v>888</v>
      </c>
      <c r="CN136" s="12" t="s">
        <v>841</v>
      </c>
      <c r="CO136" s="12" t="s">
        <v>847</v>
      </c>
      <c r="CP136" s="12" t="s">
        <v>889</v>
      </c>
      <c r="CQ136" s="12" t="s">
        <v>890</v>
      </c>
      <c r="CR136" s="12" t="s">
        <v>847</v>
      </c>
      <c r="CS136" s="12" t="s">
        <v>891</v>
      </c>
      <c r="CT136" s="12" t="s">
        <v>892</v>
      </c>
      <c r="CU136" s="12" t="s">
        <v>893</v>
      </c>
      <c r="CV136" s="12" t="s">
        <v>841</v>
      </c>
      <c r="CW136" s="12" t="s">
        <v>4311</v>
      </c>
      <c r="CX136" s="12" t="s">
        <v>894</v>
      </c>
      <c r="CY136" s="12" t="s">
        <v>895</v>
      </c>
      <c r="CZ136" s="12" t="s">
        <v>896</v>
      </c>
      <c r="DA136" s="12" t="s">
        <v>897</v>
      </c>
      <c r="DB136" s="12" t="s">
        <v>898</v>
      </c>
      <c r="DC136" s="12" t="s">
        <v>899</v>
      </c>
    </row>
    <row r="137">
      <c r="A137" s="12" t="s">
        <v>900</v>
      </c>
      <c r="B137" s="12" t="s">
        <v>464</v>
      </c>
      <c r="C137" s="12" t="s">
        <v>366</v>
      </c>
      <c r="D137" s="12" t="s">
        <v>833</v>
      </c>
      <c r="E137" s="12" t="s">
        <v>834</v>
      </c>
      <c r="F137" s="12"/>
      <c r="G137" s="12" t="s">
        <v>350</v>
      </c>
      <c r="H137" s="12" t="s">
        <v>427</v>
      </c>
      <c r="I137" s="12"/>
      <c r="J137" s="43">
        <f t="shared" si="1"/>
        <v>-0.008516164862</v>
      </c>
      <c r="K137" s="43">
        <f t="shared" si="2"/>
        <v>2.90981592</v>
      </c>
      <c r="L137" s="43">
        <f t="shared" si="3"/>
        <v>-0.008541162301</v>
      </c>
      <c r="M137" s="43">
        <f t="shared" si="4"/>
        <v>-0.3176220554</v>
      </c>
      <c r="N137" s="12" t="s">
        <v>4334</v>
      </c>
      <c r="O137" s="12" t="s">
        <v>4335</v>
      </c>
      <c r="P137" s="43">
        <f t="shared" si="5"/>
        <v>4.432248884</v>
      </c>
      <c r="Q137" s="43">
        <f t="shared" si="6"/>
        <v>3.559462884</v>
      </c>
      <c r="R137" s="12" t="s">
        <v>4336</v>
      </c>
      <c r="S137" s="12" t="s">
        <v>4337</v>
      </c>
      <c r="T137" s="43">
        <f t="shared" si="7"/>
        <v>45.05691658</v>
      </c>
      <c r="U137" s="43">
        <f t="shared" si="8"/>
        <v>0.4417875</v>
      </c>
      <c r="V137" s="12" t="s">
        <v>839</v>
      </c>
      <c r="W137" s="12" t="s">
        <v>4338</v>
      </c>
      <c r="X137" s="12" t="s">
        <v>841</v>
      </c>
      <c r="Y137" s="12" t="s">
        <v>841</v>
      </c>
      <c r="Z137" s="12" t="s">
        <v>841</v>
      </c>
      <c r="AA137" s="12" t="s">
        <v>4339</v>
      </c>
      <c r="AB137" s="12" t="s">
        <v>4340</v>
      </c>
      <c r="AC137" s="12" t="s">
        <v>4341</v>
      </c>
      <c r="AD137" s="12" t="s">
        <v>845</v>
      </c>
      <c r="AE137" s="12" t="s">
        <v>846</v>
      </c>
      <c r="AF137" s="43">
        <f t="shared" si="9"/>
        <v>39.6713084</v>
      </c>
      <c r="AG137" s="12" t="s">
        <v>847</v>
      </c>
      <c r="AH137" s="12" t="s">
        <v>4342</v>
      </c>
      <c r="AI137" s="12" t="s">
        <v>4343</v>
      </c>
      <c r="AJ137" s="12" t="s">
        <v>4344</v>
      </c>
      <c r="AK137" s="12" t="s">
        <v>4345</v>
      </c>
      <c r="AL137" s="43">
        <f t="shared" si="10"/>
        <v>30.69</v>
      </c>
      <c r="AM137" s="12" t="s">
        <v>4112</v>
      </c>
      <c r="AN137" s="12" t="s">
        <v>914</v>
      </c>
      <c r="AO137" s="12" t="s">
        <v>2601</v>
      </c>
      <c r="AP137" s="12" t="s">
        <v>4346</v>
      </c>
      <c r="AQ137" s="12" t="s">
        <v>231</v>
      </c>
      <c r="AR137" s="12" t="s">
        <v>4347</v>
      </c>
      <c r="AS137" s="12" t="s">
        <v>4321</v>
      </c>
      <c r="AT137" s="12" t="s">
        <v>366</v>
      </c>
      <c r="AU137" s="12" t="s">
        <v>4322</v>
      </c>
      <c r="AV137" s="12" t="s">
        <v>832</v>
      </c>
      <c r="AW137" s="12" t="s">
        <v>1164</v>
      </c>
      <c r="AX137" s="12" t="s">
        <v>861</v>
      </c>
      <c r="AY137" s="12" t="s">
        <v>920</v>
      </c>
      <c r="AZ137" s="12" t="s">
        <v>4348</v>
      </c>
      <c r="BA137" s="12" t="s">
        <v>1458</v>
      </c>
      <c r="BB137" s="12" t="s">
        <v>4349</v>
      </c>
      <c r="BC137" s="12" t="s">
        <v>866</v>
      </c>
      <c r="BD137" s="12" t="s">
        <v>867</v>
      </c>
      <c r="BE137" s="12" t="s">
        <v>868</v>
      </c>
      <c r="BF137" s="12" t="s">
        <v>869</v>
      </c>
      <c r="BG137" s="12" t="s">
        <v>870</v>
      </c>
      <c r="BH137" s="12" t="s">
        <v>841</v>
      </c>
      <c r="BI137" s="12" t="s">
        <v>871</v>
      </c>
      <c r="BJ137" s="12" t="s">
        <v>841</v>
      </c>
      <c r="BK137" s="12" t="s">
        <v>841</v>
      </c>
      <c r="BL137" s="12" t="s">
        <v>872</v>
      </c>
      <c r="BM137" s="12" t="s">
        <v>873</v>
      </c>
      <c r="BN137" s="12" t="s">
        <v>866</v>
      </c>
      <c r="BO137" s="12" t="s">
        <v>874</v>
      </c>
      <c r="BP137" s="12" t="s">
        <v>875</v>
      </c>
      <c r="BQ137" s="12" t="s">
        <v>876</v>
      </c>
      <c r="BR137" s="12" t="s">
        <v>869</v>
      </c>
      <c r="BS137" s="12" t="s">
        <v>869</v>
      </c>
      <c r="BT137" s="12" t="s">
        <v>877</v>
      </c>
      <c r="BU137" s="12" t="s">
        <v>877</v>
      </c>
      <c r="BV137" s="12" t="s">
        <v>877</v>
      </c>
      <c r="BW137" s="12" t="s">
        <v>841</v>
      </c>
      <c r="BX137" s="12" t="s">
        <v>878</v>
      </c>
      <c r="BY137" s="12" t="s">
        <v>841</v>
      </c>
      <c r="BZ137" s="12" t="s">
        <v>841</v>
      </c>
      <c r="CA137" s="12" t="s">
        <v>841</v>
      </c>
      <c r="CB137" s="12" t="s">
        <v>841</v>
      </c>
      <c r="CC137" s="12" t="s">
        <v>4350</v>
      </c>
      <c r="CD137" s="12" t="s">
        <v>4351</v>
      </c>
      <c r="CE137" s="12" t="s">
        <v>4352</v>
      </c>
      <c r="CF137" s="12" t="s">
        <v>4353</v>
      </c>
      <c r="CG137" s="12" t="s">
        <v>4354</v>
      </c>
      <c r="CH137" s="12" t="s">
        <v>4355</v>
      </c>
      <c r="CI137" s="12" t="s">
        <v>4356</v>
      </c>
      <c r="CJ137" s="12" t="s">
        <v>4357</v>
      </c>
      <c r="CK137" s="12" t="s">
        <v>4358</v>
      </c>
      <c r="CL137" s="12" t="s">
        <v>1496</v>
      </c>
      <c r="CM137" s="12" t="s">
        <v>888</v>
      </c>
      <c r="CN137" s="12" t="s">
        <v>841</v>
      </c>
      <c r="CO137" s="12" t="s">
        <v>847</v>
      </c>
      <c r="CP137" s="12" t="s">
        <v>889</v>
      </c>
      <c r="CQ137" s="12" t="s">
        <v>890</v>
      </c>
      <c r="CR137" s="12" t="s">
        <v>847</v>
      </c>
      <c r="CS137" s="12" t="s">
        <v>891</v>
      </c>
      <c r="CT137" s="12" t="s">
        <v>892</v>
      </c>
      <c r="CU137" s="12" t="s">
        <v>893</v>
      </c>
      <c r="CV137" s="12" t="s">
        <v>841</v>
      </c>
      <c r="CW137" s="12" t="s">
        <v>4338</v>
      </c>
      <c r="CX137" s="12" t="s">
        <v>894</v>
      </c>
      <c r="CY137" s="12" t="s">
        <v>895</v>
      </c>
      <c r="CZ137" s="12" t="s">
        <v>896</v>
      </c>
      <c r="DA137" s="12" t="s">
        <v>897</v>
      </c>
      <c r="DB137" s="12" t="s">
        <v>898</v>
      </c>
      <c r="DC137" s="12" t="s">
        <v>899</v>
      </c>
    </row>
    <row r="138">
      <c r="A138" s="12" t="s">
        <v>934</v>
      </c>
      <c r="B138" s="12" t="s">
        <v>465</v>
      </c>
      <c r="C138" s="12" t="s">
        <v>366</v>
      </c>
      <c r="D138" s="12" t="s">
        <v>833</v>
      </c>
      <c r="E138" s="12" t="s">
        <v>834</v>
      </c>
      <c r="F138" s="12"/>
      <c r="G138" s="12" t="s">
        <v>350</v>
      </c>
      <c r="H138" s="12" t="s">
        <v>427</v>
      </c>
      <c r="I138" s="12"/>
      <c r="J138" s="43">
        <f t="shared" si="1"/>
        <v>-0.01825595184</v>
      </c>
      <c r="K138" s="43">
        <f t="shared" si="2"/>
        <v>2.90981592</v>
      </c>
      <c r="L138" s="43">
        <f t="shared" si="3"/>
        <v>-0.01837121135</v>
      </c>
      <c r="M138" s="43">
        <f t="shared" si="4"/>
        <v>-0.6663360881</v>
      </c>
      <c r="N138" s="12" t="s">
        <v>4359</v>
      </c>
      <c r="O138" s="12" t="s">
        <v>4360</v>
      </c>
      <c r="P138" s="43">
        <f t="shared" si="5"/>
        <v>4.344364912</v>
      </c>
      <c r="Q138" s="43">
        <f t="shared" si="6"/>
        <v>3.473338912</v>
      </c>
      <c r="R138" s="12" t="s">
        <v>4361</v>
      </c>
      <c r="S138" s="12" t="s">
        <v>4362</v>
      </c>
      <c r="T138" s="43">
        <f t="shared" si="7"/>
        <v>44.1635144</v>
      </c>
      <c r="U138" s="43">
        <f t="shared" si="8"/>
        <v>0.4417875</v>
      </c>
      <c r="V138" s="12" t="s">
        <v>839</v>
      </c>
      <c r="W138" s="12" t="s">
        <v>4363</v>
      </c>
      <c r="X138" s="12" t="s">
        <v>841</v>
      </c>
      <c r="Y138" s="12" t="s">
        <v>841</v>
      </c>
      <c r="Z138" s="12" t="s">
        <v>841</v>
      </c>
      <c r="AA138" s="12" t="s">
        <v>4364</v>
      </c>
      <c r="AB138" s="12" t="s">
        <v>4365</v>
      </c>
      <c r="AC138" s="12" t="s">
        <v>4366</v>
      </c>
      <c r="AD138" s="12" t="s">
        <v>845</v>
      </c>
      <c r="AE138" s="12" t="s">
        <v>846</v>
      </c>
      <c r="AF138" s="43">
        <f t="shared" si="9"/>
        <v>12.3706416</v>
      </c>
      <c r="AG138" s="12" t="s">
        <v>847</v>
      </c>
      <c r="AH138" s="12" t="s">
        <v>4367</v>
      </c>
      <c r="AI138" s="12" t="s">
        <v>4187</v>
      </c>
      <c r="AJ138" s="12" t="s">
        <v>4368</v>
      </c>
      <c r="AK138" s="12" t="s">
        <v>3173</v>
      </c>
      <c r="AL138" s="43">
        <f t="shared" si="10"/>
        <v>30.34</v>
      </c>
      <c r="AM138" s="12" t="s">
        <v>4112</v>
      </c>
      <c r="AN138" s="12" t="s">
        <v>914</v>
      </c>
      <c r="AO138" s="12" t="s">
        <v>4369</v>
      </c>
      <c r="AP138" s="12" t="s">
        <v>4370</v>
      </c>
      <c r="AQ138" s="12" t="s">
        <v>4371</v>
      </c>
      <c r="AR138" s="12" t="s">
        <v>4372</v>
      </c>
      <c r="AS138" s="12" t="s">
        <v>4321</v>
      </c>
      <c r="AT138" s="12" t="s">
        <v>366</v>
      </c>
      <c r="AU138" s="12" t="s">
        <v>4322</v>
      </c>
      <c r="AV138" s="12" t="s">
        <v>832</v>
      </c>
      <c r="AW138" s="12" t="s">
        <v>1342</v>
      </c>
      <c r="AX138" s="12" t="s">
        <v>868</v>
      </c>
      <c r="AY138" s="12" t="s">
        <v>868</v>
      </c>
      <c r="AZ138" s="12" t="s">
        <v>4373</v>
      </c>
      <c r="BA138" s="12" t="s">
        <v>868</v>
      </c>
      <c r="BB138" s="12" t="s">
        <v>868</v>
      </c>
      <c r="BC138" s="12" t="s">
        <v>866</v>
      </c>
      <c r="BD138" s="12" t="s">
        <v>867</v>
      </c>
      <c r="BE138" s="12" t="s">
        <v>868</v>
      </c>
      <c r="BF138" s="12" t="s">
        <v>869</v>
      </c>
      <c r="BG138" s="12" t="s">
        <v>870</v>
      </c>
      <c r="BH138" s="12" t="s">
        <v>841</v>
      </c>
      <c r="BI138" s="12" t="s">
        <v>871</v>
      </c>
      <c r="BJ138" s="12" t="s">
        <v>841</v>
      </c>
      <c r="BK138" s="12" t="s">
        <v>841</v>
      </c>
      <c r="BL138" s="12" t="s">
        <v>872</v>
      </c>
      <c r="BM138" s="12" t="s">
        <v>873</v>
      </c>
      <c r="BN138" s="12" t="s">
        <v>866</v>
      </c>
      <c r="BO138" s="12" t="s">
        <v>874</v>
      </c>
      <c r="BP138" s="12" t="s">
        <v>875</v>
      </c>
      <c r="BQ138" s="12" t="s">
        <v>876</v>
      </c>
      <c r="BR138" s="12" t="s">
        <v>869</v>
      </c>
      <c r="BS138" s="12" t="s">
        <v>869</v>
      </c>
      <c r="BT138" s="12" t="s">
        <v>877</v>
      </c>
      <c r="BU138" s="12" t="s">
        <v>877</v>
      </c>
      <c r="BV138" s="12" t="s">
        <v>877</v>
      </c>
      <c r="BW138" s="12" t="s">
        <v>841</v>
      </c>
      <c r="BX138" s="12" t="s">
        <v>878</v>
      </c>
      <c r="BY138" s="12" t="s">
        <v>841</v>
      </c>
      <c r="BZ138" s="12" t="s">
        <v>841</v>
      </c>
      <c r="CA138" s="12" t="s">
        <v>841</v>
      </c>
      <c r="CB138" s="12" t="s">
        <v>841</v>
      </c>
      <c r="CC138" s="12" t="s">
        <v>4374</v>
      </c>
      <c r="CD138" s="12" t="s">
        <v>4375</v>
      </c>
      <c r="CE138" s="12" t="s">
        <v>4376</v>
      </c>
      <c r="CF138" s="12" t="s">
        <v>4377</v>
      </c>
      <c r="CG138" s="12" t="s">
        <v>4378</v>
      </c>
      <c r="CH138" s="12" t="s">
        <v>4379</v>
      </c>
      <c r="CI138" s="12" t="s">
        <v>4380</v>
      </c>
      <c r="CJ138" s="12" t="s">
        <v>4381</v>
      </c>
      <c r="CK138" s="12" t="s">
        <v>4364</v>
      </c>
      <c r="CL138" s="12" t="s">
        <v>1415</v>
      </c>
      <c r="CM138" s="12" t="s">
        <v>888</v>
      </c>
      <c r="CN138" s="12" t="s">
        <v>841</v>
      </c>
      <c r="CO138" s="12" t="s">
        <v>847</v>
      </c>
      <c r="CP138" s="12" t="s">
        <v>889</v>
      </c>
      <c r="CQ138" s="12" t="s">
        <v>890</v>
      </c>
      <c r="CR138" s="12" t="s">
        <v>847</v>
      </c>
      <c r="CS138" s="12" t="s">
        <v>891</v>
      </c>
      <c r="CT138" s="12" t="s">
        <v>892</v>
      </c>
      <c r="CU138" s="12" t="s">
        <v>893</v>
      </c>
      <c r="CV138" s="12" t="s">
        <v>841</v>
      </c>
      <c r="CW138" s="12" t="s">
        <v>4363</v>
      </c>
      <c r="CX138" s="12" t="s">
        <v>894</v>
      </c>
      <c r="CY138" s="12" t="s">
        <v>895</v>
      </c>
      <c r="CZ138" s="12" t="s">
        <v>896</v>
      </c>
      <c r="DA138" s="12" t="s">
        <v>897</v>
      </c>
      <c r="DB138" s="12" t="s">
        <v>898</v>
      </c>
      <c r="DC138" s="12" t="s">
        <v>899</v>
      </c>
    </row>
    <row r="139">
      <c r="A139" s="12" t="s">
        <v>968</v>
      </c>
      <c r="B139" s="12" t="s">
        <v>467</v>
      </c>
      <c r="C139" s="12" t="s">
        <v>366</v>
      </c>
      <c r="D139" s="12" t="s">
        <v>833</v>
      </c>
      <c r="E139" s="12" t="s">
        <v>834</v>
      </c>
      <c r="F139" s="12"/>
      <c r="G139" s="12" t="s">
        <v>350</v>
      </c>
      <c r="H139" s="12" t="s">
        <v>427</v>
      </c>
      <c r="I139" s="12"/>
      <c r="J139" s="43">
        <f t="shared" si="1"/>
        <v>-0.006352959347</v>
      </c>
      <c r="K139" s="43">
        <f t="shared" si="2"/>
        <v>2.90981592</v>
      </c>
      <c r="L139" s="43">
        <f t="shared" si="3"/>
        <v>-0.006366860021</v>
      </c>
      <c r="M139" s="43">
        <f t="shared" si="4"/>
        <v>-0.2312139472</v>
      </c>
      <c r="N139" s="12" t="s">
        <v>4382</v>
      </c>
      <c r="O139" s="12" t="s">
        <v>4383</v>
      </c>
      <c r="P139" s="43">
        <f t="shared" si="5"/>
        <v>4.371820498</v>
      </c>
      <c r="Q139" s="43">
        <f t="shared" si="6"/>
        <v>3.477099498</v>
      </c>
      <c r="R139" s="12" t="s">
        <v>4384</v>
      </c>
      <c r="S139" s="12" t="s">
        <v>4385</v>
      </c>
      <c r="T139" s="43">
        <f t="shared" si="7"/>
        <v>44.43810224</v>
      </c>
      <c r="U139" s="43">
        <f t="shared" si="8"/>
        <v>0.4417875</v>
      </c>
      <c r="V139" s="12" t="s">
        <v>839</v>
      </c>
      <c r="W139" s="12" t="s">
        <v>4386</v>
      </c>
      <c r="X139" s="12" t="s">
        <v>841</v>
      </c>
      <c r="Y139" s="12" t="s">
        <v>841</v>
      </c>
      <c r="Z139" s="12" t="s">
        <v>841</v>
      </c>
      <c r="AA139" s="12" t="s">
        <v>4387</v>
      </c>
      <c r="AB139" s="12" t="s">
        <v>4388</v>
      </c>
      <c r="AC139" s="12" t="s">
        <v>4389</v>
      </c>
      <c r="AD139" s="12" t="s">
        <v>845</v>
      </c>
      <c r="AE139" s="12" t="s">
        <v>846</v>
      </c>
      <c r="AF139" s="43">
        <f t="shared" si="9"/>
        <v>13.573062</v>
      </c>
      <c r="AG139" s="12" t="s">
        <v>847</v>
      </c>
      <c r="AH139" s="12" t="s">
        <v>4390</v>
      </c>
      <c r="AI139" s="12" t="s">
        <v>4391</v>
      </c>
      <c r="AJ139" s="12" t="s">
        <v>4392</v>
      </c>
      <c r="AK139" s="12" t="s">
        <v>4393</v>
      </c>
      <c r="AL139" s="43">
        <f t="shared" si="10"/>
        <v>30.45</v>
      </c>
      <c r="AM139" s="12" t="s">
        <v>4060</v>
      </c>
      <c r="AN139" s="12" t="s">
        <v>914</v>
      </c>
      <c r="AO139" s="12" t="s">
        <v>4394</v>
      </c>
      <c r="AP139" s="12" t="s">
        <v>4395</v>
      </c>
      <c r="AQ139" s="12" t="s">
        <v>547</v>
      </c>
      <c r="AR139" s="12" t="s">
        <v>4372</v>
      </c>
      <c r="AS139" s="12" t="s">
        <v>4321</v>
      </c>
      <c r="AT139" s="12" t="s">
        <v>366</v>
      </c>
      <c r="AU139" s="12" t="s">
        <v>4322</v>
      </c>
      <c r="AV139" s="12" t="s">
        <v>832</v>
      </c>
      <c r="AW139" s="12" t="s">
        <v>1164</v>
      </c>
      <c r="AX139" s="12" t="s">
        <v>868</v>
      </c>
      <c r="AY139" s="12" t="s">
        <v>868</v>
      </c>
      <c r="AZ139" s="12" t="s">
        <v>4396</v>
      </c>
      <c r="BA139" s="12" t="s">
        <v>868</v>
      </c>
      <c r="BB139" s="12" t="s">
        <v>868</v>
      </c>
      <c r="BC139" s="12" t="s">
        <v>866</v>
      </c>
      <c r="BD139" s="12" t="s">
        <v>867</v>
      </c>
      <c r="BE139" s="12" t="s">
        <v>868</v>
      </c>
      <c r="BF139" s="12" t="s">
        <v>869</v>
      </c>
      <c r="BG139" s="12" t="s">
        <v>870</v>
      </c>
      <c r="BH139" s="12" t="s">
        <v>841</v>
      </c>
      <c r="BI139" s="12" t="s">
        <v>871</v>
      </c>
      <c r="BJ139" s="12" t="s">
        <v>841</v>
      </c>
      <c r="BK139" s="12" t="s">
        <v>841</v>
      </c>
      <c r="BL139" s="12" t="s">
        <v>872</v>
      </c>
      <c r="BM139" s="12" t="s">
        <v>873</v>
      </c>
      <c r="BN139" s="12" t="s">
        <v>866</v>
      </c>
      <c r="BO139" s="12" t="s">
        <v>874</v>
      </c>
      <c r="BP139" s="12" t="s">
        <v>875</v>
      </c>
      <c r="BQ139" s="12" t="s">
        <v>876</v>
      </c>
      <c r="BR139" s="12" t="s">
        <v>869</v>
      </c>
      <c r="BS139" s="12" t="s">
        <v>869</v>
      </c>
      <c r="BT139" s="12" t="s">
        <v>877</v>
      </c>
      <c r="BU139" s="12" t="s">
        <v>877</v>
      </c>
      <c r="BV139" s="12" t="s">
        <v>877</v>
      </c>
      <c r="BW139" s="12" t="s">
        <v>841</v>
      </c>
      <c r="BX139" s="12" t="s">
        <v>878</v>
      </c>
      <c r="BY139" s="12" t="s">
        <v>841</v>
      </c>
      <c r="BZ139" s="12" t="s">
        <v>841</v>
      </c>
      <c r="CA139" s="12" t="s">
        <v>841</v>
      </c>
      <c r="CB139" s="12" t="s">
        <v>841</v>
      </c>
      <c r="CC139" s="12" t="s">
        <v>4397</v>
      </c>
      <c r="CD139" s="12" t="s">
        <v>4398</v>
      </c>
      <c r="CE139" s="12" t="s">
        <v>4399</v>
      </c>
      <c r="CF139" s="12" t="s">
        <v>4400</v>
      </c>
      <c r="CG139" s="12" t="s">
        <v>4401</v>
      </c>
      <c r="CH139" s="12" t="s">
        <v>4402</v>
      </c>
      <c r="CI139" s="12" t="s">
        <v>4403</v>
      </c>
      <c r="CJ139" s="12" t="s">
        <v>4404</v>
      </c>
      <c r="CK139" s="12" t="s">
        <v>4387</v>
      </c>
      <c r="CL139" s="12" t="s">
        <v>1176</v>
      </c>
      <c r="CM139" s="12" t="s">
        <v>888</v>
      </c>
      <c r="CN139" s="12" t="s">
        <v>841</v>
      </c>
      <c r="CO139" s="12" t="s">
        <v>847</v>
      </c>
      <c r="CP139" s="12" t="s">
        <v>889</v>
      </c>
      <c r="CQ139" s="12" t="s">
        <v>890</v>
      </c>
      <c r="CR139" s="12" t="s">
        <v>847</v>
      </c>
      <c r="CS139" s="12" t="s">
        <v>891</v>
      </c>
      <c r="CT139" s="12" t="s">
        <v>892</v>
      </c>
      <c r="CU139" s="12" t="s">
        <v>893</v>
      </c>
      <c r="CV139" s="12" t="s">
        <v>841</v>
      </c>
      <c r="CW139" s="12" t="s">
        <v>4386</v>
      </c>
      <c r="CX139" s="12" t="s">
        <v>894</v>
      </c>
      <c r="CY139" s="12" t="s">
        <v>895</v>
      </c>
      <c r="CZ139" s="12" t="s">
        <v>896</v>
      </c>
      <c r="DA139" s="12" t="s">
        <v>897</v>
      </c>
      <c r="DB139" s="12" t="s">
        <v>898</v>
      </c>
      <c r="DC139" s="12" t="s">
        <v>899</v>
      </c>
    </row>
    <row r="140">
      <c r="A140" s="12" t="s">
        <v>997</v>
      </c>
      <c r="B140" s="12" t="s">
        <v>468</v>
      </c>
      <c r="C140" s="12" t="s">
        <v>366</v>
      </c>
      <c r="D140" s="12" t="s">
        <v>833</v>
      </c>
      <c r="E140" s="12" t="s">
        <v>834</v>
      </c>
      <c r="F140" s="12"/>
      <c r="G140" s="12" t="s">
        <v>350</v>
      </c>
      <c r="H140" s="12" t="s">
        <v>427</v>
      </c>
      <c r="I140" s="12"/>
      <c r="J140" s="43">
        <f t="shared" si="1"/>
        <v>-0.0117139458</v>
      </c>
      <c r="K140" s="43">
        <f t="shared" si="2"/>
        <v>2.90822672</v>
      </c>
      <c r="L140" s="43">
        <f t="shared" si="3"/>
        <v>-0.01176131881</v>
      </c>
      <c r="M140" s="43">
        <f t="shared" si="4"/>
        <v>-0.4229014952</v>
      </c>
      <c r="N140" s="12" t="s">
        <v>4405</v>
      </c>
      <c r="O140" s="12" t="s">
        <v>4406</v>
      </c>
      <c r="P140" s="43">
        <f t="shared" si="5"/>
        <v>4.322013121</v>
      </c>
      <c r="Q140" s="43">
        <f t="shared" si="6"/>
        <v>3.443963121</v>
      </c>
      <c r="R140" s="12" t="s">
        <v>4407</v>
      </c>
      <c r="S140" s="12" t="s">
        <v>4408</v>
      </c>
      <c r="T140" s="43">
        <f t="shared" si="7"/>
        <v>43.9318268</v>
      </c>
      <c r="U140" s="43">
        <f t="shared" si="8"/>
        <v>0.4417875</v>
      </c>
      <c r="V140" s="12" t="s">
        <v>839</v>
      </c>
      <c r="W140" s="12" t="s">
        <v>4409</v>
      </c>
      <c r="X140" s="12" t="s">
        <v>841</v>
      </c>
      <c r="Y140" s="12" t="s">
        <v>841</v>
      </c>
      <c r="Z140" s="12" t="s">
        <v>841</v>
      </c>
      <c r="AA140" s="12" t="s">
        <v>4410</v>
      </c>
      <c r="AB140" s="12" t="s">
        <v>4411</v>
      </c>
      <c r="AC140" s="12" t="s">
        <v>4412</v>
      </c>
      <c r="AD140" s="12" t="s">
        <v>845</v>
      </c>
      <c r="AE140" s="12" t="s">
        <v>846</v>
      </c>
      <c r="AF140" s="43">
        <f t="shared" si="9"/>
        <v>20.637936</v>
      </c>
      <c r="AG140" s="12" t="s">
        <v>847</v>
      </c>
      <c r="AH140" s="12" t="s">
        <v>4413</v>
      </c>
      <c r="AI140" s="12" t="s">
        <v>4414</v>
      </c>
      <c r="AJ140" s="12" t="s">
        <v>4415</v>
      </c>
      <c r="AK140" s="12" t="s">
        <v>4416</v>
      </c>
      <c r="AL140" s="43">
        <f t="shared" si="10"/>
        <v>30.25</v>
      </c>
      <c r="AM140" s="12" t="s">
        <v>4060</v>
      </c>
      <c r="AN140" s="12" t="s">
        <v>853</v>
      </c>
      <c r="AO140" s="12" t="s">
        <v>4417</v>
      </c>
      <c r="AP140" s="12" t="s">
        <v>2534</v>
      </c>
      <c r="AQ140" s="12" t="s">
        <v>4418</v>
      </c>
      <c r="AR140" s="12" t="s">
        <v>4419</v>
      </c>
      <c r="AS140" s="12" t="s">
        <v>4321</v>
      </c>
      <c r="AT140" s="12" t="s">
        <v>366</v>
      </c>
      <c r="AU140" s="12" t="s">
        <v>4322</v>
      </c>
      <c r="AV140" s="12" t="s">
        <v>832</v>
      </c>
      <c r="AW140" s="12" t="s">
        <v>1286</v>
      </c>
      <c r="AX140" s="12" t="s">
        <v>1286</v>
      </c>
      <c r="AY140" s="12" t="s">
        <v>1598</v>
      </c>
      <c r="AZ140" s="12" t="s">
        <v>4420</v>
      </c>
      <c r="BA140" s="12" t="s">
        <v>4421</v>
      </c>
      <c r="BB140" s="12" t="s">
        <v>4422</v>
      </c>
      <c r="BC140" s="12" t="s">
        <v>866</v>
      </c>
      <c r="BD140" s="12" t="s">
        <v>867</v>
      </c>
      <c r="BE140" s="12" t="s">
        <v>868</v>
      </c>
      <c r="BF140" s="12" t="s">
        <v>869</v>
      </c>
      <c r="BG140" s="12" t="s">
        <v>870</v>
      </c>
      <c r="BH140" s="12" t="s">
        <v>841</v>
      </c>
      <c r="BI140" s="12" t="s">
        <v>871</v>
      </c>
      <c r="BJ140" s="12" t="s">
        <v>841</v>
      </c>
      <c r="BK140" s="12" t="s">
        <v>841</v>
      </c>
      <c r="BL140" s="12" t="s">
        <v>872</v>
      </c>
      <c r="BM140" s="12" t="s">
        <v>873</v>
      </c>
      <c r="BN140" s="12" t="s">
        <v>866</v>
      </c>
      <c r="BO140" s="12" t="s">
        <v>874</v>
      </c>
      <c r="BP140" s="12" t="s">
        <v>875</v>
      </c>
      <c r="BQ140" s="12" t="s">
        <v>876</v>
      </c>
      <c r="BR140" s="12" t="s">
        <v>869</v>
      </c>
      <c r="BS140" s="12" t="s">
        <v>869</v>
      </c>
      <c r="BT140" s="12" t="s">
        <v>877</v>
      </c>
      <c r="BU140" s="12" t="s">
        <v>877</v>
      </c>
      <c r="BV140" s="12" t="s">
        <v>877</v>
      </c>
      <c r="BW140" s="12" t="s">
        <v>841</v>
      </c>
      <c r="BX140" s="12" t="s">
        <v>878</v>
      </c>
      <c r="BY140" s="12" t="s">
        <v>841</v>
      </c>
      <c r="BZ140" s="12" t="s">
        <v>841</v>
      </c>
      <c r="CA140" s="12" t="s">
        <v>841</v>
      </c>
      <c r="CB140" s="12" t="s">
        <v>841</v>
      </c>
      <c r="CC140" s="12" t="s">
        <v>4423</v>
      </c>
      <c r="CD140" s="12" t="s">
        <v>4424</v>
      </c>
      <c r="CE140" s="12" t="s">
        <v>4425</v>
      </c>
      <c r="CF140" s="12" t="s">
        <v>4426</v>
      </c>
      <c r="CG140" s="12" t="s">
        <v>4427</v>
      </c>
      <c r="CH140" s="12" t="s">
        <v>4428</v>
      </c>
      <c r="CI140" s="12" t="s">
        <v>4429</v>
      </c>
      <c r="CJ140" s="12" t="s">
        <v>4430</v>
      </c>
      <c r="CK140" s="12" t="s">
        <v>4410</v>
      </c>
      <c r="CL140" s="12" t="s">
        <v>1057</v>
      </c>
      <c r="CM140" s="12" t="s">
        <v>888</v>
      </c>
      <c r="CN140" s="12" t="s">
        <v>841</v>
      </c>
      <c r="CO140" s="12" t="s">
        <v>847</v>
      </c>
      <c r="CP140" s="12" t="s">
        <v>889</v>
      </c>
      <c r="CQ140" s="12" t="s">
        <v>890</v>
      </c>
      <c r="CR140" s="12" t="s">
        <v>847</v>
      </c>
      <c r="CS140" s="12" t="s">
        <v>891</v>
      </c>
      <c r="CT140" s="12" t="s">
        <v>892</v>
      </c>
      <c r="CU140" s="12" t="s">
        <v>893</v>
      </c>
      <c r="CV140" s="12" t="s">
        <v>841</v>
      </c>
      <c r="CW140" s="12" t="s">
        <v>4409</v>
      </c>
      <c r="CX140" s="12" t="s">
        <v>894</v>
      </c>
      <c r="CY140" s="12" t="s">
        <v>895</v>
      </c>
      <c r="CZ140" s="12" t="s">
        <v>896</v>
      </c>
      <c r="DA140" s="12" t="s">
        <v>897</v>
      </c>
      <c r="DB140" s="12" t="s">
        <v>898</v>
      </c>
      <c r="DC140" s="12" t="s">
        <v>899</v>
      </c>
    </row>
    <row r="141">
      <c r="A141" s="12" t="s">
        <v>1029</v>
      </c>
      <c r="B141" s="12" t="s">
        <v>469</v>
      </c>
      <c r="C141" s="12" t="s">
        <v>366</v>
      </c>
      <c r="D141" s="12" t="s">
        <v>833</v>
      </c>
      <c r="E141" s="12" t="s">
        <v>834</v>
      </c>
      <c r="F141" s="12"/>
      <c r="G141" s="12" t="s">
        <v>350</v>
      </c>
      <c r="H141" s="12" t="s">
        <v>427</v>
      </c>
      <c r="I141" s="12"/>
      <c r="J141" s="43">
        <f t="shared" si="1"/>
        <v>-0.009554824473</v>
      </c>
      <c r="K141" s="43">
        <f t="shared" si="2"/>
        <v>2.909022</v>
      </c>
      <c r="L141" s="43">
        <f t="shared" si="3"/>
        <v>-0.009586311179</v>
      </c>
      <c r="M141" s="43">
        <f t="shared" si="4"/>
        <v>-0.3349688763</v>
      </c>
      <c r="N141" s="12" t="s">
        <v>4431</v>
      </c>
      <c r="O141" s="12" t="s">
        <v>4432</v>
      </c>
      <c r="P141" s="43">
        <f t="shared" si="5"/>
        <v>4.245788799</v>
      </c>
      <c r="Q141" s="43">
        <f t="shared" si="6"/>
        <v>3.347777799</v>
      </c>
      <c r="R141" s="12" t="s">
        <v>4433</v>
      </c>
      <c r="S141" s="12" t="s">
        <v>4434</v>
      </c>
      <c r="T141" s="43">
        <f t="shared" si="7"/>
        <v>43.15703191</v>
      </c>
      <c r="U141" s="43">
        <f t="shared" si="8"/>
        <v>0.4417875</v>
      </c>
      <c r="V141" s="12" t="s">
        <v>839</v>
      </c>
      <c r="W141" s="12" t="s">
        <v>4435</v>
      </c>
      <c r="X141" s="12" t="s">
        <v>841</v>
      </c>
      <c r="Y141" s="12" t="s">
        <v>841</v>
      </c>
      <c r="Z141" s="12" t="s">
        <v>841</v>
      </c>
      <c r="AA141" s="12" t="s">
        <v>4436</v>
      </c>
      <c r="AB141" s="12" t="s">
        <v>4437</v>
      </c>
      <c r="AC141" s="12" t="s">
        <v>4438</v>
      </c>
      <c r="AD141" s="12" t="s">
        <v>845</v>
      </c>
      <c r="AE141" s="12" t="s">
        <v>846</v>
      </c>
      <c r="AF141" s="43">
        <f t="shared" si="9"/>
        <v>19.87551</v>
      </c>
      <c r="AG141" s="12" t="s">
        <v>847</v>
      </c>
      <c r="AH141" s="12" t="s">
        <v>4439</v>
      </c>
      <c r="AI141" s="12" t="s">
        <v>4440</v>
      </c>
      <c r="AJ141" s="12" t="s">
        <v>4441</v>
      </c>
      <c r="AK141" s="12" t="s">
        <v>977</v>
      </c>
      <c r="AL141" s="43">
        <f t="shared" si="10"/>
        <v>29.94</v>
      </c>
      <c r="AM141" s="12" t="s">
        <v>4060</v>
      </c>
      <c r="AN141" s="12" t="s">
        <v>1072</v>
      </c>
      <c r="AO141" s="12" t="s">
        <v>4442</v>
      </c>
      <c r="AP141" s="12" t="s">
        <v>1281</v>
      </c>
      <c r="AQ141" s="12" t="s">
        <v>547</v>
      </c>
      <c r="AR141" s="12" t="s">
        <v>4443</v>
      </c>
      <c r="AS141" s="12" t="s">
        <v>4321</v>
      </c>
      <c r="AT141" s="12" t="s">
        <v>366</v>
      </c>
      <c r="AU141" s="12" t="s">
        <v>4322</v>
      </c>
      <c r="AV141" s="12" t="s">
        <v>832</v>
      </c>
      <c r="AW141" s="12" t="s">
        <v>1286</v>
      </c>
      <c r="AX141" s="12" t="s">
        <v>919</v>
      </c>
      <c r="AY141" s="12" t="s">
        <v>923</v>
      </c>
      <c r="AZ141" s="12" t="s">
        <v>4444</v>
      </c>
      <c r="BA141" s="12" t="s">
        <v>4445</v>
      </c>
      <c r="BB141" s="12" t="s">
        <v>4446</v>
      </c>
      <c r="BC141" s="12" t="s">
        <v>866</v>
      </c>
      <c r="BD141" s="12" t="s">
        <v>867</v>
      </c>
      <c r="BE141" s="12" t="s">
        <v>868</v>
      </c>
      <c r="BF141" s="12" t="s">
        <v>869</v>
      </c>
      <c r="BG141" s="12" t="s">
        <v>870</v>
      </c>
      <c r="BH141" s="12" t="s">
        <v>841</v>
      </c>
      <c r="BI141" s="12" t="s">
        <v>871</v>
      </c>
      <c r="BJ141" s="12" t="s">
        <v>841</v>
      </c>
      <c r="BK141" s="12" t="s">
        <v>841</v>
      </c>
      <c r="BL141" s="12" t="s">
        <v>872</v>
      </c>
      <c r="BM141" s="12" t="s">
        <v>873</v>
      </c>
      <c r="BN141" s="12" t="s">
        <v>866</v>
      </c>
      <c r="BO141" s="12" t="s">
        <v>874</v>
      </c>
      <c r="BP141" s="12" t="s">
        <v>875</v>
      </c>
      <c r="BQ141" s="12" t="s">
        <v>876</v>
      </c>
      <c r="BR141" s="12" t="s">
        <v>869</v>
      </c>
      <c r="BS141" s="12" t="s">
        <v>869</v>
      </c>
      <c r="BT141" s="12" t="s">
        <v>877</v>
      </c>
      <c r="BU141" s="12" t="s">
        <v>877</v>
      </c>
      <c r="BV141" s="12" t="s">
        <v>877</v>
      </c>
      <c r="BW141" s="12" t="s">
        <v>841</v>
      </c>
      <c r="BX141" s="12" t="s">
        <v>878</v>
      </c>
      <c r="BY141" s="12" t="s">
        <v>841</v>
      </c>
      <c r="BZ141" s="12" t="s">
        <v>841</v>
      </c>
      <c r="CA141" s="12" t="s">
        <v>841</v>
      </c>
      <c r="CB141" s="12" t="s">
        <v>841</v>
      </c>
      <c r="CC141" s="12" t="s">
        <v>4447</v>
      </c>
      <c r="CD141" s="12" t="s">
        <v>4448</v>
      </c>
      <c r="CE141" s="12" t="s">
        <v>4449</v>
      </c>
      <c r="CF141" s="12" t="s">
        <v>4450</v>
      </c>
      <c r="CG141" s="12" t="s">
        <v>4451</v>
      </c>
      <c r="CH141" s="12" t="s">
        <v>4452</v>
      </c>
      <c r="CI141" s="12" t="s">
        <v>4453</v>
      </c>
      <c r="CJ141" s="12" t="s">
        <v>4454</v>
      </c>
      <c r="CK141" s="12" t="s">
        <v>4436</v>
      </c>
      <c r="CL141" s="12" t="s">
        <v>933</v>
      </c>
      <c r="CM141" s="12" t="s">
        <v>888</v>
      </c>
      <c r="CN141" s="12" t="s">
        <v>841</v>
      </c>
      <c r="CO141" s="12" t="s">
        <v>847</v>
      </c>
      <c r="CP141" s="12" t="s">
        <v>889</v>
      </c>
      <c r="CQ141" s="12" t="s">
        <v>890</v>
      </c>
      <c r="CR141" s="12" t="s">
        <v>847</v>
      </c>
      <c r="CS141" s="12" t="s">
        <v>891</v>
      </c>
      <c r="CT141" s="12" t="s">
        <v>892</v>
      </c>
      <c r="CU141" s="12" t="s">
        <v>893</v>
      </c>
      <c r="CV141" s="12" t="s">
        <v>841</v>
      </c>
      <c r="CW141" s="12" t="s">
        <v>4435</v>
      </c>
      <c r="CX141" s="12" t="s">
        <v>894</v>
      </c>
      <c r="CY141" s="12" t="s">
        <v>895</v>
      </c>
      <c r="CZ141" s="12" t="s">
        <v>896</v>
      </c>
      <c r="DA141" s="12" t="s">
        <v>897</v>
      </c>
      <c r="DB141" s="12" t="s">
        <v>898</v>
      </c>
      <c r="DC141" s="12" t="s">
        <v>899</v>
      </c>
    </row>
    <row r="142">
      <c r="A142" s="12" t="s">
        <v>1058</v>
      </c>
      <c r="B142" s="12" t="s">
        <v>471</v>
      </c>
      <c r="C142" s="12" t="s">
        <v>366</v>
      </c>
      <c r="D142" s="12" t="s">
        <v>833</v>
      </c>
      <c r="E142" s="12" t="s">
        <v>834</v>
      </c>
      <c r="F142" s="12"/>
      <c r="G142" s="12" t="s">
        <v>350</v>
      </c>
      <c r="H142" s="12" t="s">
        <v>432</v>
      </c>
      <c r="I142" s="12"/>
      <c r="J142" s="43">
        <f t="shared" si="1"/>
        <v>0.05368711864</v>
      </c>
      <c r="K142" s="43">
        <f t="shared" si="2"/>
        <v>2.90981592</v>
      </c>
      <c r="L142" s="43">
        <f t="shared" si="3"/>
        <v>0.05271451741</v>
      </c>
      <c r="M142" s="43">
        <f t="shared" si="4"/>
        <v>1.639722636</v>
      </c>
      <c r="N142" s="12" t="s">
        <v>4455</v>
      </c>
      <c r="O142" s="12" t="s">
        <v>4456</v>
      </c>
      <c r="P142" s="43">
        <f t="shared" si="5"/>
        <v>3.982379327</v>
      </c>
      <c r="Q142" s="43">
        <f t="shared" si="6"/>
        <v>2.982725327</v>
      </c>
      <c r="R142" s="12" t="s">
        <v>4457</v>
      </c>
      <c r="S142" s="12" t="s">
        <v>4458</v>
      </c>
      <c r="T142" s="43">
        <f t="shared" si="7"/>
        <v>40.47956218</v>
      </c>
      <c r="U142" s="43">
        <f t="shared" si="8"/>
        <v>0.4417875</v>
      </c>
      <c r="V142" s="12" t="s">
        <v>839</v>
      </c>
      <c r="W142" s="12" t="s">
        <v>4459</v>
      </c>
      <c r="X142" s="12" t="s">
        <v>841</v>
      </c>
      <c r="Y142" s="12" t="s">
        <v>841</v>
      </c>
      <c r="Z142" s="12" t="s">
        <v>841</v>
      </c>
      <c r="AA142" s="12" t="s">
        <v>4460</v>
      </c>
      <c r="AB142" s="12" t="s">
        <v>4461</v>
      </c>
      <c r="AC142" s="12" t="s">
        <v>4462</v>
      </c>
      <c r="AD142" s="12" t="s">
        <v>845</v>
      </c>
      <c r="AE142" s="12" t="s">
        <v>846</v>
      </c>
      <c r="AF142" s="43">
        <f t="shared" si="9"/>
        <v>16.320672</v>
      </c>
      <c r="AG142" s="12" t="s">
        <v>847</v>
      </c>
      <c r="AH142" s="12" t="s">
        <v>4463</v>
      </c>
      <c r="AI142" s="12" t="s">
        <v>4464</v>
      </c>
      <c r="AJ142" s="12" t="s">
        <v>4465</v>
      </c>
      <c r="AK142" s="12" t="s">
        <v>3308</v>
      </c>
      <c r="AL142" s="43">
        <f t="shared" si="10"/>
        <v>28.83</v>
      </c>
      <c r="AM142" s="12" t="s">
        <v>4060</v>
      </c>
      <c r="AN142" s="12" t="s">
        <v>914</v>
      </c>
      <c r="AO142" s="12" t="s">
        <v>4417</v>
      </c>
      <c r="AP142" s="12" t="s">
        <v>2534</v>
      </c>
      <c r="AQ142" s="12" t="s">
        <v>4466</v>
      </c>
      <c r="AR142" s="12" t="s">
        <v>4467</v>
      </c>
      <c r="AS142" s="12" t="s">
        <v>4321</v>
      </c>
      <c r="AT142" s="12" t="s">
        <v>366</v>
      </c>
      <c r="AU142" s="12" t="s">
        <v>4322</v>
      </c>
      <c r="AV142" s="12" t="s">
        <v>832</v>
      </c>
      <c r="AW142" s="12" t="s">
        <v>2037</v>
      </c>
      <c r="AX142" s="12" t="s">
        <v>1513</v>
      </c>
      <c r="AY142" s="12" t="s">
        <v>4468</v>
      </c>
      <c r="AZ142" s="12" t="s">
        <v>4469</v>
      </c>
      <c r="BA142" s="12" t="s">
        <v>4470</v>
      </c>
      <c r="BB142" s="12" t="s">
        <v>4471</v>
      </c>
      <c r="BC142" s="12" t="s">
        <v>866</v>
      </c>
      <c r="BD142" s="12" t="s">
        <v>867</v>
      </c>
      <c r="BE142" s="12" t="s">
        <v>868</v>
      </c>
      <c r="BF142" s="12" t="s">
        <v>869</v>
      </c>
      <c r="BG142" s="12" t="s">
        <v>870</v>
      </c>
      <c r="BH142" s="12" t="s">
        <v>841</v>
      </c>
      <c r="BI142" s="12" t="s">
        <v>871</v>
      </c>
      <c r="BJ142" s="12" t="s">
        <v>841</v>
      </c>
      <c r="BK142" s="12" t="s">
        <v>841</v>
      </c>
      <c r="BL142" s="12" t="s">
        <v>872</v>
      </c>
      <c r="BM142" s="12" t="s">
        <v>873</v>
      </c>
      <c r="BN142" s="12" t="s">
        <v>866</v>
      </c>
      <c r="BO142" s="12" t="s">
        <v>874</v>
      </c>
      <c r="BP142" s="12" t="s">
        <v>875</v>
      </c>
      <c r="BQ142" s="12" t="s">
        <v>876</v>
      </c>
      <c r="BR142" s="12" t="s">
        <v>869</v>
      </c>
      <c r="BS142" s="12" t="s">
        <v>869</v>
      </c>
      <c r="BT142" s="12" t="s">
        <v>877</v>
      </c>
      <c r="BU142" s="12" t="s">
        <v>877</v>
      </c>
      <c r="BV142" s="12" t="s">
        <v>877</v>
      </c>
      <c r="BW142" s="12" t="s">
        <v>841</v>
      </c>
      <c r="BX142" s="12" t="s">
        <v>878</v>
      </c>
      <c r="BY142" s="12" t="s">
        <v>841</v>
      </c>
      <c r="BZ142" s="12" t="s">
        <v>841</v>
      </c>
      <c r="CA142" s="12" t="s">
        <v>841</v>
      </c>
      <c r="CB142" s="12" t="s">
        <v>841</v>
      </c>
      <c r="CC142" s="12" t="s">
        <v>4472</v>
      </c>
      <c r="CD142" s="12" t="s">
        <v>4473</v>
      </c>
      <c r="CE142" s="12" t="s">
        <v>4474</v>
      </c>
      <c r="CF142" s="12" t="s">
        <v>4475</v>
      </c>
      <c r="CG142" s="12" t="s">
        <v>4476</v>
      </c>
      <c r="CH142" s="12" t="s">
        <v>4477</v>
      </c>
      <c r="CI142" s="12" t="s">
        <v>4478</v>
      </c>
      <c r="CJ142" s="12" t="s">
        <v>4479</v>
      </c>
      <c r="CK142" s="12" t="s">
        <v>4460</v>
      </c>
      <c r="CL142" s="12" t="s">
        <v>1997</v>
      </c>
      <c r="CM142" s="12" t="s">
        <v>888</v>
      </c>
      <c r="CN142" s="12" t="s">
        <v>841</v>
      </c>
      <c r="CO142" s="12" t="s">
        <v>847</v>
      </c>
      <c r="CP142" s="12" t="s">
        <v>889</v>
      </c>
      <c r="CQ142" s="12" t="s">
        <v>890</v>
      </c>
      <c r="CR142" s="12" t="s">
        <v>847</v>
      </c>
      <c r="CS142" s="12" t="s">
        <v>891</v>
      </c>
      <c r="CT142" s="12" t="s">
        <v>892</v>
      </c>
      <c r="CU142" s="12" t="s">
        <v>893</v>
      </c>
      <c r="CV142" s="12" t="s">
        <v>841</v>
      </c>
      <c r="CW142" s="12" t="s">
        <v>4459</v>
      </c>
      <c r="CX142" s="12" t="s">
        <v>894</v>
      </c>
      <c r="CY142" s="12" t="s">
        <v>895</v>
      </c>
      <c r="CZ142" s="12" t="s">
        <v>896</v>
      </c>
      <c r="DA142" s="12" t="s">
        <v>897</v>
      </c>
      <c r="DB142" s="12" t="s">
        <v>898</v>
      </c>
      <c r="DC142" s="12" t="s">
        <v>899</v>
      </c>
    </row>
    <row r="143">
      <c r="A143" s="12" t="s">
        <v>1094</v>
      </c>
      <c r="B143" s="12" t="s">
        <v>473</v>
      </c>
      <c r="C143" s="12" t="s">
        <v>366</v>
      </c>
      <c r="D143" s="12" t="s">
        <v>833</v>
      </c>
      <c r="E143" s="12" t="s">
        <v>834</v>
      </c>
      <c r="F143" s="12"/>
      <c r="G143" s="12" t="s">
        <v>350</v>
      </c>
      <c r="H143" s="12" t="s">
        <v>432</v>
      </c>
      <c r="I143" s="12"/>
      <c r="J143" s="43">
        <f t="shared" si="1"/>
        <v>-0.0009030667901</v>
      </c>
      <c r="K143" s="43">
        <f t="shared" si="2"/>
        <v>2.909022</v>
      </c>
      <c r="L143" s="43">
        <f t="shared" si="3"/>
        <v>-0.0009033472222</v>
      </c>
      <c r="M143" s="43">
        <f t="shared" si="4"/>
        <v>-0.0291227129</v>
      </c>
      <c r="N143" s="12" t="s">
        <v>4480</v>
      </c>
      <c r="O143" s="12" t="s">
        <v>4481</v>
      </c>
      <c r="P143" s="43">
        <f t="shared" si="5"/>
        <v>3.968556323</v>
      </c>
      <c r="Q143" s="43">
        <f t="shared" si="6"/>
        <v>3.093547323</v>
      </c>
      <c r="R143" s="12" t="s">
        <v>4482</v>
      </c>
      <c r="S143" s="12" t="s">
        <v>4483</v>
      </c>
      <c r="T143" s="43">
        <f t="shared" si="7"/>
        <v>40.33905594</v>
      </c>
      <c r="U143" s="43">
        <f t="shared" si="8"/>
        <v>0.4417875</v>
      </c>
      <c r="V143" s="12" t="s">
        <v>839</v>
      </c>
      <c r="W143" s="12" t="s">
        <v>4484</v>
      </c>
      <c r="X143" s="12" t="s">
        <v>841</v>
      </c>
      <c r="Y143" s="12" t="s">
        <v>841</v>
      </c>
      <c r="Z143" s="12" t="s">
        <v>841</v>
      </c>
      <c r="AA143" s="12" t="s">
        <v>4485</v>
      </c>
      <c r="AB143" s="12" t="s">
        <v>4486</v>
      </c>
      <c r="AC143" s="12" t="s">
        <v>4487</v>
      </c>
      <c r="AD143" s="12" t="s">
        <v>845</v>
      </c>
      <c r="AE143" s="12" t="s">
        <v>846</v>
      </c>
      <c r="AF143" s="43">
        <f t="shared" si="9"/>
        <v>26.3950176</v>
      </c>
      <c r="AG143" s="12" t="s">
        <v>847</v>
      </c>
      <c r="AH143" s="12" t="s">
        <v>4488</v>
      </c>
      <c r="AI143" s="12" t="s">
        <v>4489</v>
      </c>
      <c r="AJ143" s="12" t="s">
        <v>4490</v>
      </c>
      <c r="AK143" s="12" t="s">
        <v>4491</v>
      </c>
      <c r="AL143" s="43">
        <f t="shared" si="10"/>
        <v>28.77</v>
      </c>
      <c r="AM143" s="12" t="s">
        <v>4060</v>
      </c>
      <c r="AN143" s="12" t="s">
        <v>1072</v>
      </c>
      <c r="AO143" s="12" t="s">
        <v>4492</v>
      </c>
      <c r="AP143" s="12" t="s">
        <v>4493</v>
      </c>
      <c r="AQ143" s="12" t="s">
        <v>432</v>
      </c>
      <c r="AR143" s="12" t="s">
        <v>4494</v>
      </c>
      <c r="AS143" s="12" t="s">
        <v>4321</v>
      </c>
      <c r="AT143" s="12" t="s">
        <v>366</v>
      </c>
      <c r="AU143" s="12" t="s">
        <v>4322</v>
      </c>
      <c r="AV143" s="12" t="s">
        <v>832</v>
      </c>
      <c r="AW143" s="12" t="s">
        <v>919</v>
      </c>
      <c r="AX143" s="12" t="s">
        <v>861</v>
      </c>
      <c r="AY143" s="12" t="s">
        <v>1457</v>
      </c>
      <c r="AZ143" s="12" t="s">
        <v>4495</v>
      </c>
      <c r="BA143" s="12" t="s">
        <v>4496</v>
      </c>
      <c r="BB143" s="12" t="s">
        <v>4497</v>
      </c>
      <c r="BC143" s="12" t="s">
        <v>866</v>
      </c>
      <c r="BD143" s="12" t="s">
        <v>867</v>
      </c>
      <c r="BE143" s="12" t="s">
        <v>868</v>
      </c>
      <c r="BF143" s="12" t="s">
        <v>869</v>
      </c>
      <c r="BG143" s="12" t="s">
        <v>870</v>
      </c>
      <c r="BH143" s="12" t="s">
        <v>841</v>
      </c>
      <c r="BI143" s="12" t="s">
        <v>871</v>
      </c>
      <c r="BJ143" s="12" t="s">
        <v>841</v>
      </c>
      <c r="BK143" s="12" t="s">
        <v>841</v>
      </c>
      <c r="BL143" s="12" t="s">
        <v>872</v>
      </c>
      <c r="BM143" s="12" t="s">
        <v>873</v>
      </c>
      <c r="BN143" s="12" t="s">
        <v>866</v>
      </c>
      <c r="BO143" s="12" t="s">
        <v>874</v>
      </c>
      <c r="BP143" s="12" t="s">
        <v>875</v>
      </c>
      <c r="BQ143" s="12" t="s">
        <v>876</v>
      </c>
      <c r="BR143" s="12" t="s">
        <v>869</v>
      </c>
      <c r="BS143" s="12" t="s">
        <v>869</v>
      </c>
      <c r="BT143" s="12" t="s">
        <v>877</v>
      </c>
      <c r="BU143" s="12" t="s">
        <v>877</v>
      </c>
      <c r="BV143" s="12" t="s">
        <v>877</v>
      </c>
      <c r="BW143" s="12" t="s">
        <v>841</v>
      </c>
      <c r="BX143" s="12" t="s">
        <v>878</v>
      </c>
      <c r="BY143" s="12" t="s">
        <v>841</v>
      </c>
      <c r="BZ143" s="12" t="s">
        <v>841</v>
      </c>
      <c r="CA143" s="12" t="s">
        <v>841</v>
      </c>
      <c r="CB143" s="12" t="s">
        <v>841</v>
      </c>
      <c r="CC143" s="12" t="s">
        <v>4498</v>
      </c>
      <c r="CD143" s="12" t="s">
        <v>4499</v>
      </c>
      <c r="CE143" s="12" t="s">
        <v>4500</v>
      </c>
      <c r="CF143" s="12" t="s">
        <v>4501</v>
      </c>
      <c r="CG143" s="12" t="s">
        <v>4502</v>
      </c>
      <c r="CH143" s="12" t="s">
        <v>4503</v>
      </c>
      <c r="CI143" s="12" t="s">
        <v>4504</v>
      </c>
      <c r="CJ143" s="12" t="s">
        <v>4505</v>
      </c>
      <c r="CK143" s="12" t="s">
        <v>4485</v>
      </c>
      <c r="CL143" s="12" t="s">
        <v>933</v>
      </c>
      <c r="CM143" s="12" t="s">
        <v>888</v>
      </c>
      <c r="CN143" s="12" t="s">
        <v>841</v>
      </c>
      <c r="CO143" s="12" t="s">
        <v>847</v>
      </c>
      <c r="CP143" s="12" t="s">
        <v>889</v>
      </c>
      <c r="CQ143" s="12" t="s">
        <v>890</v>
      </c>
      <c r="CR143" s="12" t="s">
        <v>847</v>
      </c>
      <c r="CS143" s="12" t="s">
        <v>891</v>
      </c>
      <c r="CT143" s="12" t="s">
        <v>892</v>
      </c>
      <c r="CU143" s="12" t="s">
        <v>893</v>
      </c>
      <c r="CV143" s="12" t="s">
        <v>841</v>
      </c>
      <c r="CW143" s="12" t="s">
        <v>4484</v>
      </c>
      <c r="CX143" s="12" t="s">
        <v>894</v>
      </c>
      <c r="CY143" s="12" t="s">
        <v>895</v>
      </c>
      <c r="CZ143" s="12" t="s">
        <v>896</v>
      </c>
      <c r="DA143" s="12" t="s">
        <v>897</v>
      </c>
      <c r="DB143" s="12" t="s">
        <v>898</v>
      </c>
      <c r="DC143" s="12" t="s">
        <v>899</v>
      </c>
    </row>
    <row r="144">
      <c r="A144" s="12" t="s">
        <v>1120</v>
      </c>
      <c r="B144" s="12" t="s">
        <v>475</v>
      </c>
      <c r="C144" s="12" t="s">
        <v>366</v>
      </c>
      <c r="D144" s="12" t="s">
        <v>833</v>
      </c>
      <c r="E144" s="12" t="s">
        <v>834</v>
      </c>
      <c r="F144" s="12"/>
      <c r="G144" s="12" t="s">
        <v>350</v>
      </c>
      <c r="H144" s="12" t="s">
        <v>432</v>
      </c>
      <c r="I144" s="12"/>
      <c r="J144" s="43">
        <f t="shared" si="1"/>
        <v>0.003174516693</v>
      </c>
      <c r="K144" s="43">
        <f t="shared" si="2"/>
        <v>2.90981592</v>
      </c>
      <c r="L144" s="43">
        <f t="shared" si="3"/>
        <v>0.003171057171</v>
      </c>
      <c r="M144" s="43">
        <f t="shared" si="4"/>
        <v>0.1122958422</v>
      </c>
      <c r="N144" s="12" t="s">
        <v>4506</v>
      </c>
      <c r="O144" s="12" t="s">
        <v>4507</v>
      </c>
      <c r="P144" s="43">
        <f t="shared" si="5"/>
        <v>4.287442842</v>
      </c>
      <c r="Q144" s="43">
        <f t="shared" si="6"/>
        <v>3.392852842</v>
      </c>
      <c r="R144" s="12" t="s">
        <v>4508</v>
      </c>
      <c r="S144" s="12" t="s">
        <v>4509</v>
      </c>
      <c r="T144" s="43">
        <f t="shared" si="7"/>
        <v>43.5715736</v>
      </c>
      <c r="U144" s="43">
        <f t="shared" si="8"/>
        <v>0.4417875</v>
      </c>
      <c r="V144" s="12" t="s">
        <v>839</v>
      </c>
      <c r="W144" s="12" t="s">
        <v>4510</v>
      </c>
      <c r="X144" s="12" t="s">
        <v>841</v>
      </c>
      <c r="Y144" s="12" t="s">
        <v>841</v>
      </c>
      <c r="Z144" s="12" t="s">
        <v>841</v>
      </c>
      <c r="AA144" s="12" t="s">
        <v>4511</v>
      </c>
      <c r="AB144" s="12" t="s">
        <v>4512</v>
      </c>
      <c r="AC144" s="12" t="s">
        <v>4513</v>
      </c>
      <c r="AD144" s="12" t="s">
        <v>845</v>
      </c>
      <c r="AE144" s="12" t="s">
        <v>846</v>
      </c>
      <c r="AF144" s="43">
        <f t="shared" si="9"/>
        <v>8.8592988</v>
      </c>
      <c r="AG144" s="12" t="s">
        <v>847</v>
      </c>
      <c r="AH144" s="12" t="s">
        <v>4514</v>
      </c>
      <c r="AI144" s="12" t="s">
        <v>4515</v>
      </c>
      <c r="AJ144" s="12" t="s">
        <v>4516</v>
      </c>
      <c r="AK144" s="12" t="s">
        <v>4517</v>
      </c>
      <c r="AL144" s="43">
        <f t="shared" si="10"/>
        <v>30.11</v>
      </c>
      <c r="AM144" s="12" t="s">
        <v>4518</v>
      </c>
      <c r="AN144" s="12" t="s">
        <v>914</v>
      </c>
      <c r="AO144" s="12" t="s">
        <v>4519</v>
      </c>
      <c r="AP144" s="12" t="s">
        <v>4520</v>
      </c>
      <c r="AQ144" s="12" t="s">
        <v>2129</v>
      </c>
      <c r="AR144" s="12" t="s">
        <v>4521</v>
      </c>
      <c r="AS144" s="12" t="s">
        <v>4321</v>
      </c>
      <c r="AT144" s="12" t="s">
        <v>366</v>
      </c>
      <c r="AU144" s="12" t="s">
        <v>4322</v>
      </c>
      <c r="AV144" s="12" t="s">
        <v>832</v>
      </c>
      <c r="AW144" s="12" t="s">
        <v>919</v>
      </c>
      <c r="AX144" s="12" t="s">
        <v>861</v>
      </c>
      <c r="AY144" s="12" t="s">
        <v>1164</v>
      </c>
      <c r="AZ144" s="12" t="s">
        <v>4522</v>
      </c>
      <c r="BA144" s="12" t="s">
        <v>4523</v>
      </c>
      <c r="BB144" s="12" t="s">
        <v>4524</v>
      </c>
      <c r="BC144" s="12" t="s">
        <v>866</v>
      </c>
      <c r="BD144" s="12" t="s">
        <v>867</v>
      </c>
      <c r="BE144" s="12" t="s">
        <v>868</v>
      </c>
      <c r="BF144" s="12" t="s">
        <v>869</v>
      </c>
      <c r="BG144" s="12" t="s">
        <v>870</v>
      </c>
      <c r="BH144" s="12" t="s">
        <v>841</v>
      </c>
      <c r="BI144" s="12" t="s">
        <v>871</v>
      </c>
      <c r="BJ144" s="12" t="s">
        <v>841</v>
      </c>
      <c r="BK144" s="12" t="s">
        <v>841</v>
      </c>
      <c r="BL144" s="12" t="s">
        <v>872</v>
      </c>
      <c r="BM144" s="12" t="s">
        <v>873</v>
      </c>
      <c r="BN144" s="12" t="s">
        <v>866</v>
      </c>
      <c r="BO144" s="12" t="s">
        <v>874</v>
      </c>
      <c r="BP144" s="12" t="s">
        <v>875</v>
      </c>
      <c r="BQ144" s="12" t="s">
        <v>876</v>
      </c>
      <c r="BR144" s="12" t="s">
        <v>869</v>
      </c>
      <c r="BS144" s="12" t="s">
        <v>869</v>
      </c>
      <c r="BT144" s="12" t="s">
        <v>877</v>
      </c>
      <c r="BU144" s="12" t="s">
        <v>877</v>
      </c>
      <c r="BV144" s="12" t="s">
        <v>877</v>
      </c>
      <c r="BW144" s="12" t="s">
        <v>841</v>
      </c>
      <c r="BX144" s="12" t="s">
        <v>878</v>
      </c>
      <c r="BY144" s="12" t="s">
        <v>841</v>
      </c>
      <c r="BZ144" s="12" t="s">
        <v>841</v>
      </c>
      <c r="CA144" s="12" t="s">
        <v>841</v>
      </c>
      <c r="CB144" s="12" t="s">
        <v>841</v>
      </c>
      <c r="CC144" s="12" t="s">
        <v>4525</v>
      </c>
      <c r="CD144" s="12" t="s">
        <v>4526</v>
      </c>
      <c r="CE144" s="12" t="s">
        <v>4527</v>
      </c>
      <c r="CF144" s="12" t="s">
        <v>4528</v>
      </c>
      <c r="CG144" s="12" t="s">
        <v>4529</v>
      </c>
      <c r="CH144" s="12" t="s">
        <v>4530</v>
      </c>
      <c r="CI144" s="12" t="s">
        <v>4531</v>
      </c>
      <c r="CJ144" s="12" t="s">
        <v>4532</v>
      </c>
      <c r="CK144" s="12" t="s">
        <v>4511</v>
      </c>
      <c r="CL144" s="12" t="s">
        <v>1997</v>
      </c>
      <c r="CM144" s="12" t="s">
        <v>888</v>
      </c>
      <c r="CN144" s="12" t="s">
        <v>841</v>
      </c>
      <c r="CO144" s="12" t="s">
        <v>847</v>
      </c>
      <c r="CP144" s="12" t="s">
        <v>889</v>
      </c>
      <c r="CQ144" s="12" t="s">
        <v>890</v>
      </c>
      <c r="CR144" s="12" t="s">
        <v>847</v>
      </c>
      <c r="CS144" s="12" t="s">
        <v>891</v>
      </c>
      <c r="CT144" s="12" t="s">
        <v>892</v>
      </c>
      <c r="CU144" s="12" t="s">
        <v>893</v>
      </c>
      <c r="CV144" s="12" t="s">
        <v>841</v>
      </c>
      <c r="CW144" s="12" t="s">
        <v>4510</v>
      </c>
      <c r="CX144" s="12" t="s">
        <v>894</v>
      </c>
      <c r="CY144" s="12" t="s">
        <v>895</v>
      </c>
      <c r="CZ144" s="12" t="s">
        <v>896</v>
      </c>
      <c r="DA144" s="12" t="s">
        <v>897</v>
      </c>
      <c r="DB144" s="12" t="s">
        <v>898</v>
      </c>
      <c r="DC144" s="12" t="s">
        <v>899</v>
      </c>
    </row>
    <row r="145">
      <c r="A145" s="12" t="s">
        <v>832</v>
      </c>
      <c r="B145" s="12" t="s">
        <v>477</v>
      </c>
      <c r="C145" s="12" t="s">
        <v>366</v>
      </c>
      <c r="D145" s="12" t="s">
        <v>833</v>
      </c>
      <c r="E145" s="12" t="s">
        <v>834</v>
      </c>
      <c r="F145" s="12"/>
      <c r="G145" s="12" t="s">
        <v>114</v>
      </c>
      <c r="H145" s="12" t="s">
        <v>463</v>
      </c>
      <c r="I145" s="12"/>
      <c r="J145" s="43">
        <f t="shared" si="1"/>
        <v>-0.0839136846</v>
      </c>
      <c r="K145" s="43">
        <f t="shared" si="2"/>
        <v>2.909022</v>
      </c>
      <c r="L145" s="43">
        <f t="shared" si="3"/>
        <v>-0.08640615769</v>
      </c>
      <c r="M145" s="43">
        <f t="shared" si="4"/>
        <v>-5.24101414</v>
      </c>
      <c r="N145" s="12" t="s">
        <v>4533</v>
      </c>
      <c r="O145" s="12" t="s">
        <v>4534</v>
      </c>
      <c r="P145" s="43">
        <f t="shared" si="5"/>
        <v>6.617695985</v>
      </c>
      <c r="Q145" s="43">
        <f t="shared" si="6"/>
        <v>5.724320985</v>
      </c>
      <c r="R145" s="12" t="s">
        <v>4535</v>
      </c>
      <c r="S145" s="12" t="s">
        <v>4536</v>
      </c>
      <c r="T145" s="43">
        <f t="shared" si="7"/>
        <v>67.43805141</v>
      </c>
      <c r="U145" s="43">
        <f t="shared" si="8"/>
        <v>0.4417875</v>
      </c>
      <c r="V145" s="12" t="s">
        <v>839</v>
      </c>
      <c r="W145" s="12" t="s">
        <v>4537</v>
      </c>
      <c r="X145" s="12" t="s">
        <v>841</v>
      </c>
      <c r="Y145" s="12" t="s">
        <v>841</v>
      </c>
      <c r="Z145" s="12" t="s">
        <v>841</v>
      </c>
      <c r="AA145" s="12" t="s">
        <v>4538</v>
      </c>
      <c r="AB145" s="12" t="s">
        <v>4539</v>
      </c>
      <c r="AC145" s="12" t="s">
        <v>4540</v>
      </c>
      <c r="AD145" s="12" t="s">
        <v>845</v>
      </c>
      <c r="AE145" s="12" t="s">
        <v>846</v>
      </c>
      <c r="AF145" s="43">
        <f t="shared" si="9"/>
        <v>40.7137668</v>
      </c>
      <c r="AG145" s="12" t="s">
        <v>847</v>
      </c>
      <c r="AH145" s="12" t="s">
        <v>4541</v>
      </c>
      <c r="AI145" s="12" t="s">
        <v>4542</v>
      </c>
      <c r="AJ145" s="12" t="s">
        <v>4543</v>
      </c>
      <c r="AK145" s="12" t="s">
        <v>4544</v>
      </c>
      <c r="AL145" s="43">
        <f t="shared" si="10"/>
        <v>37.89</v>
      </c>
      <c r="AM145" s="12" t="s">
        <v>1042</v>
      </c>
      <c r="AN145" s="12" t="s">
        <v>1072</v>
      </c>
      <c r="AO145" s="12" t="s">
        <v>4545</v>
      </c>
      <c r="AP145" s="12" t="s">
        <v>4546</v>
      </c>
      <c r="AQ145" s="12" t="s">
        <v>4547</v>
      </c>
      <c r="AR145" s="12" t="s">
        <v>4548</v>
      </c>
      <c r="AS145" s="12" t="s">
        <v>4549</v>
      </c>
      <c r="AT145" s="12" t="s">
        <v>366</v>
      </c>
      <c r="AU145" s="12" t="s">
        <v>4550</v>
      </c>
      <c r="AV145" s="12" t="s">
        <v>832</v>
      </c>
      <c r="AW145" s="12" t="s">
        <v>1342</v>
      </c>
      <c r="AX145" s="12" t="s">
        <v>1598</v>
      </c>
      <c r="AY145" s="12" t="s">
        <v>921</v>
      </c>
      <c r="AZ145" s="12" t="s">
        <v>4551</v>
      </c>
      <c r="BA145" s="12" t="s">
        <v>4552</v>
      </c>
      <c r="BB145" s="12" t="s">
        <v>4553</v>
      </c>
      <c r="BC145" s="12" t="s">
        <v>866</v>
      </c>
      <c r="BD145" s="12" t="s">
        <v>867</v>
      </c>
      <c r="BE145" s="12" t="s">
        <v>868</v>
      </c>
      <c r="BF145" s="12" t="s">
        <v>869</v>
      </c>
      <c r="BG145" s="12" t="s">
        <v>870</v>
      </c>
      <c r="BH145" s="12" t="s">
        <v>841</v>
      </c>
      <c r="BI145" s="12" t="s">
        <v>871</v>
      </c>
      <c r="BJ145" s="12" t="s">
        <v>841</v>
      </c>
      <c r="BK145" s="12" t="s">
        <v>841</v>
      </c>
      <c r="BL145" s="12" t="s">
        <v>872</v>
      </c>
      <c r="BM145" s="12" t="s">
        <v>873</v>
      </c>
      <c r="BN145" s="12" t="s">
        <v>866</v>
      </c>
      <c r="BO145" s="12" t="s">
        <v>874</v>
      </c>
      <c r="BP145" s="12" t="s">
        <v>875</v>
      </c>
      <c r="BQ145" s="12" t="s">
        <v>876</v>
      </c>
      <c r="BR145" s="12" t="s">
        <v>869</v>
      </c>
      <c r="BS145" s="12" t="s">
        <v>869</v>
      </c>
      <c r="BT145" s="12" t="s">
        <v>877</v>
      </c>
      <c r="BU145" s="12" t="s">
        <v>877</v>
      </c>
      <c r="BV145" s="12" t="s">
        <v>877</v>
      </c>
      <c r="BW145" s="12" t="s">
        <v>841</v>
      </c>
      <c r="BX145" s="12" t="s">
        <v>878</v>
      </c>
      <c r="BY145" s="12" t="s">
        <v>841</v>
      </c>
      <c r="BZ145" s="12" t="s">
        <v>841</v>
      </c>
      <c r="CA145" s="12" t="s">
        <v>841</v>
      </c>
      <c r="CB145" s="12" t="s">
        <v>841</v>
      </c>
      <c r="CC145" s="12" t="s">
        <v>4554</v>
      </c>
      <c r="CD145" s="12" t="s">
        <v>4555</v>
      </c>
      <c r="CE145" s="12" t="s">
        <v>4556</v>
      </c>
      <c r="CF145" s="12" t="s">
        <v>4557</v>
      </c>
      <c r="CG145" s="12" t="s">
        <v>4558</v>
      </c>
      <c r="CH145" s="12" t="s">
        <v>4559</v>
      </c>
      <c r="CI145" s="12" t="s">
        <v>4560</v>
      </c>
      <c r="CJ145" s="12" t="s">
        <v>4561</v>
      </c>
      <c r="CK145" s="12" t="s">
        <v>4562</v>
      </c>
      <c r="CL145" s="12" t="s">
        <v>1997</v>
      </c>
      <c r="CM145" s="12" t="s">
        <v>888</v>
      </c>
      <c r="CN145" s="12" t="s">
        <v>841</v>
      </c>
      <c r="CO145" s="12" t="s">
        <v>847</v>
      </c>
      <c r="CP145" s="12" t="s">
        <v>889</v>
      </c>
      <c r="CQ145" s="12" t="s">
        <v>890</v>
      </c>
      <c r="CR145" s="12" t="s">
        <v>847</v>
      </c>
      <c r="CS145" s="12" t="s">
        <v>891</v>
      </c>
      <c r="CT145" s="12" t="s">
        <v>892</v>
      </c>
      <c r="CU145" s="12" t="s">
        <v>893</v>
      </c>
      <c r="CV145" s="12" t="s">
        <v>841</v>
      </c>
      <c r="CW145" s="12" t="s">
        <v>4537</v>
      </c>
      <c r="CX145" s="12" t="s">
        <v>894</v>
      </c>
      <c r="CY145" s="12" t="s">
        <v>895</v>
      </c>
      <c r="CZ145" s="12" t="s">
        <v>896</v>
      </c>
      <c r="DA145" s="12" t="s">
        <v>897</v>
      </c>
      <c r="DB145" s="12" t="s">
        <v>898</v>
      </c>
      <c r="DC145" s="12" t="s">
        <v>899</v>
      </c>
    </row>
    <row r="146">
      <c r="A146" s="12" t="s">
        <v>900</v>
      </c>
      <c r="B146" s="12" t="s">
        <v>479</v>
      </c>
      <c r="C146" s="12" t="s">
        <v>366</v>
      </c>
      <c r="D146" s="12" t="s">
        <v>833</v>
      </c>
      <c r="E146" s="12" t="s">
        <v>834</v>
      </c>
      <c r="F146" s="12"/>
      <c r="G146" s="12" t="s">
        <v>114</v>
      </c>
      <c r="H146" s="12" t="s">
        <v>463</v>
      </c>
      <c r="I146" s="12"/>
      <c r="J146" s="43">
        <f t="shared" si="1"/>
        <v>-0.05562897861</v>
      </c>
      <c r="K146" s="43">
        <f t="shared" si="2"/>
        <v>2.909022</v>
      </c>
      <c r="L146" s="43">
        <f t="shared" si="3"/>
        <v>-0.05671350614</v>
      </c>
      <c r="M146" s="43">
        <f t="shared" si="4"/>
        <v>-3.030720893</v>
      </c>
      <c r="N146" s="12" t="s">
        <v>4563</v>
      </c>
      <c r="O146" s="12" t="s">
        <v>4564</v>
      </c>
      <c r="P146" s="43">
        <f t="shared" si="5"/>
        <v>6.05463891</v>
      </c>
      <c r="Q146" s="43">
        <f t="shared" si="6"/>
        <v>5.05603491</v>
      </c>
      <c r="R146" s="12" t="s">
        <v>4565</v>
      </c>
      <c r="S146" s="12" t="s">
        <v>4566</v>
      </c>
      <c r="T146" s="43">
        <f t="shared" si="7"/>
        <v>61.69389556</v>
      </c>
      <c r="U146" s="43">
        <f t="shared" si="8"/>
        <v>0.4417875</v>
      </c>
      <c r="V146" s="12" t="s">
        <v>839</v>
      </c>
      <c r="W146" s="12" t="s">
        <v>4567</v>
      </c>
      <c r="X146" s="12" t="s">
        <v>841</v>
      </c>
      <c r="Y146" s="12" t="s">
        <v>841</v>
      </c>
      <c r="Z146" s="12" t="s">
        <v>841</v>
      </c>
      <c r="AA146" s="12" t="s">
        <v>4568</v>
      </c>
      <c r="AB146" s="12" t="s">
        <v>4569</v>
      </c>
      <c r="AC146" s="12" t="s">
        <v>4570</v>
      </c>
      <c r="AD146" s="12" t="s">
        <v>845</v>
      </c>
      <c r="AE146" s="12" t="s">
        <v>846</v>
      </c>
      <c r="AF146" s="43">
        <f t="shared" si="9"/>
        <v>38.3590404</v>
      </c>
      <c r="AG146" s="12" t="s">
        <v>847</v>
      </c>
      <c r="AH146" s="12" t="s">
        <v>4571</v>
      </c>
      <c r="AI146" s="12" t="s">
        <v>4572</v>
      </c>
      <c r="AJ146" s="12" t="s">
        <v>4573</v>
      </c>
      <c r="AK146" s="12" t="s">
        <v>4574</v>
      </c>
      <c r="AL146" s="43">
        <f t="shared" si="10"/>
        <v>36.26</v>
      </c>
      <c r="AM146" s="12" t="s">
        <v>1071</v>
      </c>
      <c r="AN146" s="12" t="s">
        <v>1072</v>
      </c>
      <c r="AO146" s="12" t="s">
        <v>4575</v>
      </c>
      <c r="AP146" s="12" t="s">
        <v>4576</v>
      </c>
      <c r="AQ146" s="12" t="s">
        <v>4577</v>
      </c>
      <c r="AR146" s="12" t="s">
        <v>4578</v>
      </c>
      <c r="AS146" s="12" t="s">
        <v>4549</v>
      </c>
      <c r="AT146" s="12" t="s">
        <v>366</v>
      </c>
      <c r="AU146" s="12" t="s">
        <v>4550</v>
      </c>
      <c r="AV146" s="12" t="s">
        <v>832</v>
      </c>
      <c r="AW146" s="12" t="s">
        <v>1342</v>
      </c>
      <c r="AX146" s="12" t="s">
        <v>868</v>
      </c>
      <c r="AY146" s="12" t="s">
        <v>868</v>
      </c>
      <c r="AZ146" s="12" t="s">
        <v>4579</v>
      </c>
      <c r="BA146" s="12" t="s">
        <v>868</v>
      </c>
      <c r="BB146" s="12" t="s">
        <v>868</v>
      </c>
      <c r="BC146" s="12" t="s">
        <v>866</v>
      </c>
      <c r="BD146" s="12" t="s">
        <v>867</v>
      </c>
      <c r="BE146" s="12" t="s">
        <v>868</v>
      </c>
      <c r="BF146" s="12" t="s">
        <v>869</v>
      </c>
      <c r="BG146" s="12" t="s">
        <v>870</v>
      </c>
      <c r="BH146" s="12" t="s">
        <v>841</v>
      </c>
      <c r="BI146" s="12" t="s">
        <v>871</v>
      </c>
      <c r="BJ146" s="12" t="s">
        <v>841</v>
      </c>
      <c r="BK146" s="12" t="s">
        <v>841</v>
      </c>
      <c r="BL146" s="12" t="s">
        <v>872</v>
      </c>
      <c r="BM146" s="12" t="s">
        <v>873</v>
      </c>
      <c r="BN146" s="12" t="s">
        <v>866</v>
      </c>
      <c r="BO146" s="12" t="s">
        <v>874</v>
      </c>
      <c r="BP146" s="12" t="s">
        <v>875</v>
      </c>
      <c r="BQ146" s="12" t="s">
        <v>876</v>
      </c>
      <c r="BR146" s="12" t="s">
        <v>869</v>
      </c>
      <c r="BS146" s="12" t="s">
        <v>869</v>
      </c>
      <c r="BT146" s="12" t="s">
        <v>877</v>
      </c>
      <c r="BU146" s="12" t="s">
        <v>877</v>
      </c>
      <c r="BV146" s="12" t="s">
        <v>877</v>
      </c>
      <c r="BW146" s="12" t="s">
        <v>841</v>
      </c>
      <c r="BX146" s="12" t="s">
        <v>878</v>
      </c>
      <c r="BY146" s="12" t="s">
        <v>841</v>
      </c>
      <c r="BZ146" s="12" t="s">
        <v>841</v>
      </c>
      <c r="CA146" s="12" t="s">
        <v>841</v>
      </c>
      <c r="CB146" s="12" t="s">
        <v>841</v>
      </c>
      <c r="CC146" s="12" t="s">
        <v>4580</v>
      </c>
      <c r="CD146" s="12" t="s">
        <v>4581</v>
      </c>
      <c r="CE146" s="12" t="s">
        <v>4582</v>
      </c>
      <c r="CF146" s="12" t="s">
        <v>4583</v>
      </c>
      <c r="CG146" s="12" t="s">
        <v>4584</v>
      </c>
      <c r="CH146" s="12" t="s">
        <v>4585</v>
      </c>
      <c r="CI146" s="12" t="s">
        <v>4586</v>
      </c>
      <c r="CJ146" s="12" t="s">
        <v>4587</v>
      </c>
      <c r="CK146" s="12" t="s">
        <v>4568</v>
      </c>
      <c r="CL146" s="12" t="s">
        <v>3136</v>
      </c>
      <c r="CM146" s="12" t="s">
        <v>888</v>
      </c>
      <c r="CN146" s="12" t="s">
        <v>841</v>
      </c>
      <c r="CO146" s="12" t="s">
        <v>847</v>
      </c>
      <c r="CP146" s="12" t="s">
        <v>889</v>
      </c>
      <c r="CQ146" s="12" t="s">
        <v>890</v>
      </c>
      <c r="CR146" s="12" t="s">
        <v>847</v>
      </c>
      <c r="CS146" s="12" t="s">
        <v>891</v>
      </c>
      <c r="CT146" s="12" t="s">
        <v>892</v>
      </c>
      <c r="CU146" s="12" t="s">
        <v>893</v>
      </c>
      <c r="CV146" s="12" t="s">
        <v>841</v>
      </c>
      <c r="CW146" s="12" t="s">
        <v>4567</v>
      </c>
      <c r="CX146" s="12" t="s">
        <v>894</v>
      </c>
      <c r="CY146" s="12" t="s">
        <v>895</v>
      </c>
      <c r="CZ146" s="12" t="s">
        <v>896</v>
      </c>
      <c r="DA146" s="12" t="s">
        <v>897</v>
      </c>
      <c r="DB146" s="12" t="s">
        <v>898</v>
      </c>
      <c r="DC146" s="12" t="s">
        <v>899</v>
      </c>
    </row>
    <row r="147">
      <c r="A147" s="12" t="s">
        <v>934</v>
      </c>
      <c r="B147" s="12" t="s">
        <v>480</v>
      </c>
      <c r="C147" s="12" t="s">
        <v>366</v>
      </c>
      <c r="D147" s="12" t="s">
        <v>833</v>
      </c>
      <c r="E147" s="12" t="s">
        <v>834</v>
      </c>
      <c r="F147" s="12"/>
      <c r="G147" s="12" t="s">
        <v>114</v>
      </c>
      <c r="H147" s="12" t="s">
        <v>463</v>
      </c>
      <c r="I147" s="12"/>
      <c r="J147" s="43">
        <f t="shared" si="1"/>
        <v>-0.03320882275</v>
      </c>
      <c r="K147" s="43">
        <f t="shared" si="2"/>
        <v>2.909022</v>
      </c>
      <c r="L147" s="43">
        <f t="shared" si="3"/>
        <v>-0.03359230591</v>
      </c>
      <c r="M147" s="43">
        <f t="shared" si="4"/>
        <v>-1.616626283</v>
      </c>
      <c r="N147" s="12" t="s">
        <v>4588</v>
      </c>
      <c r="O147" s="12" t="s">
        <v>4589</v>
      </c>
      <c r="P147" s="43">
        <f t="shared" si="5"/>
        <v>5.469466767</v>
      </c>
      <c r="Q147" s="43">
        <f t="shared" si="6"/>
        <v>4.570190767</v>
      </c>
      <c r="R147" s="12" t="s">
        <v>4590</v>
      </c>
      <c r="S147" s="12" t="s">
        <v>4591</v>
      </c>
      <c r="T147" s="43">
        <f t="shared" si="7"/>
        <v>55.7255911</v>
      </c>
      <c r="U147" s="43">
        <f t="shared" si="8"/>
        <v>0.4417875</v>
      </c>
      <c r="V147" s="12" t="s">
        <v>839</v>
      </c>
      <c r="W147" s="12" t="s">
        <v>4592</v>
      </c>
      <c r="X147" s="12" t="s">
        <v>841</v>
      </c>
      <c r="Y147" s="12" t="s">
        <v>841</v>
      </c>
      <c r="Z147" s="12" t="s">
        <v>841</v>
      </c>
      <c r="AA147" s="12" t="s">
        <v>4593</v>
      </c>
      <c r="AB147" s="12" t="s">
        <v>4594</v>
      </c>
      <c r="AC147" s="12" t="s">
        <v>4595</v>
      </c>
      <c r="AD147" s="12" t="s">
        <v>845</v>
      </c>
      <c r="AE147" s="12" t="s">
        <v>846</v>
      </c>
      <c r="AF147" s="43">
        <f t="shared" si="9"/>
        <v>76.17792</v>
      </c>
      <c r="AG147" s="12" t="s">
        <v>847</v>
      </c>
      <c r="AH147" s="12" t="s">
        <v>4596</v>
      </c>
      <c r="AI147" s="12" t="s">
        <v>4597</v>
      </c>
      <c r="AJ147" s="12" t="s">
        <v>4189</v>
      </c>
      <c r="AK147" s="12" t="s">
        <v>1592</v>
      </c>
      <c r="AL147" s="43">
        <f t="shared" si="10"/>
        <v>34.42</v>
      </c>
      <c r="AM147" s="12" t="s">
        <v>2410</v>
      </c>
      <c r="AN147" s="12" t="s">
        <v>1072</v>
      </c>
      <c r="AO147" s="12" t="s">
        <v>2246</v>
      </c>
      <c r="AP147" s="12" t="s">
        <v>4294</v>
      </c>
      <c r="AQ147" s="12" t="s">
        <v>4598</v>
      </c>
      <c r="AR147" s="12" t="s">
        <v>4599</v>
      </c>
      <c r="AS147" s="12" t="s">
        <v>4600</v>
      </c>
      <c r="AT147" s="12" t="s">
        <v>366</v>
      </c>
      <c r="AU147" s="12" t="s">
        <v>4601</v>
      </c>
      <c r="AV147" s="12" t="s">
        <v>832</v>
      </c>
      <c r="AW147" s="12" t="s">
        <v>1286</v>
      </c>
      <c r="AX147" s="12" t="s">
        <v>1286</v>
      </c>
      <c r="AY147" s="12" t="s">
        <v>1226</v>
      </c>
      <c r="AZ147" s="12" t="s">
        <v>4602</v>
      </c>
      <c r="BA147" s="12" t="s">
        <v>4603</v>
      </c>
      <c r="BB147" s="12" t="s">
        <v>4604</v>
      </c>
      <c r="BC147" s="12" t="s">
        <v>866</v>
      </c>
      <c r="BD147" s="12" t="s">
        <v>867</v>
      </c>
      <c r="BE147" s="12" t="s">
        <v>868</v>
      </c>
      <c r="BF147" s="12" t="s">
        <v>869</v>
      </c>
      <c r="BG147" s="12" t="s">
        <v>870</v>
      </c>
      <c r="BH147" s="12" t="s">
        <v>841</v>
      </c>
      <c r="BI147" s="12" t="s">
        <v>871</v>
      </c>
      <c r="BJ147" s="12" t="s">
        <v>841</v>
      </c>
      <c r="BK147" s="12" t="s">
        <v>841</v>
      </c>
      <c r="BL147" s="12" t="s">
        <v>872</v>
      </c>
      <c r="BM147" s="12" t="s">
        <v>873</v>
      </c>
      <c r="BN147" s="12" t="s">
        <v>866</v>
      </c>
      <c r="BO147" s="12" t="s">
        <v>874</v>
      </c>
      <c r="BP147" s="12" t="s">
        <v>875</v>
      </c>
      <c r="BQ147" s="12" t="s">
        <v>876</v>
      </c>
      <c r="BR147" s="12" t="s">
        <v>869</v>
      </c>
      <c r="BS147" s="12" t="s">
        <v>869</v>
      </c>
      <c r="BT147" s="12" t="s">
        <v>877</v>
      </c>
      <c r="BU147" s="12" t="s">
        <v>877</v>
      </c>
      <c r="BV147" s="12" t="s">
        <v>877</v>
      </c>
      <c r="BW147" s="12" t="s">
        <v>841</v>
      </c>
      <c r="BX147" s="12" t="s">
        <v>878</v>
      </c>
      <c r="BY147" s="12" t="s">
        <v>841</v>
      </c>
      <c r="BZ147" s="12" t="s">
        <v>841</v>
      </c>
      <c r="CA147" s="12" t="s">
        <v>841</v>
      </c>
      <c r="CB147" s="12" t="s">
        <v>841</v>
      </c>
      <c r="CC147" s="12" t="s">
        <v>4605</v>
      </c>
      <c r="CD147" s="12" t="s">
        <v>4606</v>
      </c>
      <c r="CE147" s="12" t="s">
        <v>4607</v>
      </c>
      <c r="CF147" s="12" t="s">
        <v>4608</v>
      </c>
      <c r="CG147" s="12" t="s">
        <v>4609</v>
      </c>
      <c r="CH147" s="12" t="s">
        <v>4610</v>
      </c>
      <c r="CI147" s="12" t="s">
        <v>4611</v>
      </c>
      <c r="CJ147" s="12" t="s">
        <v>4612</v>
      </c>
      <c r="CK147" s="12" t="s">
        <v>4593</v>
      </c>
      <c r="CL147" s="12" t="s">
        <v>1299</v>
      </c>
      <c r="CM147" s="12" t="s">
        <v>888</v>
      </c>
      <c r="CN147" s="12" t="s">
        <v>841</v>
      </c>
      <c r="CO147" s="12" t="s">
        <v>847</v>
      </c>
      <c r="CP147" s="12" t="s">
        <v>889</v>
      </c>
      <c r="CQ147" s="12" t="s">
        <v>890</v>
      </c>
      <c r="CR147" s="12" t="s">
        <v>847</v>
      </c>
      <c r="CS147" s="12" t="s">
        <v>891</v>
      </c>
      <c r="CT147" s="12" t="s">
        <v>892</v>
      </c>
      <c r="CU147" s="12" t="s">
        <v>893</v>
      </c>
      <c r="CV147" s="12" t="s">
        <v>841</v>
      </c>
      <c r="CW147" s="12" t="s">
        <v>4592</v>
      </c>
      <c r="CX147" s="12" t="s">
        <v>894</v>
      </c>
      <c r="CY147" s="12" t="s">
        <v>895</v>
      </c>
      <c r="CZ147" s="12" t="s">
        <v>896</v>
      </c>
      <c r="DA147" s="12" t="s">
        <v>897</v>
      </c>
      <c r="DB147" s="12" t="s">
        <v>898</v>
      </c>
      <c r="DC147" s="12" t="s">
        <v>899</v>
      </c>
    </row>
    <row r="148">
      <c r="A148" s="12" t="s">
        <v>968</v>
      </c>
      <c r="B148" s="12" t="s">
        <v>481</v>
      </c>
      <c r="C148" s="12" t="s">
        <v>366</v>
      </c>
      <c r="D148" s="12" t="s">
        <v>833</v>
      </c>
      <c r="E148" s="12" t="s">
        <v>834</v>
      </c>
      <c r="F148" s="12"/>
      <c r="G148" s="12" t="s">
        <v>114</v>
      </c>
      <c r="H148" s="12" t="s">
        <v>466</v>
      </c>
      <c r="I148" s="12"/>
      <c r="J148" s="43">
        <f t="shared" si="1"/>
        <v>-0.04465931009</v>
      </c>
      <c r="K148" s="43">
        <f t="shared" si="2"/>
        <v>2.91139968</v>
      </c>
      <c r="L148" s="43">
        <f t="shared" si="3"/>
        <v>-0.04535503196</v>
      </c>
      <c r="M148" s="43">
        <f t="shared" si="4"/>
        <v>-1.896195648</v>
      </c>
      <c r="N148" s="12" t="s">
        <v>4613</v>
      </c>
      <c r="O148" s="12" t="s">
        <v>4614</v>
      </c>
      <c r="P148" s="43">
        <f t="shared" si="5"/>
        <v>4.856766728</v>
      </c>
      <c r="Q148" s="43">
        <f t="shared" si="6"/>
        <v>3.983223728</v>
      </c>
      <c r="R148" s="12" t="s">
        <v>4615</v>
      </c>
      <c r="S148" s="12" t="s">
        <v>4616</v>
      </c>
      <c r="T148" s="43">
        <f t="shared" si="7"/>
        <v>49.48814681</v>
      </c>
      <c r="U148" s="43">
        <f t="shared" si="8"/>
        <v>0.4417875</v>
      </c>
      <c r="V148" s="12" t="s">
        <v>839</v>
      </c>
      <c r="W148" s="12" t="s">
        <v>4617</v>
      </c>
      <c r="X148" s="12" t="s">
        <v>841</v>
      </c>
      <c r="Y148" s="12" t="s">
        <v>841</v>
      </c>
      <c r="Z148" s="12" t="s">
        <v>841</v>
      </c>
      <c r="AA148" s="12" t="s">
        <v>4618</v>
      </c>
      <c r="AB148" s="12" t="s">
        <v>4619</v>
      </c>
      <c r="AC148" s="12" t="s">
        <v>4620</v>
      </c>
      <c r="AD148" s="12" t="s">
        <v>845</v>
      </c>
      <c r="AE148" s="12" t="s">
        <v>846</v>
      </c>
      <c r="AF148" s="43">
        <f t="shared" si="9"/>
        <v>14.3884716</v>
      </c>
      <c r="AG148" s="12" t="s">
        <v>847</v>
      </c>
      <c r="AH148" s="12" t="s">
        <v>4621</v>
      </c>
      <c r="AI148" s="12" t="s">
        <v>4622</v>
      </c>
      <c r="AJ148" s="12" t="s">
        <v>3063</v>
      </c>
      <c r="AK148" s="12" t="s">
        <v>4214</v>
      </c>
      <c r="AL148" s="43">
        <f t="shared" si="10"/>
        <v>32.3</v>
      </c>
      <c r="AM148" s="12" t="s">
        <v>1071</v>
      </c>
      <c r="AN148" s="12" t="s">
        <v>1337</v>
      </c>
      <c r="AO148" s="12" t="s">
        <v>4623</v>
      </c>
      <c r="AP148" s="12" t="s">
        <v>4624</v>
      </c>
      <c r="AQ148" s="12" t="s">
        <v>4625</v>
      </c>
      <c r="AR148" s="12" t="s">
        <v>4599</v>
      </c>
      <c r="AS148" s="12" t="s">
        <v>4600</v>
      </c>
      <c r="AT148" s="12" t="s">
        <v>366</v>
      </c>
      <c r="AU148" s="12" t="s">
        <v>4601</v>
      </c>
      <c r="AV148" s="12" t="s">
        <v>832</v>
      </c>
      <c r="AW148" s="12" t="s">
        <v>1286</v>
      </c>
      <c r="AX148" s="12" t="s">
        <v>860</v>
      </c>
      <c r="AY148" s="12" t="s">
        <v>4626</v>
      </c>
      <c r="AZ148" s="12" t="s">
        <v>4627</v>
      </c>
      <c r="BA148" s="12" t="s">
        <v>4628</v>
      </c>
      <c r="BB148" s="12" t="s">
        <v>4629</v>
      </c>
      <c r="BC148" s="12" t="s">
        <v>866</v>
      </c>
      <c r="BD148" s="12" t="s">
        <v>867</v>
      </c>
      <c r="BE148" s="12" t="s">
        <v>868</v>
      </c>
      <c r="BF148" s="12" t="s">
        <v>869</v>
      </c>
      <c r="BG148" s="12" t="s">
        <v>870</v>
      </c>
      <c r="BH148" s="12" t="s">
        <v>841</v>
      </c>
      <c r="BI148" s="12" t="s">
        <v>871</v>
      </c>
      <c r="BJ148" s="12" t="s">
        <v>841</v>
      </c>
      <c r="BK148" s="12" t="s">
        <v>841</v>
      </c>
      <c r="BL148" s="12" t="s">
        <v>872</v>
      </c>
      <c r="BM148" s="12" t="s">
        <v>873</v>
      </c>
      <c r="BN148" s="12" t="s">
        <v>866</v>
      </c>
      <c r="BO148" s="12" t="s">
        <v>874</v>
      </c>
      <c r="BP148" s="12" t="s">
        <v>875</v>
      </c>
      <c r="BQ148" s="12" t="s">
        <v>876</v>
      </c>
      <c r="BR148" s="12" t="s">
        <v>869</v>
      </c>
      <c r="BS148" s="12" t="s">
        <v>869</v>
      </c>
      <c r="BT148" s="12" t="s">
        <v>877</v>
      </c>
      <c r="BU148" s="12" t="s">
        <v>877</v>
      </c>
      <c r="BV148" s="12" t="s">
        <v>877</v>
      </c>
      <c r="BW148" s="12" t="s">
        <v>841</v>
      </c>
      <c r="BX148" s="12" t="s">
        <v>878</v>
      </c>
      <c r="BY148" s="12" t="s">
        <v>841</v>
      </c>
      <c r="BZ148" s="12" t="s">
        <v>841</v>
      </c>
      <c r="CA148" s="12" t="s">
        <v>841</v>
      </c>
      <c r="CB148" s="12" t="s">
        <v>841</v>
      </c>
      <c r="CC148" s="12" t="s">
        <v>4630</v>
      </c>
      <c r="CD148" s="12" t="s">
        <v>4631</v>
      </c>
      <c r="CE148" s="12" t="s">
        <v>4632</v>
      </c>
      <c r="CF148" s="12" t="s">
        <v>4633</v>
      </c>
      <c r="CG148" s="12" t="s">
        <v>4634</v>
      </c>
      <c r="CH148" s="12" t="s">
        <v>4635</v>
      </c>
      <c r="CI148" s="12" t="s">
        <v>4636</v>
      </c>
      <c r="CJ148" s="12" t="s">
        <v>4637</v>
      </c>
      <c r="CK148" s="12" t="s">
        <v>4638</v>
      </c>
      <c r="CL148" s="12" t="s">
        <v>1093</v>
      </c>
      <c r="CM148" s="12" t="s">
        <v>888</v>
      </c>
      <c r="CN148" s="12" t="s">
        <v>841</v>
      </c>
      <c r="CO148" s="12" t="s">
        <v>847</v>
      </c>
      <c r="CP148" s="12" t="s">
        <v>889</v>
      </c>
      <c r="CQ148" s="12" t="s">
        <v>890</v>
      </c>
      <c r="CR148" s="12" t="s">
        <v>847</v>
      </c>
      <c r="CS148" s="12" t="s">
        <v>891</v>
      </c>
      <c r="CT148" s="12" t="s">
        <v>892</v>
      </c>
      <c r="CU148" s="12" t="s">
        <v>893</v>
      </c>
      <c r="CV148" s="12" t="s">
        <v>841</v>
      </c>
      <c r="CW148" s="12" t="s">
        <v>4617</v>
      </c>
      <c r="CX148" s="12" t="s">
        <v>894</v>
      </c>
      <c r="CY148" s="12" t="s">
        <v>895</v>
      </c>
      <c r="CZ148" s="12" t="s">
        <v>896</v>
      </c>
      <c r="DA148" s="12" t="s">
        <v>897</v>
      </c>
      <c r="DB148" s="12" t="s">
        <v>898</v>
      </c>
      <c r="DC148" s="12" t="s">
        <v>899</v>
      </c>
    </row>
    <row r="149">
      <c r="A149" s="12" t="s">
        <v>997</v>
      </c>
      <c r="B149" s="12" t="s">
        <v>484</v>
      </c>
      <c r="C149" s="12" t="s">
        <v>366</v>
      </c>
      <c r="D149" s="12" t="s">
        <v>833</v>
      </c>
      <c r="E149" s="12" t="s">
        <v>834</v>
      </c>
      <c r="F149" s="12"/>
      <c r="G149" s="12" t="s">
        <v>114</v>
      </c>
      <c r="H149" s="12" t="s">
        <v>466</v>
      </c>
      <c r="I149" s="12"/>
      <c r="J149" s="43">
        <f t="shared" si="1"/>
        <v>-0.01292966378</v>
      </c>
      <c r="K149" s="43">
        <f t="shared" si="2"/>
        <v>2.90981592</v>
      </c>
      <c r="L149" s="43">
        <f t="shared" si="3"/>
        <v>-0.01298737271</v>
      </c>
      <c r="M149" s="43">
        <f t="shared" si="4"/>
        <v>-0.5308089185</v>
      </c>
      <c r="N149" s="12" t="s">
        <v>4639</v>
      </c>
      <c r="O149" s="12" t="s">
        <v>4640</v>
      </c>
      <c r="P149" s="43">
        <f t="shared" si="5"/>
        <v>4.884263492</v>
      </c>
      <c r="Q149" s="43">
        <f t="shared" si="6"/>
        <v>3.891006492</v>
      </c>
      <c r="R149" s="12" t="s">
        <v>4641</v>
      </c>
      <c r="S149" s="12" t="s">
        <v>4642</v>
      </c>
      <c r="T149" s="43">
        <f t="shared" si="7"/>
        <v>49.76832578</v>
      </c>
      <c r="U149" s="43">
        <f t="shared" si="8"/>
        <v>0.4417875</v>
      </c>
      <c r="V149" s="12" t="s">
        <v>839</v>
      </c>
      <c r="W149" s="12" t="s">
        <v>4643</v>
      </c>
      <c r="X149" s="12" t="s">
        <v>841</v>
      </c>
      <c r="Y149" s="12" t="s">
        <v>841</v>
      </c>
      <c r="Z149" s="12" t="s">
        <v>841</v>
      </c>
      <c r="AA149" s="12" t="s">
        <v>4644</v>
      </c>
      <c r="AB149" s="12" t="s">
        <v>4645</v>
      </c>
      <c r="AC149" s="12" t="s">
        <v>4646</v>
      </c>
      <c r="AD149" s="12" t="s">
        <v>845</v>
      </c>
      <c r="AE149" s="12" t="s">
        <v>846</v>
      </c>
      <c r="AF149" s="43">
        <f t="shared" si="9"/>
        <v>14.5719832</v>
      </c>
      <c r="AG149" s="12" t="s">
        <v>847</v>
      </c>
      <c r="AH149" s="12" t="s">
        <v>4647</v>
      </c>
      <c r="AI149" s="12" t="s">
        <v>4648</v>
      </c>
      <c r="AJ149" s="12" t="s">
        <v>4649</v>
      </c>
      <c r="AK149" s="12" t="s">
        <v>4111</v>
      </c>
      <c r="AL149" s="43">
        <f t="shared" si="10"/>
        <v>32.4</v>
      </c>
      <c r="AM149" s="12" t="s">
        <v>1071</v>
      </c>
      <c r="AN149" s="12" t="s">
        <v>914</v>
      </c>
      <c r="AO149" s="12" t="s">
        <v>4650</v>
      </c>
      <c r="AP149" s="12" t="s">
        <v>4651</v>
      </c>
      <c r="AQ149" s="12" t="s">
        <v>4652</v>
      </c>
      <c r="AR149" s="12" t="s">
        <v>4653</v>
      </c>
      <c r="AS149" s="12" t="s">
        <v>4600</v>
      </c>
      <c r="AT149" s="12" t="s">
        <v>366</v>
      </c>
      <c r="AU149" s="12" t="s">
        <v>4601</v>
      </c>
      <c r="AV149" s="12" t="s">
        <v>832</v>
      </c>
      <c r="AW149" s="12" t="s">
        <v>1226</v>
      </c>
      <c r="AX149" s="12" t="s">
        <v>1342</v>
      </c>
      <c r="AY149" s="12" t="s">
        <v>860</v>
      </c>
      <c r="AZ149" s="12" t="s">
        <v>4654</v>
      </c>
      <c r="BA149" s="12" t="s">
        <v>4655</v>
      </c>
      <c r="BB149" s="12" t="s">
        <v>4656</v>
      </c>
      <c r="BC149" s="12" t="s">
        <v>866</v>
      </c>
      <c r="BD149" s="12" t="s">
        <v>867</v>
      </c>
      <c r="BE149" s="12" t="s">
        <v>868</v>
      </c>
      <c r="BF149" s="12" t="s">
        <v>869</v>
      </c>
      <c r="BG149" s="12" t="s">
        <v>870</v>
      </c>
      <c r="BH149" s="12" t="s">
        <v>841</v>
      </c>
      <c r="BI149" s="12" t="s">
        <v>871</v>
      </c>
      <c r="BJ149" s="12" t="s">
        <v>841</v>
      </c>
      <c r="BK149" s="12" t="s">
        <v>841</v>
      </c>
      <c r="BL149" s="12" t="s">
        <v>872</v>
      </c>
      <c r="BM149" s="12" t="s">
        <v>873</v>
      </c>
      <c r="BN149" s="12" t="s">
        <v>866</v>
      </c>
      <c r="BO149" s="12" t="s">
        <v>874</v>
      </c>
      <c r="BP149" s="12" t="s">
        <v>875</v>
      </c>
      <c r="BQ149" s="12" t="s">
        <v>876</v>
      </c>
      <c r="BR149" s="12" t="s">
        <v>869</v>
      </c>
      <c r="BS149" s="12" t="s">
        <v>869</v>
      </c>
      <c r="BT149" s="12" t="s">
        <v>877</v>
      </c>
      <c r="BU149" s="12" t="s">
        <v>877</v>
      </c>
      <c r="BV149" s="12" t="s">
        <v>877</v>
      </c>
      <c r="BW149" s="12" t="s">
        <v>841</v>
      </c>
      <c r="BX149" s="12" t="s">
        <v>878</v>
      </c>
      <c r="BY149" s="12" t="s">
        <v>841</v>
      </c>
      <c r="BZ149" s="12" t="s">
        <v>841</v>
      </c>
      <c r="CA149" s="12" t="s">
        <v>841</v>
      </c>
      <c r="CB149" s="12" t="s">
        <v>841</v>
      </c>
      <c r="CC149" s="12" t="s">
        <v>4657</v>
      </c>
      <c r="CD149" s="12" t="s">
        <v>4658</v>
      </c>
      <c r="CE149" s="12" t="s">
        <v>4659</v>
      </c>
      <c r="CF149" s="12" t="s">
        <v>4660</v>
      </c>
      <c r="CG149" s="12" t="s">
        <v>4661</v>
      </c>
      <c r="CH149" s="12" t="s">
        <v>4662</v>
      </c>
      <c r="CI149" s="12" t="s">
        <v>4663</v>
      </c>
      <c r="CJ149" s="12" t="s">
        <v>4664</v>
      </c>
      <c r="CK149" s="12" t="s">
        <v>4644</v>
      </c>
      <c r="CL149" s="12" t="s">
        <v>1299</v>
      </c>
      <c r="CM149" s="12" t="s">
        <v>888</v>
      </c>
      <c r="CN149" s="12" t="s">
        <v>841</v>
      </c>
      <c r="CO149" s="12" t="s">
        <v>847</v>
      </c>
      <c r="CP149" s="12" t="s">
        <v>889</v>
      </c>
      <c r="CQ149" s="12" t="s">
        <v>890</v>
      </c>
      <c r="CR149" s="12" t="s">
        <v>847</v>
      </c>
      <c r="CS149" s="12" t="s">
        <v>891</v>
      </c>
      <c r="CT149" s="12" t="s">
        <v>892</v>
      </c>
      <c r="CU149" s="12" t="s">
        <v>893</v>
      </c>
      <c r="CV149" s="12" t="s">
        <v>841</v>
      </c>
      <c r="CW149" s="12" t="s">
        <v>4643</v>
      </c>
      <c r="CX149" s="12" t="s">
        <v>894</v>
      </c>
      <c r="CY149" s="12" t="s">
        <v>895</v>
      </c>
      <c r="CZ149" s="12" t="s">
        <v>896</v>
      </c>
      <c r="DA149" s="12" t="s">
        <v>897</v>
      </c>
      <c r="DB149" s="12" t="s">
        <v>898</v>
      </c>
      <c r="DC149" s="12" t="s">
        <v>899</v>
      </c>
    </row>
    <row r="150">
      <c r="A150" s="12" t="s">
        <v>1029</v>
      </c>
      <c r="B150" s="12" t="s">
        <v>485</v>
      </c>
      <c r="C150" s="12" t="s">
        <v>366</v>
      </c>
      <c r="D150" s="12" t="s">
        <v>833</v>
      </c>
      <c r="E150" s="12" t="s">
        <v>834</v>
      </c>
      <c r="F150" s="12"/>
      <c r="G150" s="12" t="s">
        <v>114</v>
      </c>
      <c r="H150" s="12" t="s">
        <v>466</v>
      </c>
      <c r="I150" s="12"/>
      <c r="J150" s="43">
        <f t="shared" si="1"/>
        <v>0.04091921202</v>
      </c>
      <c r="K150" s="43">
        <f t="shared" si="2"/>
        <v>2.909022</v>
      </c>
      <c r="L150" s="43">
        <f t="shared" si="3"/>
        <v>0.04035161362</v>
      </c>
      <c r="M150" s="43">
        <f t="shared" si="4"/>
        <v>1.650455281</v>
      </c>
      <c r="N150" s="12" t="s">
        <v>4665</v>
      </c>
      <c r="O150" s="12" t="s">
        <v>4666</v>
      </c>
      <c r="P150" s="43">
        <f t="shared" si="5"/>
        <v>5.032270161</v>
      </c>
      <c r="Q150" s="43">
        <f t="shared" si="6"/>
        <v>3.887351161</v>
      </c>
      <c r="R150" s="12" t="s">
        <v>4667</v>
      </c>
      <c r="S150" s="12" t="s">
        <v>4668</v>
      </c>
      <c r="T150" s="43">
        <f t="shared" si="7"/>
        <v>51.28166882</v>
      </c>
      <c r="U150" s="43">
        <f t="shared" si="8"/>
        <v>0.4417875</v>
      </c>
      <c r="V150" s="12" t="s">
        <v>839</v>
      </c>
      <c r="W150" s="12" t="s">
        <v>4669</v>
      </c>
      <c r="X150" s="12" t="s">
        <v>841</v>
      </c>
      <c r="Y150" s="12" t="s">
        <v>841</v>
      </c>
      <c r="Z150" s="12" t="s">
        <v>841</v>
      </c>
      <c r="AA150" s="12" t="s">
        <v>4670</v>
      </c>
      <c r="AB150" s="12" t="s">
        <v>4671</v>
      </c>
      <c r="AC150" s="12" t="s">
        <v>4672</v>
      </c>
      <c r="AD150" s="12" t="s">
        <v>845</v>
      </c>
      <c r="AE150" s="12" t="s">
        <v>846</v>
      </c>
      <c r="AF150" s="43">
        <f t="shared" si="9"/>
        <v>14.8887648</v>
      </c>
      <c r="AG150" s="12" t="s">
        <v>847</v>
      </c>
      <c r="AH150" s="12" t="s">
        <v>4673</v>
      </c>
      <c r="AI150" s="12" t="s">
        <v>1424</v>
      </c>
      <c r="AJ150" s="12" t="s">
        <v>4674</v>
      </c>
      <c r="AK150" s="12" t="s">
        <v>4675</v>
      </c>
      <c r="AL150" s="43">
        <f t="shared" si="10"/>
        <v>32.93</v>
      </c>
      <c r="AM150" s="12" t="s">
        <v>1042</v>
      </c>
      <c r="AN150" s="12" t="s">
        <v>1072</v>
      </c>
      <c r="AO150" s="12" t="s">
        <v>1984</v>
      </c>
      <c r="AP150" s="12" t="s">
        <v>4676</v>
      </c>
      <c r="AQ150" s="12" t="s">
        <v>4677</v>
      </c>
      <c r="AR150" s="12" t="s">
        <v>4678</v>
      </c>
      <c r="AS150" s="12" t="s">
        <v>4600</v>
      </c>
      <c r="AT150" s="12" t="s">
        <v>366</v>
      </c>
      <c r="AU150" s="12" t="s">
        <v>4601</v>
      </c>
      <c r="AV150" s="12" t="s">
        <v>832</v>
      </c>
      <c r="AW150" s="12" t="s">
        <v>1226</v>
      </c>
      <c r="AX150" s="12" t="s">
        <v>868</v>
      </c>
      <c r="AY150" s="12" t="s">
        <v>868</v>
      </c>
      <c r="AZ150" s="12" t="s">
        <v>4679</v>
      </c>
      <c r="BA150" s="12" t="s">
        <v>868</v>
      </c>
      <c r="BB150" s="12" t="s">
        <v>868</v>
      </c>
      <c r="BC150" s="12" t="s">
        <v>866</v>
      </c>
      <c r="BD150" s="12" t="s">
        <v>867</v>
      </c>
      <c r="BE150" s="12" t="s">
        <v>868</v>
      </c>
      <c r="BF150" s="12" t="s">
        <v>869</v>
      </c>
      <c r="BG150" s="12" t="s">
        <v>870</v>
      </c>
      <c r="BH150" s="12" t="s">
        <v>841</v>
      </c>
      <c r="BI150" s="12" t="s">
        <v>871</v>
      </c>
      <c r="BJ150" s="12" t="s">
        <v>841</v>
      </c>
      <c r="BK150" s="12" t="s">
        <v>841</v>
      </c>
      <c r="BL150" s="12" t="s">
        <v>872</v>
      </c>
      <c r="BM150" s="12" t="s">
        <v>873</v>
      </c>
      <c r="BN150" s="12" t="s">
        <v>866</v>
      </c>
      <c r="BO150" s="12" t="s">
        <v>874</v>
      </c>
      <c r="BP150" s="12" t="s">
        <v>875</v>
      </c>
      <c r="BQ150" s="12" t="s">
        <v>876</v>
      </c>
      <c r="BR150" s="12" t="s">
        <v>869</v>
      </c>
      <c r="BS150" s="12" t="s">
        <v>869</v>
      </c>
      <c r="BT150" s="12" t="s">
        <v>877</v>
      </c>
      <c r="BU150" s="12" t="s">
        <v>877</v>
      </c>
      <c r="BV150" s="12" t="s">
        <v>877</v>
      </c>
      <c r="BW150" s="12" t="s">
        <v>841</v>
      </c>
      <c r="BX150" s="12" t="s">
        <v>878</v>
      </c>
      <c r="BY150" s="12" t="s">
        <v>841</v>
      </c>
      <c r="BZ150" s="12" t="s">
        <v>841</v>
      </c>
      <c r="CA150" s="12" t="s">
        <v>841</v>
      </c>
      <c r="CB150" s="12" t="s">
        <v>841</v>
      </c>
      <c r="CC150" s="12" t="s">
        <v>4680</v>
      </c>
      <c r="CD150" s="12" t="s">
        <v>4681</v>
      </c>
      <c r="CE150" s="12" t="s">
        <v>4682</v>
      </c>
      <c r="CF150" s="12" t="s">
        <v>4683</v>
      </c>
      <c r="CG150" s="12" t="s">
        <v>4684</v>
      </c>
      <c r="CH150" s="12" t="s">
        <v>4685</v>
      </c>
      <c r="CI150" s="12" t="s">
        <v>4686</v>
      </c>
      <c r="CJ150" s="12" t="s">
        <v>4687</v>
      </c>
      <c r="CK150" s="12" t="s">
        <v>4670</v>
      </c>
      <c r="CL150" s="12" t="s">
        <v>1496</v>
      </c>
      <c r="CM150" s="12" t="s">
        <v>888</v>
      </c>
      <c r="CN150" s="12" t="s">
        <v>841</v>
      </c>
      <c r="CO150" s="12" t="s">
        <v>847</v>
      </c>
      <c r="CP150" s="12" t="s">
        <v>889</v>
      </c>
      <c r="CQ150" s="12" t="s">
        <v>890</v>
      </c>
      <c r="CR150" s="12" t="s">
        <v>847</v>
      </c>
      <c r="CS150" s="12" t="s">
        <v>891</v>
      </c>
      <c r="CT150" s="12" t="s">
        <v>892</v>
      </c>
      <c r="CU150" s="12" t="s">
        <v>893</v>
      </c>
      <c r="CV150" s="12" t="s">
        <v>841</v>
      </c>
      <c r="CW150" s="12" t="s">
        <v>4669</v>
      </c>
      <c r="CX150" s="12" t="s">
        <v>894</v>
      </c>
      <c r="CY150" s="12" t="s">
        <v>895</v>
      </c>
      <c r="CZ150" s="12" t="s">
        <v>896</v>
      </c>
      <c r="DA150" s="12" t="s">
        <v>897</v>
      </c>
      <c r="DB150" s="12" t="s">
        <v>898</v>
      </c>
      <c r="DC150" s="12" t="s">
        <v>899</v>
      </c>
    </row>
    <row r="151">
      <c r="A151" s="12" t="s">
        <v>1058</v>
      </c>
      <c r="B151" s="12" t="s">
        <v>487</v>
      </c>
      <c r="C151" s="12" t="s">
        <v>366</v>
      </c>
      <c r="D151" s="12" t="s">
        <v>833</v>
      </c>
      <c r="E151" s="12" t="s">
        <v>834</v>
      </c>
      <c r="F151" s="12"/>
      <c r="G151" s="12" t="s">
        <v>114</v>
      </c>
      <c r="H151" s="12" t="s">
        <v>470</v>
      </c>
      <c r="I151" s="12"/>
      <c r="J151" s="43">
        <f t="shared" si="1"/>
        <v>0.007234246329</v>
      </c>
      <c r="K151" s="43">
        <f t="shared" si="2"/>
        <v>2.90981592</v>
      </c>
      <c r="L151" s="43">
        <f t="shared" si="3"/>
        <v>0.007216305492</v>
      </c>
      <c r="M151" s="43">
        <f t="shared" si="4"/>
        <v>0.4004988897</v>
      </c>
      <c r="N151" s="12" t="s">
        <v>4688</v>
      </c>
      <c r="O151" s="12" t="s">
        <v>4689</v>
      </c>
      <c r="P151" s="43">
        <f t="shared" si="5"/>
        <v>6.342832608</v>
      </c>
      <c r="Q151" s="43">
        <f t="shared" si="6"/>
        <v>5.240097608</v>
      </c>
      <c r="R151" s="12" t="s">
        <v>4690</v>
      </c>
      <c r="S151" s="12" t="s">
        <v>4691</v>
      </c>
      <c r="T151" s="43">
        <f t="shared" si="7"/>
        <v>64.6304525</v>
      </c>
      <c r="U151" s="43">
        <f t="shared" si="8"/>
        <v>0.4417875</v>
      </c>
      <c r="V151" s="12" t="s">
        <v>839</v>
      </c>
      <c r="W151" s="12" t="s">
        <v>4692</v>
      </c>
      <c r="X151" s="12" t="s">
        <v>841</v>
      </c>
      <c r="Y151" s="12" t="s">
        <v>841</v>
      </c>
      <c r="Z151" s="12" t="s">
        <v>841</v>
      </c>
      <c r="AA151" s="12" t="s">
        <v>4693</v>
      </c>
      <c r="AB151" s="12" t="s">
        <v>4694</v>
      </c>
      <c r="AC151" s="12" t="s">
        <v>4695</v>
      </c>
      <c r="AD151" s="12" t="s">
        <v>845</v>
      </c>
      <c r="AE151" s="12" t="s">
        <v>846</v>
      </c>
      <c r="AF151" s="43">
        <f t="shared" si="9"/>
        <v>48.6161344</v>
      </c>
      <c r="AG151" s="12" t="s">
        <v>847</v>
      </c>
      <c r="AH151" s="12" t="s">
        <v>4696</v>
      </c>
      <c r="AI151" s="12" t="s">
        <v>4697</v>
      </c>
      <c r="AJ151" s="12" t="s">
        <v>4698</v>
      </c>
      <c r="AK151" s="12" t="s">
        <v>1537</v>
      </c>
      <c r="AL151" s="43">
        <f t="shared" si="10"/>
        <v>37.11</v>
      </c>
      <c r="AM151" s="12" t="s">
        <v>1071</v>
      </c>
      <c r="AN151" s="12" t="s">
        <v>914</v>
      </c>
      <c r="AO151" s="12" t="s">
        <v>4699</v>
      </c>
      <c r="AP151" s="12" t="s">
        <v>4700</v>
      </c>
      <c r="AQ151" s="12" t="s">
        <v>4701</v>
      </c>
      <c r="AR151" s="12" t="s">
        <v>4678</v>
      </c>
      <c r="AS151" s="12" t="s">
        <v>4600</v>
      </c>
      <c r="AT151" s="12" t="s">
        <v>366</v>
      </c>
      <c r="AU151" s="12" t="s">
        <v>4601</v>
      </c>
      <c r="AV151" s="12" t="s">
        <v>832</v>
      </c>
      <c r="AW151" s="12" t="s">
        <v>1226</v>
      </c>
      <c r="AX151" s="12" t="s">
        <v>1164</v>
      </c>
      <c r="AY151" s="12" t="s">
        <v>1372</v>
      </c>
      <c r="AZ151" s="12" t="s">
        <v>4702</v>
      </c>
      <c r="BA151" s="12" t="s">
        <v>4703</v>
      </c>
      <c r="BB151" s="12" t="s">
        <v>4704</v>
      </c>
      <c r="BC151" s="12" t="s">
        <v>866</v>
      </c>
      <c r="BD151" s="12" t="s">
        <v>867</v>
      </c>
      <c r="BE151" s="12" t="s">
        <v>868</v>
      </c>
      <c r="BF151" s="12" t="s">
        <v>869</v>
      </c>
      <c r="BG151" s="12" t="s">
        <v>870</v>
      </c>
      <c r="BH151" s="12" t="s">
        <v>841</v>
      </c>
      <c r="BI151" s="12" t="s">
        <v>871</v>
      </c>
      <c r="BJ151" s="12" t="s">
        <v>841</v>
      </c>
      <c r="BK151" s="12" t="s">
        <v>841</v>
      </c>
      <c r="BL151" s="12" t="s">
        <v>872</v>
      </c>
      <c r="BM151" s="12" t="s">
        <v>873</v>
      </c>
      <c r="BN151" s="12" t="s">
        <v>866</v>
      </c>
      <c r="BO151" s="12" t="s">
        <v>874</v>
      </c>
      <c r="BP151" s="12" t="s">
        <v>875</v>
      </c>
      <c r="BQ151" s="12" t="s">
        <v>876</v>
      </c>
      <c r="BR151" s="12" t="s">
        <v>869</v>
      </c>
      <c r="BS151" s="12" t="s">
        <v>869</v>
      </c>
      <c r="BT151" s="12" t="s">
        <v>877</v>
      </c>
      <c r="BU151" s="12" t="s">
        <v>877</v>
      </c>
      <c r="BV151" s="12" t="s">
        <v>877</v>
      </c>
      <c r="BW151" s="12" t="s">
        <v>841</v>
      </c>
      <c r="BX151" s="12" t="s">
        <v>878</v>
      </c>
      <c r="BY151" s="12" t="s">
        <v>841</v>
      </c>
      <c r="BZ151" s="12" t="s">
        <v>841</v>
      </c>
      <c r="CA151" s="12" t="s">
        <v>841</v>
      </c>
      <c r="CB151" s="12" t="s">
        <v>841</v>
      </c>
      <c r="CC151" s="12" t="s">
        <v>4705</v>
      </c>
      <c r="CD151" s="12" t="s">
        <v>4706</v>
      </c>
      <c r="CE151" s="12" t="s">
        <v>4707</v>
      </c>
      <c r="CF151" s="12" t="s">
        <v>4708</v>
      </c>
      <c r="CG151" s="12" t="s">
        <v>4709</v>
      </c>
      <c r="CH151" s="12" t="s">
        <v>4710</v>
      </c>
      <c r="CI151" s="12" t="s">
        <v>4711</v>
      </c>
      <c r="CJ151" s="12" t="s">
        <v>4712</v>
      </c>
      <c r="CK151" s="12" t="s">
        <v>4693</v>
      </c>
      <c r="CL151" s="12" t="s">
        <v>1324</v>
      </c>
      <c r="CM151" s="12" t="s">
        <v>888</v>
      </c>
      <c r="CN151" s="12" t="s">
        <v>841</v>
      </c>
      <c r="CO151" s="12" t="s">
        <v>847</v>
      </c>
      <c r="CP151" s="12" t="s">
        <v>889</v>
      </c>
      <c r="CQ151" s="12" t="s">
        <v>890</v>
      </c>
      <c r="CR151" s="12" t="s">
        <v>847</v>
      </c>
      <c r="CS151" s="12" t="s">
        <v>891</v>
      </c>
      <c r="CT151" s="12" t="s">
        <v>892</v>
      </c>
      <c r="CU151" s="12" t="s">
        <v>893</v>
      </c>
      <c r="CV151" s="12" t="s">
        <v>841</v>
      </c>
      <c r="CW151" s="12" t="s">
        <v>4692</v>
      </c>
      <c r="CX151" s="12" t="s">
        <v>894</v>
      </c>
      <c r="CY151" s="12" t="s">
        <v>895</v>
      </c>
      <c r="CZ151" s="12" t="s">
        <v>896</v>
      </c>
      <c r="DA151" s="12" t="s">
        <v>897</v>
      </c>
      <c r="DB151" s="12" t="s">
        <v>898</v>
      </c>
      <c r="DC151" s="12" t="s">
        <v>899</v>
      </c>
    </row>
    <row r="152">
      <c r="A152" s="12" t="s">
        <v>1094</v>
      </c>
      <c r="B152" s="12" t="s">
        <v>491</v>
      </c>
      <c r="C152" s="12" t="s">
        <v>366</v>
      </c>
      <c r="D152" s="12" t="s">
        <v>833</v>
      </c>
      <c r="E152" s="12" t="s">
        <v>834</v>
      </c>
      <c r="F152" s="12"/>
      <c r="G152" s="12" t="s">
        <v>114</v>
      </c>
      <c r="H152" s="12" t="s">
        <v>470</v>
      </c>
      <c r="I152" s="12"/>
      <c r="J152" s="43">
        <f t="shared" si="1"/>
        <v>0.01159203164</v>
      </c>
      <c r="K152" s="43">
        <f t="shared" si="2"/>
        <v>2.909022</v>
      </c>
      <c r="L152" s="43">
        <f t="shared" si="3"/>
        <v>0.01154602241</v>
      </c>
      <c r="M152" s="43">
        <f t="shared" si="4"/>
        <v>0.551129035</v>
      </c>
      <c r="N152" s="12" t="s">
        <v>4713</v>
      </c>
      <c r="O152" s="12" t="s">
        <v>4714</v>
      </c>
      <c r="P152" s="43">
        <f t="shared" si="5"/>
        <v>5.601622165</v>
      </c>
      <c r="Q152" s="43">
        <f t="shared" si="6"/>
        <v>4.525167165</v>
      </c>
      <c r="R152" s="12" t="s">
        <v>4715</v>
      </c>
      <c r="S152" s="12" t="s">
        <v>4716</v>
      </c>
      <c r="T152" s="43">
        <f t="shared" si="7"/>
        <v>57.07787003</v>
      </c>
      <c r="U152" s="43">
        <f t="shared" si="8"/>
        <v>0.4417875</v>
      </c>
      <c r="V152" s="12" t="s">
        <v>839</v>
      </c>
      <c r="W152" s="12" t="s">
        <v>4717</v>
      </c>
      <c r="X152" s="12" t="s">
        <v>841</v>
      </c>
      <c r="Y152" s="12" t="s">
        <v>841</v>
      </c>
      <c r="Z152" s="12" t="s">
        <v>841</v>
      </c>
      <c r="AA152" s="12" t="s">
        <v>4718</v>
      </c>
      <c r="AB152" s="12" t="s">
        <v>4719</v>
      </c>
      <c r="AC152" s="12" t="s">
        <v>4720</v>
      </c>
      <c r="AD152" s="12" t="s">
        <v>845</v>
      </c>
      <c r="AE152" s="12" t="s">
        <v>846</v>
      </c>
      <c r="AF152" s="43">
        <f t="shared" si="9"/>
        <v>53.7873024</v>
      </c>
      <c r="AG152" s="12" t="s">
        <v>847</v>
      </c>
      <c r="AH152" s="12" t="s">
        <v>4721</v>
      </c>
      <c r="AI152" s="12" t="s">
        <v>4031</v>
      </c>
      <c r="AJ152" s="12" t="s">
        <v>4722</v>
      </c>
      <c r="AK152" s="12" t="s">
        <v>4723</v>
      </c>
      <c r="AL152" s="43">
        <f t="shared" si="10"/>
        <v>34.85</v>
      </c>
      <c r="AM152" s="12" t="s">
        <v>1071</v>
      </c>
      <c r="AN152" s="12" t="s">
        <v>1072</v>
      </c>
      <c r="AO152" s="12" t="s">
        <v>4724</v>
      </c>
      <c r="AP152" s="12" t="s">
        <v>4725</v>
      </c>
      <c r="AQ152" s="12" t="s">
        <v>4726</v>
      </c>
      <c r="AR152" s="12" t="s">
        <v>4727</v>
      </c>
      <c r="AS152" s="12" t="s">
        <v>4600</v>
      </c>
      <c r="AT152" s="12" t="s">
        <v>366</v>
      </c>
      <c r="AU152" s="12" t="s">
        <v>4601</v>
      </c>
      <c r="AV152" s="12" t="s">
        <v>832</v>
      </c>
      <c r="AW152" s="12" t="s">
        <v>1286</v>
      </c>
      <c r="AX152" s="12" t="s">
        <v>868</v>
      </c>
      <c r="AY152" s="12" t="s">
        <v>868</v>
      </c>
      <c r="AZ152" s="12" t="s">
        <v>4728</v>
      </c>
      <c r="BA152" s="12" t="s">
        <v>868</v>
      </c>
      <c r="BB152" s="12" t="s">
        <v>868</v>
      </c>
      <c r="BC152" s="12" t="s">
        <v>866</v>
      </c>
      <c r="BD152" s="12" t="s">
        <v>867</v>
      </c>
      <c r="BE152" s="12" t="s">
        <v>868</v>
      </c>
      <c r="BF152" s="12" t="s">
        <v>869</v>
      </c>
      <c r="BG152" s="12" t="s">
        <v>870</v>
      </c>
      <c r="BH152" s="12" t="s">
        <v>841</v>
      </c>
      <c r="BI152" s="12" t="s">
        <v>871</v>
      </c>
      <c r="BJ152" s="12" t="s">
        <v>841</v>
      </c>
      <c r="BK152" s="12" t="s">
        <v>841</v>
      </c>
      <c r="BL152" s="12" t="s">
        <v>872</v>
      </c>
      <c r="BM152" s="12" t="s">
        <v>873</v>
      </c>
      <c r="BN152" s="12" t="s">
        <v>866</v>
      </c>
      <c r="BO152" s="12" t="s">
        <v>874</v>
      </c>
      <c r="BP152" s="12" t="s">
        <v>875</v>
      </c>
      <c r="BQ152" s="12" t="s">
        <v>876</v>
      </c>
      <c r="BR152" s="12" t="s">
        <v>869</v>
      </c>
      <c r="BS152" s="12" t="s">
        <v>869</v>
      </c>
      <c r="BT152" s="12" t="s">
        <v>877</v>
      </c>
      <c r="BU152" s="12" t="s">
        <v>877</v>
      </c>
      <c r="BV152" s="12" t="s">
        <v>877</v>
      </c>
      <c r="BW152" s="12" t="s">
        <v>841</v>
      </c>
      <c r="BX152" s="12" t="s">
        <v>878</v>
      </c>
      <c r="BY152" s="12" t="s">
        <v>841</v>
      </c>
      <c r="BZ152" s="12" t="s">
        <v>841</v>
      </c>
      <c r="CA152" s="12" t="s">
        <v>841</v>
      </c>
      <c r="CB152" s="12" t="s">
        <v>841</v>
      </c>
      <c r="CC152" s="12" t="s">
        <v>4729</v>
      </c>
      <c r="CD152" s="12" t="s">
        <v>4730</v>
      </c>
      <c r="CE152" s="12" t="s">
        <v>4731</v>
      </c>
      <c r="CF152" s="12" t="s">
        <v>4732</v>
      </c>
      <c r="CG152" s="12" t="s">
        <v>4733</v>
      </c>
      <c r="CH152" s="12" t="s">
        <v>4734</v>
      </c>
      <c r="CI152" s="12" t="s">
        <v>4735</v>
      </c>
      <c r="CJ152" s="12" t="s">
        <v>4736</v>
      </c>
      <c r="CK152" s="12" t="s">
        <v>4737</v>
      </c>
      <c r="CL152" s="12" t="s">
        <v>1496</v>
      </c>
      <c r="CM152" s="12" t="s">
        <v>888</v>
      </c>
      <c r="CN152" s="12" t="s">
        <v>841</v>
      </c>
      <c r="CO152" s="12" t="s">
        <v>847</v>
      </c>
      <c r="CP152" s="12" t="s">
        <v>889</v>
      </c>
      <c r="CQ152" s="12" t="s">
        <v>890</v>
      </c>
      <c r="CR152" s="12" t="s">
        <v>847</v>
      </c>
      <c r="CS152" s="12" t="s">
        <v>891</v>
      </c>
      <c r="CT152" s="12" t="s">
        <v>892</v>
      </c>
      <c r="CU152" s="12" t="s">
        <v>893</v>
      </c>
      <c r="CV152" s="12" t="s">
        <v>841</v>
      </c>
      <c r="CW152" s="12" t="s">
        <v>4717</v>
      </c>
      <c r="CX152" s="12" t="s">
        <v>894</v>
      </c>
      <c r="CY152" s="12" t="s">
        <v>895</v>
      </c>
      <c r="CZ152" s="12" t="s">
        <v>896</v>
      </c>
      <c r="DA152" s="12" t="s">
        <v>897</v>
      </c>
      <c r="DB152" s="12" t="s">
        <v>898</v>
      </c>
      <c r="DC152" s="12" t="s">
        <v>899</v>
      </c>
    </row>
    <row r="153">
      <c r="A153" s="12" t="s">
        <v>1120</v>
      </c>
      <c r="B153" s="12" t="s">
        <v>492</v>
      </c>
      <c r="C153" s="12" t="s">
        <v>366</v>
      </c>
      <c r="D153" s="12" t="s">
        <v>833</v>
      </c>
      <c r="E153" s="12" t="s">
        <v>834</v>
      </c>
      <c r="F153" s="12"/>
      <c r="G153" s="12" t="s">
        <v>114</v>
      </c>
      <c r="H153" s="12" t="s">
        <v>470</v>
      </c>
      <c r="I153" s="12"/>
      <c r="J153" s="43">
        <f t="shared" si="1"/>
        <v>-0.02637914519</v>
      </c>
      <c r="K153" s="43">
        <f t="shared" si="2"/>
        <v>2.91060848</v>
      </c>
      <c r="L153" s="43">
        <f t="shared" si="3"/>
        <v>-0.02662040871</v>
      </c>
      <c r="M153" s="43">
        <f t="shared" si="4"/>
        <v>-1.211398993</v>
      </c>
      <c r="N153" s="12" t="s">
        <v>4738</v>
      </c>
      <c r="O153" s="12" t="s">
        <v>4739</v>
      </c>
      <c r="P153" s="43">
        <f t="shared" si="5"/>
        <v>5.402906809</v>
      </c>
      <c r="Q153" s="43">
        <f t="shared" si="6"/>
        <v>4.317936809</v>
      </c>
      <c r="R153" s="12" t="s">
        <v>4740</v>
      </c>
      <c r="S153" s="12" t="s">
        <v>4741</v>
      </c>
      <c r="T153" s="43">
        <f t="shared" si="7"/>
        <v>55.05866513</v>
      </c>
      <c r="U153" s="43">
        <f t="shared" si="8"/>
        <v>0.4417875</v>
      </c>
      <c r="V153" s="12" t="s">
        <v>839</v>
      </c>
      <c r="W153" s="12" t="s">
        <v>4742</v>
      </c>
      <c r="X153" s="12" t="s">
        <v>841</v>
      </c>
      <c r="Y153" s="12" t="s">
        <v>841</v>
      </c>
      <c r="Z153" s="12" t="s">
        <v>841</v>
      </c>
      <c r="AA153" s="12" t="s">
        <v>4743</v>
      </c>
      <c r="AB153" s="12" t="s">
        <v>4744</v>
      </c>
      <c r="AC153" s="12" t="s">
        <v>4745</v>
      </c>
      <c r="AD153" s="12" t="s">
        <v>845</v>
      </c>
      <c r="AE153" s="12" t="s">
        <v>846</v>
      </c>
      <c r="AF153" s="43">
        <f t="shared" si="9"/>
        <v>277.3169424</v>
      </c>
      <c r="AG153" s="12" t="s">
        <v>847</v>
      </c>
      <c r="AH153" s="12" t="s">
        <v>4746</v>
      </c>
      <c r="AI153" s="12" t="s">
        <v>4747</v>
      </c>
      <c r="AJ153" s="12" t="s">
        <v>4748</v>
      </c>
      <c r="AK153" s="12" t="s">
        <v>4749</v>
      </c>
      <c r="AL153" s="43">
        <f t="shared" si="10"/>
        <v>34.2</v>
      </c>
      <c r="AM153" s="12" t="s">
        <v>1042</v>
      </c>
      <c r="AN153" s="12" t="s">
        <v>1159</v>
      </c>
      <c r="AO153" s="12" t="s">
        <v>4750</v>
      </c>
      <c r="AP153" s="12" t="s">
        <v>4751</v>
      </c>
      <c r="AQ153" s="12" t="s">
        <v>4752</v>
      </c>
      <c r="AR153" s="12" t="s">
        <v>4753</v>
      </c>
      <c r="AS153" s="12" t="s">
        <v>4754</v>
      </c>
      <c r="AT153" s="12" t="s">
        <v>366</v>
      </c>
      <c r="AU153" s="12" t="s">
        <v>4755</v>
      </c>
      <c r="AV153" s="12" t="s">
        <v>832</v>
      </c>
      <c r="AW153" s="12" t="s">
        <v>1164</v>
      </c>
      <c r="AX153" s="12" t="s">
        <v>861</v>
      </c>
      <c r="AY153" s="12" t="s">
        <v>1286</v>
      </c>
      <c r="AZ153" s="12" t="s">
        <v>4756</v>
      </c>
      <c r="BA153" s="12" t="s">
        <v>4757</v>
      </c>
      <c r="BB153" s="12" t="s">
        <v>4758</v>
      </c>
      <c r="BC153" s="12" t="s">
        <v>866</v>
      </c>
      <c r="BD153" s="12" t="s">
        <v>867</v>
      </c>
      <c r="BE153" s="12" t="s">
        <v>868</v>
      </c>
      <c r="BF153" s="12" t="s">
        <v>869</v>
      </c>
      <c r="BG153" s="12" t="s">
        <v>870</v>
      </c>
      <c r="BH153" s="12" t="s">
        <v>841</v>
      </c>
      <c r="BI153" s="12" t="s">
        <v>871</v>
      </c>
      <c r="BJ153" s="12" t="s">
        <v>841</v>
      </c>
      <c r="BK153" s="12" t="s">
        <v>841</v>
      </c>
      <c r="BL153" s="12" t="s">
        <v>872</v>
      </c>
      <c r="BM153" s="12" t="s">
        <v>873</v>
      </c>
      <c r="BN153" s="12" t="s">
        <v>866</v>
      </c>
      <c r="BO153" s="12" t="s">
        <v>874</v>
      </c>
      <c r="BP153" s="12" t="s">
        <v>875</v>
      </c>
      <c r="BQ153" s="12" t="s">
        <v>876</v>
      </c>
      <c r="BR153" s="12" t="s">
        <v>869</v>
      </c>
      <c r="BS153" s="12" t="s">
        <v>869</v>
      </c>
      <c r="BT153" s="12" t="s">
        <v>877</v>
      </c>
      <c r="BU153" s="12" t="s">
        <v>877</v>
      </c>
      <c r="BV153" s="12" t="s">
        <v>877</v>
      </c>
      <c r="BW153" s="12" t="s">
        <v>841</v>
      </c>
      <c r="BX153" s="12" t="s">
        <v>878</v>
      </c>
      <c r="BY153" s="12" t="s">
        <v>841</v>
      </c>
      <c r="BZ153" s="12" t="s">
        <v>841</v>
      </c>
      <c r="CA153" s="12" t="s">
        <v>841</v>
      </c>
      <c r="CB153" s="12" t="s">
        <v>841</v>
      </c>
      <c r="CC153" s="12" t="s">
        <v>4759</v>
      </c>
      <c r="CD153" s="12" t="s">
        <v>4760</v>
      </c>
      <c r="CE153" s="12" t="s">
        <v>4761</v>
      </c>
      <c r="CF153" s="12" t="s">
        <v>4762</v>
      </c>
      <c r="CG153" s="12" t="s">
        <v>4763</v>
      </c>
      <c r="CH153" s="12" t="s">
        <v>4764</v>
      </c>
      <c r="CI153" s="12" t="s">
        <v>4765</v>
      </c>
      <c r="CJ153" s="12" t="s">
        <v>4766</v>
      </c>
      <c r="CK153" s="12" t="s">
        <v>4767</v>
      </c>
      <c r="CL153" s="12" t="s">
        <v>1415</v>
      </c>
      <c r="CM153" s="12" t="s">
        <v>888</v>
      </c>
      <c r="CN153" s="12" t="s">
        <v>841</v>
      </c>
      <c r="CO153" s="12" t="s">
        <v>847</v>
      </c>
      <c r="CP153" s="12" t="s">
        <v>889</v>
      </c>
      <c r="CQ153" s="12" t="s">
        <v>890</v>
      </c>
      <c r="CR153" s="12" t="s">
        <v>847</v>
      </c>
      <c r="CS153" s="12" t="s">
        <v>891</v>
      </c>
      <c r="CT153" s="12" t="s">
        <v>892</v>
      </c>
      <c r="CU153" s="12" t="s">
        <v>893</v>
      </c>
      <c r="CV153" s="12" t="s">
        <v>841</v>
      </c>
      <c r="CW153" s="12" t="s">
        <v>4742</v>
      </c>
      <c r="CX153" s="12" t="s">
        <v>894</v>
      </c>
      <c r="CY153" s="12" t="s">
        <v>895</v>
      </c>
      <c r="CZ153" s="12" t="s">
        <v>896</v>
      </c>
      <c r="DA153" s="12" t="s">
        <v>897</v>
      </c>
      <c r="DB153" s="12" t="s">
        <v>898</v>
      </c>
      <c r="DC153" s="12" t="s">
        <v>899</v>
      </c>
    </row>
    <row r="154">
      <c r="A154" s="12" t="s">
        <v>1146</v>
      </c>
      <c r="B154" s="12" t="s">
        <v>495</v>
      </c>
      <c r="C154" s="12" t="s">
        <v>366</v>
      </c>
      <c r="D154" s="12" t="s">
        <v>833</v>
      </c>
      <c r="E154" s="12" t="s">
        <v>834</v>
      </c>
      <c r="F154" s="12"/>
      <c r="G154" s="12" t="s">
        <v>114</v>
      </c>
      <c r="H154" s="12" t="s">
        <v>494</v>
      </c>
      <c r="I154" s="12"/>
      <c r="J154" s="43">
        <f t="shared" si="1"/>
        <v>-0.004239784572</v>
      </c>
      <c r="K154" s="43">
        <f t="shared" si="2"/>
        <v>2.91139968</v>
      </c>
      <c r="L154" s="43">
        <f t="shared" si="3"/>
        <v>-0.004245967849</v>
      </c>
      <c r="M154" s="43">
        <f t="shared" si="4"/>
        <v>-0.1708975261</v>
      </c>
      <c r="N154" s="12" t="s">
        <v>4768</v>
      </c>
      <c r="O154" s="12" t="s">
        <v>4769</v>
      </c>
      <c r="P154" s="43">
        <f t="shared" si="5"/>
        <v>4.95918263</v>
      </c>
      <c r="Q154" s="43">
        <f t="shared" si="6"/>
        <v>3.82666863</v>
      </c>
      <c r="R154" s="12" t="s">
        <v>4770</v>
      </c>
      <c r="S154" s="12" t="s">
        <v>4771</v>
      </c>
      <c r="T154" s="43">
        <f t="shared" si="7"/>
        <v>50.54201621</v>
      </c>
      <c r="U154" s="43">
        <f t="shared" si="8"/>
        <v>0.4417875</v>
      </c>
      <c r="V154" s="12" t="s">
        <v>839</v>
      </c>
      <c r="W154" s="12" t="s">
        <v>4772</v>
      </c>
      <c r="X154" s="12" t="s">
        <v>841</v>
      </c>
      <c r="Y154" s="12" t="s">
        <v>841</v>
      </c>
      <c r="Z154" s="12" t="s">
        <v>841</v>
      </c>
      <c r="AA154" s="12" t="s">
        <v>4773</v>
      </c>
      <c r="AB154" s="12" t="s">
        <v>4774</v>
      </c>
      <c r="AC154" s="12" t="s">
        <v>4775</v>
      </c>
      <c r="AD154" s="12" t="s">
        <v>845</v>
      </c>
      <c r="AE154" s="12" t="s">
        <v>846</v>
      </c>
      <c r="AF154" s="43">
        <f t="shared" si="9"/>
        <v>410.6265904</v>
      </c>
      <c r="AG154" s="12" t="s">
        <v>847</v>
      </c>
      <c r="AH154" s="12" t="s">
        <v>4776</v>
      </c>
      <c r="AI154" s="12" t="s">
        <v>2139</v>
      </c>
      <c r="AJ154" s="12" t="s">
        <v>4777</v>
      </c>
      <c r="AK154" s="12" t="s">
        <v>1006</v>
      </c>
      <c r="AL154" s="43">
        <f t="shared" si="10"/>
        <v>32.67</v>
      </c>
      <c r="AM154" s="12" t="s">
        <v>981</v>
      </c>
      <c r="AN154" s="12" t="s">
        <v>1337</v>
      </c>
      <c r="AO154" s="12" t="s">
        <v>4778</v>
      </c>
      <c r="AP154" s="12" t="s">
        <v>4779</v>
      </c>
      <c r="AQ154" s="12" t="s">
        <v>4780</v>
      </c>
      <c r="AR154" s="12" t="s">
        <v>4753</v>
      </c>
      <c r="AS154" s="12" t="s">
        <v>4754</v>
      </c>
      <c r="AT154" s="12" t="s">
        <v>366</v>
      </c>
      <c r="AU154" s="12" t="s">
        <v>4755</v>
      </c>
      <c r="AV154" s="12" t="s">
        <v>832</v>
      </c>
      <c r="AW154" s="12" t="s">
        <v>1164</v>
      </c>
      <c r="AX154" s="12" t="s">
        <v>1164</v>
      </c>
      <c r="AY154" s="12" t="s">
        <v>1513</v>
      </c>
      <c r="AZ154" s="12" t="s">
        <v>4781</v>
      </c>
      <c r="BA154" s="12" t="s">
        <v>4782</v>
      </c>
      <c r="BB154" s="12" t="s">
        <v>4783</v>
      </c>
      <c r="BC154" s="12" t="s">
        <v>866</v>
      </c>
      <c r="BD154" s="12" t="s">
        <v>867</v>
      </c>
      <c r="BE154" s="12" t="s">
        <v>868</v>
      </c>
      <c r="BF154" s="12" t="s">
        <v>869</v>
      </c>
      <c r="BG154" s="12" t="s">
        <v>870</v>
      </c>
      <c r="BH154" s="12" t="s">
        <v>841</v>
      </c>
      <c r="BI154" s="12" t="s">
        <v>871</v>
      </c>
      <c r="BJ154" s="12" t="s">
        <v>841</v>
      </c>
      <c r="BK154" s="12" t="s">
        <v>841</v>
      </c>
      <c r="BL154" s="12" t="s">
        <v>872</v>
      </c>
      <c r="BM154" s="12" t="s">
        <v>873</v>
      </c>
      <c r="BN154" s="12" t="s">
        <v>866</v>
      </c>
      <c r="BO154" s="12" t="s">
        <v>874</v>
      </c>
      <c r="BP154" s="12" t="s">
        <v>875</v>
      </c>
      <c r="BQ154" s="12" t="s">
        <v>876</v>
      </c>
      <c r="BR154" s="12" t="s">
        <v>869</v>
      </c>
      <c r="BS154" s="12" t="s">
        <v>869</v>
      </c>
      <c r="BT154" s="12" t="s">
        <v>877</v>
      </c>
      <c r="BU154" s="12" t="s">
        <v>877</v>
      </c>
      <c r="BV154" s="12" t="s">
        <v>877</v>
      </c>
      <c r="BW154" s="12" t="s">
        <v>841</v>
      </c>
      <c r="BX154" s="12" t="s">
        <v>878</v>
      </c>
      <c r="BY154" s="12" t="s">
        <v>841</v>
      </c>
      <c r="BZ154" s="12" t="s">
        <v>841</v>
      </c>
      <c r="CA154" s="12" t="s">
        <v>841</v>
      </c>
      <c r="CB154" s="12" t="s">
        <v>841</v>
      </c>
      <c r="CC154" s="12" t="s">
        <v>4784</v>
      </c>
      <c r="CD154" s="12" t="s">
        <v>4785</v>
      </c>
      <c r="CE154" s="12" t="s">
        <v>4786</v>
      </c>
      <c r="CF154" s="12" t="s">
        <v>4787</v>
      </c>
      <c r="CG154" s="12" t="s">
        <v>4788</v>
      </c>
      <c r="CH154" s="12" t="s">
        <v>4789</v>
      </c>
      <c r="CI154" s="12" t="s">
        <v>4790</v>
      </c>
      <c r="CJ154" s="12" t="s">
        <v>4791</v>
      </c>
      <c r="CK154" s="12" t="s">
        <v>4773</v>
      </c>
      <c r="CL154" s="12" t="s">
        <v>1057</v>
      </c>
      <c r="CM154" s="12" t="s">
        <v>888</v>
      </c>
      <c r="CN154" s="12" t="s">
        <v>841</v>
      </c>
      <c r="CO154" s="12" t="s">
        <v>847</v>
      </c>
      <c r="CP154" s="12" t="s">
        <v>889</v>
      </c>
      <c r="CQ154" s="12" t="s">
        <v>890</v>
      </c>
      <c r="CR154" s="12" t="s">
        <v>847</v>
      </c>
      <c r="CS154" s="12" t="s">
        <v>891</v>
      </c>
      <c r="CT154" s="12" t="s">
        <v>892</v>
      </c>
      <c r="CU154" s="12" t="s">
        <v>893</v>
      </c>
      <c r="CV154" s="12" t="s">
        <v>841</v>
      </c>
      <c r="CW154" s="12" t="s">
        <v>4772</v>
      </c>
      <c r="CX154" s="12" t="s">
        <v>894</v>
      </c>
      <c r="CY154" s="12" t="s">
        <v>895</v>
      </c>
      <c r="CZ154" s="12" t="s">
        <v>896</v>
      </c>
      <c r="DA154" s="12" t="s">
        <v>897</v>
      </c>
      <c r="DB154" s="12" t="s">
        <v>898</v>
      </c>
      <c r="DC154" s="12" t="s">
        <v>899</v>
      </c>
    </row>
    <row r="155">
      <c r="A155" s="12" t="s">
        <v>1177</v>
      </c>
      <c r="B155" s="12" t="s">
        <v>496</v>
      </c>
      <c r="C155" s="12" t="s">
        <v>366</v>
      </c>
      <c r="D155" s="12" t="s">
        <v>833</v>
      </c>
      <c r="E155" s="12" t="s">
        <v>834</v>
      </c>
      <c r="F155" s="12"/>
      <c r="G155" s="12" t="s">
        <v>114</v>
      </c>
      <c r="H155" s="12" t="s">
        <v>494</v>
      </c>
      <c r="I155" s="12"/>
      <c r="J155" s="43">
        <f t="shared" si="1"/>
        <v>0.01807923443</v>
      </c>
      <c r="K155" s="43">
        <f t="shared" si="2"/>
        <v>2.91060848</v>
      </c>
      <c r="L155" s="43">
        <f t="shared" si="3"/>
        <v>0.01796762857</v>
      </c>
      <c r="M155" s="43">
        <f t="shared" si="4"/>
        <v>0.7100307433</v>
      </c>
      <c r="N155" s="12" t="s">
        <v>4792</v>
      </c>
      <c r="O155" s="12" t="s">
        <v>4793</v>
      </c>
      <c r="P155" s="43">
        <f t="shared" si="5"/>
        <v>5.020965288</v>
      </c>
      <c r="Q155" s="43">
        <f t="shared" si="6"/>
        <v>3.753624288</v>
      </c>
      <c r="R155" s="12" t="s">
        <v>4794</v>
      </c>
      <c r="S155" s="12" t="s">
        <v>4795</v>
      </c>
      <c r="T155" s="43">
        <f t="shared" si="7"/>
        <v>51.16646579</v>
      </c>
      <c r="U155" s="43">
        <f t="shared" si="8"/>
        <v>0.4417875</v>
      </c>
      <c r="V155" s="12" t="s">
        <v>839</v>
      </c>
      <c r="W155" s="12" t="s">
        <v>4796</v>
      </c>
      <c r="X155" s="12" t="s">
        <v>841</v>
      </c>
      <c r="Y155" s="12" t="s">
        <v>841</v>
      </c>
      <c r="Z155" s="12" t="s">
        <v>841</v>
      </c>
      <c r="AA155" s="12" t="s">
        <v>4797</v>
      </c>
      <c r="AB155" s="12" t="s">
        <v>4798</v>
      </c>
      <c r="AC155" s="12" t="s">
        <v>4799</v>
      </c>
      <c r="AD155" s="12" t="s">
        <v>845</v>
      </c>
      <c r="AE155" s="12" t="s">
        <v>846</v>
      </c>
      <c r="AF155" s="43">
        <f t="shared" si="9"/>
        <v>541.3662688</v>
      </c>
      <c r="AG155" s="12" t="s">
        <v>847</v>
      </c>
      <c r="AH155" s="12" t="s">
        <v>2031</v>
      </c>
      <c r="AI155" s="12" t="s">
        <v>4800</v>
      </c>
      <c r="AJ155" s="12" t="s">
        <v>4801</v>
      </c>
      <c r="AK155" s="12" t="s">
        <v>4802</v>
      </c>
      <c r="AL155" s="43">
        <f t="shared" si="10"/>
        <v>32.89</v>
      </c>
      <c r="AM155" s="12" t="s">
        <v>1042</v>
      </c>
      <c r="AN155" s="12" t="s">
        <v>1159</v>
      </c>
      <c r="AO155" s="12" t="s">
        <v>4803</v>
      </c>
      <c r="AP155" s="12" t="s">
        <v>4804</v>
      </c>
      <c r="AQ155" s="12" t="s">
        <v>4805</v>
      </c>
      <c r="AR155" s="12" t="s">
        <v>4806</v>
      </c>
      <c r="AS155" s="12" t="s">
        <v>4754</v>
      </c>
      <c r="AT155" s="12" t="s">
        <v>366</v>
      </c>
      <c r="AU155" s="12" t="s">
        <v>4755</v>
      </c>
      <c r="AV155" s="12" t="s">
        <v>832</v>
      </c>
      <c r="AW155" s="12" t="s">
        <v>4807</v>
      </c>
      <c r="AX155" s="12" t="s">
        <v>3468</v>
      </c>
      <c r="AY155" s="12" t="s">
        <v>868</v>
      </c>
      <c r="AZ155" s="12" t="s">
        <v>4808</v>
      </c>
      <c r="BA155" s="12" t="s">
        <v>4809</v>
      </c>
      <c r="BB155" s="12" t="s">
        <v>868</v>
      </c>
      <c r="BC155" s="12" t="s">
        <v>866</v>
      </c>
      <c r="BD155" s="12" t="s">
        <v>867</v>
      </c>
      <c r="BE155" s="12" t="s">
        <v>868</v>
      </c>
      <c r="BF155" s="12" t="s">
        <v>869</v>
      </c>
      <c r="BG155" s="12" t="s">
        <v>870</v>
      </c>
      <c r="BH155" s="12" t="s">
        <v>841</v>
      </c>
      <c r="BI155" s="12" t="s">
        <v>871</v>
      </c>
      <c r="BJ155" s="12" t="s">
        <v>841</v>
      </c>
      <c r="BK155" s="12" t="s">
        <v>841</v>
      </c>
      <c r="BL155" s="12" t="s">
        <v>872</v>
      </c>
      <c r="BM155" s="12" t="s">
        <v>873</v>
      </c>
      <c r="BN155" s="12" t="s">
        <v>866</v>
      </c>
      <c r="BO155" s="12" t="s">
        <v>874</v>
      </c>
      <c r="BP155" s="12" t="s">
        <v>875</v>
      </c>
      <c r="BQ155" s="12" t="s">
        <v>876</v>
      </c>
      <c r="BR155" s="12" t="s">
        <v>869</v>
      </c>
      <c r="BS155" s="12" t="s">
        <v>869</v>
      </c>
      <c r="BT155" s="12" t="s">
        <v>877</v>
      </c>
      <c r="BU155" s="12" t="s">
        <v>877</v>
      </c>
      <c r="BV155" s="12" t="s">
        <v>877</v>
      </c>
      <c r="BW155" s="12" t="s">
        <v>841</v>
      </c>
      <c r="BX155" s="12" t="s">
        <v>878</v>
      </c>
      <c r="BY155" s="12" t="s">
        <v>841</v>
      </c>
      <c r="BZ155" s="12" t="s">
        <v>841</v>
      </c>
      <c r="CA155" s="12" t="s">
        <v>841</v>
      </c>
      <c r="CB155" s="12" t="s">
        <v>841</v>
      </c>
      <c r="CC155" s="12" t="s">
        <v>4810</v>
      </c>
      <c r="CD155" s="12" t="s">
        <v>4811</v>
      </c>
      <c r="CE155" s="12" t="s">
        <v>4812</v>
      </c>
      <c r="CF155" s="12" t="s">
        <v>4813</v>
      </c>
      <c r="CG155" s="12" t="s">
        <v>4814</v>
      </c>
      <c r="CH155" s="12" t="s">
        <v>4815</v>
      </c>
      <c r="CI155" s="12" t="s">
        <v>4816</v>
      </c>
      <c r="CJ155" s="12" t="s">
        <v>4817</v>
      </c>
      <c r="CK155" s="12" t="s">
        <v>4797</v>
      </c>
      <c r="CL155" s="12" t="s">
        <v>1526</v>
      </c>
      <c r="CM155" s="12" t="s">
        <v>888</v>
      </c>
      <c r="CN155" s="12" t="s">
        <v>841</v>
      </c>
      <c r="CO155" s="12" t="s">
        <v>847</v>
      </c>
      <c r="CP155" s="12" t="s">
        <v>889</v>
      </c>
      <c r="CQ155" s="12" t="s">
        <v>890</v>
      </c>
      <c r="CR155" s="12" t="s">
        <v>847</v>
      </c>
      <c r="CS155" s="12" t="s">
        <v>891</v>
      </c>
      <c r="CT155" s="12" t="s">
        <v>892</v>
      </c>
      <c r="CU155" s="12" t="s">
        <v>893</v>
      </c>
      <c r="CV155" s="12" t="s">
        <v>841</v>
      </c>
      <c r="CW155" s="12" t="s">
        <v>4796</v>
      </c>
      <c r="CX155" s="12" t="s">
        <v>894</v>
      </c>
      <c r="CY155" s="12" t="s">
        <v>895</v>
      </c>
      <c r="CZ155" s="12" t="s">
        <v>896</v>
      </c>
      <c r="DA155" s="12" t="s">
        <v>897</v>
      </c>
      <c r="DB155" s="12" t="s">
        <v>898</v>
      </c>
      <c r="DC155" s="12" t="s">
        <v>899</v>
      </c>
    </row>
    <row r="156">
      <c r="A156" s="12" t="s">
        <v>1209</v>
      </c>
      <c r="B156" s="12" t="s">
        <v>498</v>
      </c>
      <c r="C156" s="12" t="s">
        <v>366</v>
      </c>
      <c r="D156" s="12" t="s">
        <v>833</v>
      </c>
      <c r="E156" s="12" t="s">
        <v>834</v>
      </c>
      <c r="F156" s="12"/>
      <c r="G156" s="12" t="s">
        <v>114</v>
      </c>
      <c r="H156" s="12" t="s">
        <v>494</v>
      </c>
      <c r="I156" s="12"/>
      <c r="J156" s="43">
        <f t="shared" si="1"/>
        <v>-0.009921344501</v>
      </c>
      <c r="K156" s="43">
        <f t="shared" si="2"/>
        <v>2.90743008</v>
      </c>
      <c r="L156" s="43">
        <f t="shared" si="3"/>
        <v>-0.009955316125</v>
      </c>
      <c r="M156" s="43">
        <f t="shared" si="4"/>
        <v>-0.414058313</v>
      </c>
      <c r="N156" s="12" t="s">
        <v>4818</v>
      </c>
      <c r="O156" s="12" t="s">
        <v>4819</v>
      </c>
      <c r="P156" s="43">
        <f t="shared" si="5"/>
        <v>5.158093082</v>
      </c>
      <c r="Q156" s="43">
        <f t="shared" si="6"/>
        <v>3.949020082</v>
      </c>
      <c r="R156" s="12" t="s">
        <v>4820</v>
      </c>
      <c r="S156" s="12" t="s">
        <v>4821</v>
      </c>
      <c r="T156" s="43">
        <f t="shared" si="7"/>
        <v>52.56387529</v>
      </c>
      <c r="U156" s="43">
        <f t="shared" si="8"/>
        <v>0.4417875</v>
      </c>
      <c r="V156" s="12" t="s">
        <v>839</v>
      </c>
      <c r="W156" s="12" t="s">
        <v>4822</v>
      </c>
      <c r="X156" s="12" t="s">
        <v>841</v>
      </c>
      <c r="Y156" s="12" t="s">
        <v>841</v>
      </c>
      <c r="Z156" s="12" t="s">
        <v>841</v>
      </c>
      <c r="AA156" s="12" t="s">
        <v>4823</v>
      </c>
      <c r="AB156" s="12" t="s">
        <v>4824</v>
      </c>
      <c r="AC156" s="12" t="s">
        <v>4825</v>
      </c>
      <c r="AD156" s="12" t="s">
        <v>845</v>
      </c>
      <c r="AE156" s="12" t="s">
        <v>846</v>
      </c>
      <c r="AF156" s="43">
        <f t="shared" si="9"/>
        <v>147.4926168</v>
      </c>
      <c r="AG156" s="12" t="s">
        <v>847</v>
      </c>
      <c r="AH156" s="12" t="s">
        <v>4826</v>
      </c>
      <c r="AI156" s="12" t="s">
        <v>4827</v>
      </c>
      <c r="AJ156" s="12" t="s">
        <v>4828</v>
      </c>
      <c r="AK156" s="12" t="s">
        <v>4829</v>
      </c>
      <c r="AL156" s="43">
        <f t="shared" si="10"/>
        <v>33.37</v>
      </c>
      <c r="AM156" s="12" t="s">
        <v>1042</v>
      </c>
      <c r="AN156" s="12" t="s">
        <v>1009</v>
      </c>
      <c r="AO156" s="12" t="s">
        <v>4830</v>
      </c>
      <c r="AP156" s="12" t="s">
        <v>4831</v>
      </c>
      <c r="AQ156" s="12" t="s">
        <v>4832</v>
      </c>
      <c r="AR156" s="12" t="s">
        <v>4833</v>
      </c>
      <c r="AS156" s="12" t="s">
        <v>4754</v>
      </c>
      <c r="AT156" s="12" t="s">
        <v>366</v>
      </c>
      <c r="AU156" s="12" t="s">
        <v>4755</v>
      </c>
      <c r="AV156" s="12" t="s">
        <v>832</v>
      </c>
      <c r="AW156" s="12" t="s">
        <v>1598</v>
      </c>
      <c r="AX156" s="12" t="s">
        <v>2705</v>
      </c>
      <c r="AY156" s="12" t="s">
        <v>868</v>
      </c>
      <c r="AZ156" s="12" t="s">
        <v>4834</v>
      </c>
      <c r="BA156" s="12" t="s">
        <v>1019</v>
      </c>
      <c r="BB156" s="12" t="s">
        <v>868</v>
      </c>
      <c r="BC156" s="12" t="s">
        <v>866</v>
      </c>
      <c r="BD156" s="12" t="s">
        <v>867</v>
      </c>
      <c r="BE156" s="12" t="s">
        <v>868</v>
      </c>
      <c r="BF156" s="12" t="s">
        <v>869</v>
      </c>
      <c r="BG156" s="12" t="s">
        <v>870</v>
      </c>
      <c r="BH156" s="12" t="s">
        <v>841</v>
      </c>
      <c r="BI156" s="12" t="s">
        <v>871</v>
      </c>
      <c r="BJ156" s="12" t="s">
        <v>841</v>
      </c>
      <c r="BK156" s="12" t="s">
        <v>841</v>
      </c>
      <c r="BL156" s="12" t="s">
        <v>872</v>
      </c>
      <c r="BM156" s="12" t="s">
        <v>873</v>
      </c>
      <c r="BN156" s="12" t="s">
        <v>866</v>
      </c>
      <c r="BO156" s="12" t="s">
        <v>874</v>
      </c>
      <c r="BP156" s="12" t="s">
        <v>875</v>
      </c>
      <c r="BQ156" s="12" t="s">
        <v>876</v>
      </c>
      <c r="BR156" s="12" t="s">
        <v>869</v>
      </c>
      <c r="BS156" s="12" t="s">
        <v>869</v>
      </c>
      <c r="BT156" s="12" t="s">
        <v>877</v>
      </c>
      <c r="BU156" s="12" t="s">
        <v>877</v>
      </c>
      <c r="BV156" s="12" t="s">
        <v>877</v>
      </c>
      <c r="BW156" s="12" t="s">
        <v>841</v>
      </c>
      <c r="BX156" s="12" t="s">
        <v>878</v>
      </c>
      <c r="BY156" s="12" t="s">
        <v>841</v>
      </c>
      <c r="BZ156" s="12" t="s">
        <v>841</v>
      </c>
      <c r="CA156" s="12" t="s">
        <v>841</v>
      </c>
      <c r="CB156" s="12" t="s">
        <v>841</v>
      </c>
      <c r="CC156" s="12" t="s">
        <v>4835</v>
      </c>
      <c r="CD156" s="12" t="s">
        <v>4836</v>
      </c>
      <c r="CE156" s="12" t="s">
        <v>4837</v>
      </c>
      <c r="CF156" s="12" t="s">
        <v>4838</v>
      </c>
      <c r="CG156" s="12" t="s">
        <v>4839</v>
      </c>
      <c r="CH156" s="12" t="s">
        <v>4840</v>
      </c>
      <c r="CI156" s="12" t="s">
        <v>4841</v>
      </c>
      <c r="CJ156" s="12" t="s">
        <v>4842</v>
      </c>
      <c r="CK156" s="12" t="s">
        <v>4823</v>
      </c>
      <c r="CL156" s="12" t="s">
        <v>996</v>
      </c>
      <c r="CM156" s="12" t="s">
        <v>888</v>
      </c>
      <c r="CN156" s="12" t="s">
        <v>841</v>
      </c>
      <c r="CO156" s="12" t="s">
        <v>847</v>
      </c>
      <c r="CP156" s="12" t="s">
        <v>889</v>
      </c>
      <c r="CQ156" s="12" t="s">
        <v>890</v>
      </c>
      <c r="CR156" s="12" t="s">
        <v>847</v>
      </c>
      <c r="CS156" s="12" t="s">
        <v>891</v>
      </c>
      <c r="CT156" s="12" t="s">
        <v>892</v>
      </c>
      <c r="CU156" s="12" t="s">
        <v>893</v>
      </c>
      <c r="CV156" s="12" t="s">
        <v>841</v>
      </c>
      <c r="CW156" s="12" t="s">
        <v>4822</v>
      </c>
      <c r="CX156" s="12" t="s">
        <v>894</v>
      </c>
      <c r="CY156" s="12" t="s">
        <v>895</v>
      </c>
      <c r="CZ156" s="12" t="s">
        <v>896</v>
      </c>
      <c r="DA156" s="12" t="s">
        <v>897</v>
      </c>
      <c r="DB156" s="12" t="s">
        <v>898</v>
      </c>
      <c r="DC156" s="12" t="s">
        <v>899</v>
      </c>
    </row>
    <row r="157">
      <c r="A157" s="12" t="s">
        <v>1237</v>
      </c>
      <c r="B157" s="12" t="s">
        <v>500</v>
      </c>
      <c r="C157" s="12" t="s">
        <v>366</v>
      </c>
      <c r="D157" s="12" t="s">
        <v>833</v>
      </c>
      <c r="E157" s="12" t="s">
        <v>834</v>
      </c>
      <c r="F157" s="12"/>
      <c r="G157" s="12" t="s">
        <v>114</v>
      </c>
      <c r="H157" s="12" t="s">
        <v>499</v>
      </c>
      <c r="I157" s="12"/>
      <c r="J157" s="43">
        <f t="shared" si="1"/>
        <v>-0.09489836822</v>
      </c>
      <c r="K157" s="43">
        <f t="shared" si="2"/>
        <v>2.909022</v>
      </c>
      <c r="L157" s="43">
        <f t="shared" si="3"/>
        <v>-0.09809854756</v>
      </c>
      <c r="M157" s="43">
        <f t="shared" si="4"/>
        <v>-3.412295357</v>
      </c>
      <c r="N157" s="12" t="s">
        <v>4843</v>
      </c>
      <c r="O157" s="12" t="s">
        <v>4844</v>
      </c>
      <c r="P157" s="43">
        <f t="shared" si="5"/>
        <v>4.197235964</v>
      </c>
      <c r="Q157" s="43">
        <f t="shared" si="6"/>
        <v>3.326305964</v>
      </c>
      <c r="R157" s="12" t="s">
        <v>4845</v>
      </c>
      <c r="S157" s="12" t="s">
        <v>4846</v>
      </c>
      <c r="T157" s="43">
        <f t="shared" si="7"/>
        <v>42.75912759</v>
      </c>
      <c r="U157" s="43">
        <f t="shared" si="8"/>
        <v>0.4417875</v>
      </c>
      <c r="V157" s="12" t="s">
        <v>839</v>
      </c>
      <c r="W157" s="12" t="s">
        <v>4847</v>
      </c>
      <c r="X157" s="12" t="s">
        <v>841</v>
      </c>
      <c r="Y157" s="12" t="s">
        <v>841</v>
      </c>
      <c r="Z157" s="12" t="s">
        <v>841</v>
      </c>
      <c r="AA157" s="12" t="s">
        <v>4848</v>
      </c>
      <c r="AB157" s="12" t="s">
        <v>4849</v>
      </c>
      <c r="AC157" s="12" t="s">
        <v>4850</v>
      </c>
      <c r="AD157" s="12" t="s">
        <v>845</v>
      </c>
      <c r="AE157" s="12" t="s">
        <v>846</v>
      </c>
      <c r="AF157" s="43">
        <f t="shared" si="9"/>
        <v>15.2713184</v>
      </c>
      <c r="AG157" s="12" t="s">
        <v>847</v>
      </c>
      <c r="AH157" s="12" t="s">
        <v>4851</v>
      </c>
      <c r="AI157" s="12" t="s">
        <v>4852</v>
      </c>
      <c r="AJ157" s="12" t="s">
        <v>4853</v>
      </c>
      <c r="AK157" s="12" t="s">
        <v>4854</v>
      </c>
      <c r="AL157" s="43">
        <f t="shared" si="10"/>
        <v>29.74</v>
      </c>
      <c r="AM157" s="12" t="s">
        <v>4855</v>
      </c>
      <c r="AN157" s="12" t="s">
        <v>1072</v>
      </c>
      <c r="AO157" s="12" t="s">
        <v>4856</v>
      </c>
      <c r="AP157" s="12" t="s">
        <v>4857</v>
      </c>
      <c r="AQ157" s="12" t="s">
        <v>4858</v>
      </c>
      <c r="AR157" s="12" t="s">
        <v>4833</v>
      </c>
      <c r="AS157" s="12" t="s">
        <v>4754</v>
      </c>
      <c r="AT157" s="12" t="s">
        <v>366</v>
      </c>
      <c r="AU157" s="12" t="s">
        <v>4755</v>
      </c>
      <c r="AV157" s="12" t="s">
        <v>832</v>
      </c>
      <c r="AW157" s="12" t="s">
        <v>1164</v>
      </c>
      <c r="AX157" s="12" t="s">
        <v>1403</v>
      </c>
      <c r="AY157" s="12" t="s">
        <v>4859</v>
      </c>
      <c r="AZ157" s="12" t="s">
        <v>4860</v>
      </c>
      <c r="BA157" s="12" t="s">
        <v>4861</v>
      </c>
      <c r="BB157" s="12" t="s">
        <v>4862</v>
      </c>
      <c r="BC157" s="12" t="s">
        <v>866</v>
      </c>
      <c r="BD157" s="12" t="s">
        <v>867</v>
      </c>
      <c r="BE157" s="12" t="s">
        <v>868</v>
      </c>
      <c r="BF157" s="12" t="s">
        <v>869</v>
      </c>
      <c r="BG157" s="12" t="s">
        <v>870</v>
      </c>
      <c r="BH157" s="12" t="s">
        <v>841</v>
      </c>
      <c r="BI157" s="12" t="s">
        <v>871</v>
      </c>
      <c r="BJ157" s="12" t="s">
        <v>841</v>
      </c>
      <c r="BK157" s="12" t="s">
        <v>841</v>
      </c>
      <c r="BL157" s="12" t="s">
        <v>872</v>
      </c>
      <c r="BM157" s="12" t="s">
        <v>873</v>
      </c>
      <c r="BN157" s="12" t="s">
        <v>866</v>
      </c>
      <c r="BO157" s="12" t="s">
        <v>874</v>
      </c>
      <c r="BP157" s="12" t="s">
        <v>875</v>
      </c>
      <c r="BQ157" s="12" t="s">
        <v>876</v>
      </c>
      <c r="BR157" s="12" t="s">
        <v>869</v>
      </c>
      <c r="BS157" s="12" t="s">
        <v>869</v>
      </c>
      <c r="BT157" s="12" t="s">
        <v>877</v>
      </c>
      <c r="BU157" s="12" t="s">
        <v>877</v>
      </c>
      <c r="BV157" s="12" t="s">
        <v>877</v>
      </c>
      <c r="BW157" s="12" t="s">
        <v>841</v>
      </c>
      <c r="BX157" s="12" t="s">
        <v>878</v>
      </c>
      <c r="BY157" s="12" t="s">
        <v>841</v>
      </c>
      <c r="BZ157" s="12" t="s">
        <v>841</v>
      </c>
      <c r="CA157" s="12" t="s">
        <v>841</v>
      </c>
      <c r="CB157" s="12" t="s">
        <v>841</v>
      </c>
      <c r="CC157" s="12" t="s">
        <v>4863</v>
      </c>
      <c r="CD157" s="12" t="s">
        <v>4864</v>
      </c>
      <c r="CE157" s="12" t="s">
        <v>4865</v>
      </c>
      <c r="CF157" s="12" t="s">
        <v>4866</v>
      </c>
      <c r="CG157" s="12" t="s">
        <v>4867</v>
      </c>
      <c r="CH157" s="12" t="s">
        <v>4868</v>
      </c>
      <c r="CI157" s="12" t="s">
        <v>4869</v>
      </c>
      <c r="CJ157" s="12" t="s">
        <v>4870</v>
      </c>
      <c r="CK157" s="12" t="s">
        <v>4848</v>
      </c>
      <c r="CL157" s="12" t="s">
        <v>1526</v>
      </c>
      <c r="CM157" s="12" t="s">
        <v>888</v>
      </c>
      <c r="CN157" s="12" t="s">
        <v>841</v>
      </c>
      <c r="CO157" s="12" t="s">
        <v>847</v>
      </c>
      <c r="CP157" s="12" t="s">
        <v>889</v>
      </c>
      <c r="CQ157" s="12" t="s">
        <v>890</v>
      </c>
      <c r="CR157" s="12" t="s">
        <v>847</v>
      </c>
      <c r="CS157" s="12" t="s">
        <v>891</v>
      </c>
      <c r="CT157" s="12" t="s">
        <v>892</v>
      </c>
      <c r="CU157" s="12" t="s">
        <v>893</v>
      </c>
      <c r="CV157" s="12" t="s">
        <v>841</v>
      </c>
      <c r="CW157" s="12" t="s">
        <v>4847</v>
      </c>
      <c r="CX157" s="12" t="s">
        <v>894</v>
      </c>
      <c r="CY157" s="12" t="s">
        <v>895</v>
      </c>
      <c r="CZ157" s="12" t="s">
        <v>896</v>
      </c>
      <c r="DA157" s="12" t="s">
        <v>897</v>
      </c>
      <c r="DB157" s="12" t="s">
        <v>898</v>
      </c>
      <c r="DC157" s="12" t="s">
        <v>899</v>
      </c>
    </row>
    <row r="158">
      <c r="A158" s="12" t="s">
        <v>1636</v>
      </c>
      <c r="B158" s="12" t="s">
        <v>502</v>
      </c>
      <c r="C158" s="12" t="s">
        <v>366</v>
      </c>
      <c r="D158" s="12" t="s">
        <v>833</v>
      </c>
      <c r="E158" s="12" t="s">
        <v>834</v>
      </c>
      <c r="F158" s="12"/>
      <c r="G158" s="12" t="s">
        <v>114</v>
      </c>
      <c r="H158" s="12" t="s">
        <v>499</v>
      </c>
      <c r="I158" s="12"/>
      <c r="J158" s="43">
        <f t="shared" si="1"/>
        <v>-0.0533917526</v>
      </c>
      <c r="K158" s="43">
        <f t="shared" si="2"/>
        <v>2.91060848</v>
      </c>
      <c r="L158" s="43">
        <f t="shared" si="3"/>
        <v>-0.05438946454</v>
      </c>
      <c r="M158" s="43">
        <f t="shared" si="4"/>
        <v>-2.043507375</v>
      </c>
      <c r="N158" s="12" t="s">
        <v>4871</v>
      </c>
      <c r="O158" s="12" t="s">
        <v>4872</v>
      </c>
      <c r="P158" s="43">
        <f t="shared" si="5"/>
        <v>4.50880667</v>
      </c>
      <c r="Q158" s="43">
        <f t="shared" si="6"/>
        <v>3.58603567</v>
      </c>
      <c r="R158" s="12" t="s">
        <v>4873</v>
      </c>
      <c r="S158" s="12" t="s">
        <v>4874</v>
      </c>
      <c r="T158" s="43">
        <f t="shared" si="7"/>
        <v>45.93323829</v>
      </c>
      <c r="U158" s="43">
        <f t="shared" si="8"/>
        <v>0.4417875</v>
      </c>
      <c r="V158" s="12" t="s">
        <v>839</v>
      </c>
      <c r="W158" s="12" t="s">
        <v>4875</v>
      </c>
      <c r="X158" s="12" t="s">
        <v>841</v>
      </c>
      <c r="Y158" s="12" t="s">
        <v>841</v>
      </c>
      <c r="Z158" s="12" t="s">
        <v>841</v>
      </c>
      <c r="AA158" s="12" t="s">
        <v>4876</v>
      </c>
      <c r="AB158" s="12" t="s">
        <v>4877</v>
      </c>
      <c r="AC158" s="12" t="s">
        <v>4878</v>
      </c>
      <c r="AD158" s="12" t="s">
        <v>845</v>
      </c>
      <c r="AE158" s="12" t="s">
        <v>846</v>
      </c>
      <c r="AF158" s="43">
        <f t="shared" si="9"/>
        <v>19.2046388</v>
      </c>
      <c r="AG158" s="12" t="s">
        <v>847</v>
      </c>
      <c r="AH158" s="12" t="s">
        <v>4879</v>
      </c>
      <c r="AI158" s="12" t="s">
        <v>4880</v>
      </c>
      <c r="AJ158" s="12" t="s">
        <v>4881</v>
      </c>
      <c r="AK158" s="12" t="s">
        <v>4882</v>
      </c>
      <c r="AL158" s="43">
        <f t="shared" si="10"/>
        <v>30.99</v>
      </c>
      <c r="AM158" s="12" t="s">
        <v>4855</v>
      </c>
      <c r="AN158" s="12" t="s">
        <v>1159</v>
      </c>
      <c r="AO158" s="12" t="s">
        <v>4883</v>
      </c>
      <c r="AP158" s="12" t="s">
        <v>4884</v>
      </c>
      <c r="AQ158" s="12" t="s">
        <v>4885</v>
      </c>
      <c r="AR158" s="12" t="s">
        <v>4886</v>
      </c>
      <c r="AS158" s="12" t="s">
        <v>4754</v>
      </c>
      <c r="AT158" s="12" t="s">
        <v>366</v>
      </c>
      <c r="AU158" s="12" t="s">
        <v>4755</v>
      </c>
      <c r="AV158" s="12" t="s">
        <v>832</v>
      </c>
      <c r="AW158" s="12" t="s">
        <v>923</v>
      </c>
      <c r="AX158" s="12" t="s">
        <v>868</v>
      </c>
      <c r="AY158" s="12" t="s">
        <v>868</v>
      </c>
      <c r="AZ158" s="12" t="s">
        <v>4887</v>
      </c>
      <c r="BA158" s="12" t="s">
        <v>868</v>
      </c>
      <c r="BB158" s="12" t="s">
        <v>868</v>
      </c>
      <c r="BC158" s="12" t="s">
        <v>866</v>
      </c>
      <c r="BD158" s="12" t="s">
        <v>867</v>
      </c>
      <c r="BE158" s="12" t="s">
        <v>868</v>
      </c>
      <c r="BF158" s="12" t="s">
        <v>869</v>
      </c>
      <c r="BG158" s="12" t="s">
        <v>870</v>
      </c>
      <c r="BH158" s="12" t="s">
        <v>841</v>
      </c>
      <c r="BI158" s="12" t="s">
        <v>871</v>
      </c>
      <c r="BJ158" s="12" t="s">
        <v>841</v>
      </c>
      <c r="BK158" s="12" t="s">
        <v>841</v>
      </c>
      <c r="BL158" s="12" t="s">
        <v>872</v>
      </c>
      <c r="BM158" s="12" t="s">
        <v>873</v>
      </c>
      <c r="BN158" s="12" t="s">
        <v>866</v>
      </c>
      <c r="BO158" s="12" t="s">
        <v>874</v>
      </c>
      <c r="BP158" s="12" t="s">
        <v>875</v>
      </c>
      <c r="BQ158" s="12" t="s">
        <v>876</v>
      </c>
      <c r="BR158" s="12" t="s">
        <v>869</v>
      </c>
      <c r="BS158" s="12" t="s">
        <v>869</v>
      </c>
      <c r="BT158" s="12" t="s">
        <v>877</v>
      </c>
      <c r="BU158" s="12" t="s">
        <v>877</v>
      </c>
      <c r="BV158" s="12" t="s">
        <v>877</v>
      </c>
      <c r="BW158" s="12" t="s">
        <v>841</v>
      </c>
      <c r="BX158" s="12" t="s">
        <v>878</v>
      </c>
      <c r="BY158" s="12" t="s">
        <v>841</v>
      </c>
      <c r="BZ158" s="12" t="s">
        <v>841</v>
      </c>
      <c r="CA158" s="12" t="s">
        <v>841</v>
      </c>
      <c r="CB158" s="12" t="s">
        <v>841</v>
      </c>
      <c r="CC158" s="12" t="s">
        <v>4888</v>
      </c>
      <c r="CD158" s="12" t="s">
        <v>4889</v>
      </c>
      <c r="CE158" s="12" t="s">
        <v>4890</v>
      </c>
      <c r="CF158" s="12" t="s">
        <v>4891</v>
      </c>
      <c r="CG158" s="12" t="s">
        <v>4892</v>
      </c>
      <c r="CH158" s="12" t="s">
        <v>4893</v>
      </c>
      <c r="CI158" s="12" t="s">
        <v>4894</v>
      </c>
      <c r="CJ158" s="12" t="s">
        <v>4895</v>
      </c>
      <c r="CK158" s="12" t="s">
        <v>4876</v>
      </c>
      <c r="CL158" s="12" t="s">
        <v>1526</v>
      </c>
      <c r="CM158" s="12" t="s">
        <v>888</v>
      </c>
      <c r="CN158" s="12" t="s">
        <v>841</v>
      </c>
      <c r="CO158" s="12" t="s">
        <v>847</v>
      </c>
      <c r="CP158" s="12" t="s">
        <v>889</v>
      </c>
      <c r="CQ158" s="12" t="s">
        <v>890</v>
      </c>
      <c r="CR158" s="12" t="s">
        <v>847</v>
      </c>
      <c r="CS158" s="12" t="s">
        <v>891</v>
      </c>
      <c r="CT158" s="12" t="s">
        <v>892</v>
      </c>
      <c r="CU158" s="12" t="s">
        <v>893</v>
      </c>
      <c r="CV158" s="12" t="s">
        <v>841</v>
      </c>
      <c r="CW158" s="12" t="s">
        <v>4875</v>
      </c>
      <c r="CX158" s="12" t="s">
        <v>894</v>
      </c>
      <c r="CY158" s="12" t="s">
        <v>895</v>
      </c>
      <c r="CZ158" s="12" t="s">
        <v>896</v>
      </c>
      <c r="DA158" s="12" t="s">
        <v>897</v>
      </c>
      <c r="DB158" s="12" t="s">
        <v>898</v>
      </c>
      <c r="DC158" s="12" t="s">
        <v>899</v>
      </c>
    </row>
    <row r="159">
      <c r="A159" s="12" t="s">
        <v>1661</v>
      </c>
      <c r="B159" s="12" t="s">
        <v>503</v>
      </c>
      <c r="C159" s="12" t="s">
        <v>366</v>
      </c>
      <c r="D159" s="12" t="s">
        <v>833</v>
      </c>
      <c r="E159" s="12" t="s">
        <v>834</v>
      </c>
      <c r="F159" s="12"/>
      <c r="G159" s="12" t="s">
        <v>114</v>
      </c>
      <c r="H159" s="12" t="s">
        <v>499</v>
      </c>
      <c r="I159" s="12"/>
      <c r="J159" s="43">
        <f t="shared" si="1"/>
        <v>-0.0634991181</v>
      </c>
      <c r="K159" s="43">
        <f t="shared" si="2"/>
        <v>2.91060848</v>
      </c>
      <c r="L159" s="43">
        <f t="shared" si="3"/>
        <v>-0.06491533977</v>
      </c>
      <c r="M159" s="43">
        <f t="shared" si="4"/>
        <v>-2.335803549</v>
      </c>
      <c r="N159" s="12" t="s">
        <v>4896</v>
      </c>
      <c r="O159" s="12" t="s">
        <v>4897</v>
      </c>
      <c r="P159" s="43">
        <f t="shared" si="5"/>
        <v>4.30469774</v>
      </c>
      <c r="Q159" s="43">
        <f t="shared" si="6"/>
        <v>3.43861574</v>
      </c>
      <c r="R159" s="12" t="s">
        <v>4898</v>
      </c>
      <c r="S159" s="12" t="s">
        <v>4899</v>
      </c>
      <c r="T159" s="43">
        <f t="shared" si="7"/>
        <v>43.85835701</v>
      </c>
      <c r="U159" s="43">
        <f t="shared" si="8"/>
        <v>0.4417875</v>
      </c>
      <c r="V159" s="12" t="s">
        <v>839</v>
      </c>
      <c r="W159" s="12" t="s">
        <v>4900</v>
      </c>
      <c r="X159" s="12" t="s">
        <v>841</v>
      </c>
      <c r="Y159" s="12" t="s">
        <v>841</v>
      </c>
      <c r="Z159" s="12" t="s">
        <v>841</v>
      </c>
      <c r="AA159" s="12" t="s">
        <v>4901</v>
      </c>
      <c r="AB159" s="12" t="s">
        <v>4902</v>
      </c>
      <c r="AC159" s="12" t="s">
        <v>4903</v>
      </c>
      <c r="AD159" s="12" t="s">
        <v>845</v>
      </c>
      <c r="AE159" s="12" t="s">
        <v>846</v>
      </c>
      <c r="AF159" s="43">
        <f t="shared" si="9"/>
        <v>17.4438692</v>
      </c>
      <c r="AG159" s="12" t="s">
        <v>847</v>
      </c>
      <c r="AH159" s="12" t="s">
        <v>4904</v>
      </c>
      <c r="AI159" s="12" t="s">
        <v>4905</v>
      </c>
      <c r="AJ159" s="12" t="s">
        <v>4906</v>
      </c>
      <c r="AK159" s="12" t="s">
        <v>4907</v>
      </c>
      <c r="AL159" s="43">
        <f t="shared" si="10"/>
        <v>30.18</v>
      </c>
      <c r="AM159" s="12" t="s">
        <v>2410</v>
      </c>
      <c r="AN159" s="12" t="s">
        <v>1159</v>
      </c>
      <c r="AO159" s="12" t="s">
        <v>4908</v>
      </c>
      <c r="AP159" s="12" t="s">
        <v>1107</v>
      </c>
      <c r="AQ159" s="12" t="s">
        <v>3014</v>
      </c>
      <c r="AR159" s="12" t="s">
        <v>4909</v>
      </c>
      <c r="AS159" s="12" t="s">
        <v>4754</v>
      </c>
      <c r="AT159" s="12" t="s">
        <v>366</v>
      </c>
      <c r="AU159" s="12" t="s">
        <v>4755</v>
      </c>
      <c r="AV159" s="12" t="s">
        <v>832</v>
      </c>
      <c r="AW159" s="12" t="s">
        <v>1403</v>
      </c>
      <c r="AX159" s="12" t="s">
        <v>868</v>
      </c>
      <c r="AY159" s="12" t="s">
        <v>868</v>
      </c>
      <c r="AZ159" s="12" t="s">
        <v>4910</v>
      </c>
      <c r="BA159" s="12" t="s">
        <v>868</v>
      </c>
      <c r="BB159" s="12" t="s">
        <v>868</v>
      </c>
      <c r="BC159" s="12" t="s">
        <v>866</v>
      </c>
      <c r="BD159" s="12" t="s">
        <v>867</v>
      </c>
      <c r="BE159" s="12" t="s">
        <v>868</v>
      </c>
      <c r="BF159" s="12" t="s">
        <v>869</v>
      </c>
      <c r="BG159" s="12" t="s">
        <v>870</v>
      </c>
      <c r="BH159" s="12" t="s">
        <v>841</v>
      </c>
      <c r="BI159" s="12" t="s">
        <v>871</v>
      </c>
      <c r="BJ159" s="12" t="s">
        <v>841</v>
      </c>
      <c r="BK159" s="12" t="s">
        <v>841</v>
      </c>
      <c r="BL159" s="12" t="s">
        <v>872</v>
      </c>
      <c r="BM159" s="12" t="s">
        <v>873</v>
      </c>
      <c r="BN159" s="12" t="s">
        <v>866</v>
      </c>
      <c r="BO159" s="12" t="s">
        <v>874</v>
      </c>
      <c r="BP159" s="12" t="s">
        <v>875</v>
      </c>
      <c r="BQ159" s="12" t="s">
        <v>876</v>
      </c>
      <c r="BR159" s="12" t="s">
        <v>869</v>
      </c>
      <c r="BS159" s="12" t="s">
        <v>869</v>
      </c>
      <c r="BT159" s="12" t="s">
        <v>877</v>
      </c>
      <c r="BU159" s="12" t="s">
        <v>877</v>
      </c>
      <c r="BV159" s="12" t="s">
        <v>877</v>
      </c>
      <c r="BW159" s="12" t="s">
        <v>841</v>
      </c>
      <c r="BX159" s="12" t="s">
        <v>878</v>
      </c>
      <c r="BY159" s="12" t="s">
        <v>841</v>
      </c>
      <c r="BZ159" s="12" t="s">
        <v>841</v>
      </c>
      <c r="CA159" s="12" t="s">
        <v>841</v>
      </c>
      <c r="CB159" s="12" t="s">
        <v>841</v>
      </c>
      <c r="CC159" s="12" t="s">
        <v>4911</v>
      </c>
      <c r="CD159" s="12" t="s">
        <v>4912</v>
      </c>
      <c r="CE159" s="12" t="s">
        <v>4913</v>
      </c>
      <c r="CF159" s="12" t="s">
        <v>4914</v>
      </c>
      <c r="CG159" s="12" t="s">
        <v>4915</v>
      </c>
      <c r="CH159" s="12" t="s">
        <v>4916</v>
      </c>
      <c r="CI159" s="12" t="s">
        <v>4917</v>
      </c>
      <c r="CJ159" s="12" t="s">
        <v>4918</v>
      </c>
      <c r="CK159" s="12" t="s">
        <v>4901</v>
      </c>
      <c r="CL159" s="12" t="s">
        <v>1526</v>
      </c>
      <c r="CM159" s="12" t="s">
        <v>888</v>
      </c>
      <c r="CN159" s="12" t="s">
        <v>841</v>
      </c>
      <c r="CO159" s="12" t="s">
        <v>847</v>
      </c>
      <c r="CP159" s="12" t="s">
        <v>889</v>
      </c>
      <c r="CQ159" s="12" t="s">
        <v>890</v>
      </c>
      <c r="CR159" s="12" t="s">
        <v>847</v>
      </c>
      <c r="CS159" s="12" t="s">
        <v>891</v>
      </c>
      <c r="CT159" s="12" t="s">
        <v>892</v>
      </c>
      <c r="CU159" s="12" t="s">
        <v>893</v>
      </c>
      <c r="CV159" s="12" t="s">
        <v>841</v>
      </c>
      <c r="CW159" s="12" t="s">
        <v>4900</v>
      </c>
      <c r="CX159" s="12" t="s">
        <v>894</v>
      </c>
      <c r="CY159" s="12" t="s">
        <v>895</v>
      </c>
      <c r="CZ159" s="12" t="s">
        <v>896</v>
      </c>
      <c r="DA159" s="12" t="s">
        <v>897</v>
      </c>
      <c r="DB159" s="12" t="s">
        <v>898</v>
      </c>
      <c r="DC159" s="12" t="s">
        <v>899</v>
      </c>
    </row>
    <row r="160">
      <c r="A160" s="12" t="s">
        <v>1687</v>
      </c>
      <c r="B160" s="12" t="s">
        <v>506</v>
      </c>
      <c r="C160" s="12" t="s">
        <v>366</v>
      </c>
      <c r="D160" s="12" t="s">
        <v>833</v>
      </c>
      <c r="E160" s="12" t="s">
        <v>834</v>
      </c>
      <c r="F160" s="12"/>
      <c r="G160" s="12" t="s">
        <v>114</v>
      </c>
      <c r="H160" s="12" t="s">
        <v>505</v>
      </c>
      <c r="I160" s="12"/>
      <c r="J160" s="43">
        <f t="shared" si="1"/>
        <v>-0.04139993275</v>
      </c>
      <c r="K160" s="43">
        <f t="shared" si="2"/>
        <v>2.90981592</v>
      </c>
      <c r="L160" s="43">
        <f t="shared" si="3"/>
        <v>-0.0419974592</v>
      </c>
      <c r="M160" s="43">
        <f t="shared" si="4"/>
        <v>-1.638668531</v>
      </c>
      <c r="N160" s="12" t="s">
        <v>4919</v>
      </c>
      <c r="O160" s="12" t="s">
        <v>4920</v>
      </c>
      <c r="P160" s="43">
        <f t="shared" si="5"/>
        <v>4.675989356</v>
      </c>
      <c r="Q160" s="43">
        <f t="shared" si="6"/>
        <v>3.719334356</v>
      </c>
      <c r="R160" s="12" t="s">
        <v>4921</v>
      </c>
      <c r="S160" s="12" t="s">
        <v>4922</v>
      </c>
      <c r="T160" s="43">
        <f t="shared" si="7"/>
        <v>47.64611123</v>
      </c>
      <c r="U160" s="43">
        <f t="shared" si="8"/>
        <v>0.4417875</v>
      </c>
      <c r="V160" s="12" t="s">
        <v>839</v>
      </c>
      <c r="W160" s="12" t="s">
        <v>4923</v>
      </c>
      <c r="X160" s="12" t="s">
        <v>841</v>
      </c>
      <c r="Y160" s="12" t="s">
        <v>841</v>
      </c>
      <c r="Z160" s="12" t="s">
        <v>841</v>
      </c>
      <c r="AA160" s="12" t="s">
        <v>4924</v>
      </c>
      <c r="AB160" s="12" t="s">
        <v>4925</v>
      </c>
      <c r="AC160" s="12" t="s">
        <v>4926</v>
      </c>
      <c r="AD160" s="12" t="s">
        <v>845</v>
      </c>
      <c r="AE160" s="12" t="s">
        <v>846</v>
      </c>
      <c r="AF160" s="43">
        <f t="shared" si="9"/>
        <v>70.2399112</v>
      </c>
      <c r="AG160" s="12" t="s">
        <v>847</v>
      </c>
      <c r="AH160" s="12" t="s">
        <v>4927</v>
      </c>
      <c r="AI160" s="12" t="s">
        <v>4928</v>
      </c>
      <c r="AJ160" s="12" t="s">
        <v>4929</v>
      </c>
      <c r="AK160" s="12" t="s">
        <v>4930</v>
      </c>
      <c r="AL160" s="43">
        <f t="shared" si="10"/>
        <v>31.63</v>
      </c>
      <c r="AM160" s="12" t="s">
        <v>1071</v>
      </c>
      <c r="AN160" s="12" t="s">
        <v>914</v>
      </c>
      <c r="AO160" s="12" t="s">
        <v>4931</v>
      </c>
      <c r="AP160" s="12" t="s">
        <v>4932</v>
      </c>
      <c r="AQ160" s="12" t="s">
        <v>220</v>
      </c>
      <c r="AR160" s="12" t="s">
        <v>4909</v>
      </c>
      <c r="AS160" s="12" t="s">
        <v>4754</v>
      </c>
      <c r="AT160" s="12" t="s">
        <v>366</v>
      </c>
      <c r="AU160" s="12" t="s">
        <v>4755</v>
      </c>
      <c r="AV160" s="12" t="s">
        <v>832</v>
      </c>
      <c r="AW160" s="12" t="s">
        <v>1286</v>
      </c>
      <c r="AX160" s="12" t="s">
        <v>860</v>
      </c>
      <c r="AY160" s="12" t="s">
        <v>2331</v>
      </c>
      <c r="AZ160" s="12" t="s">
        <v>4933</v>
      </c>
      <c r="BA160" s="12" t="s">
        <v>4934</v>
      </c>
      <c r="BB160" s="12" t="s">
        <v>4935</v>
      </c>
      <c r="BC160" s="12" t="s">
        <v>866</v>
      </c>
      <c r="BD160" s="12" t="s">
        <v>867</v>
      </c>
      <c r="BE160" s="12" t="s">
        <v>868</v>
      </c>
      <c r="BF160" s="12" t="s">
        <v>869</v>
      </c>
      <c r="BG160" s="12" t="s">
        <v>870</v>
      </c>
      <c r="BH160" s="12" t="s">
        <v>841</v>
      </c>
      <c r="BI160" s="12" t="s">
        <v>871</v>
      </c>
      <c r="BJ160" s="12" t="s">
        <v>841</v>
      </c>
      <c r="BK160" s="12" t="s">
        <v>841</v>
      </c>
      <c r="BL160" s="12" t="s">
        <v>872</v>
      </c>
      <c r="BM160" s="12" t="s">
        <v>873</v>
      </c>
      <c r="BN160" s="12" t="s">
        <v>866</v>
      </c>
      <c r="BO160" s="12" t="s">
        <v>874</v>
      </c>
      <c r="BP160" s="12" t="s">
        <v>875</v>
      </c>
      <c r="BQ160" s="12" t="s">
        <v>876</v>
      </c>
      <c r="BR160" s="12" t="s">
        <v>869</v>
      </c>
      <c r="BS160" s="12" t="s">
        <v>869</v>
      </c>
      <c r="BT160" s="12" t="s">
        <v>877</v>
      </c>
      <c r="BU160" s="12" t="s">
        <v>877</v>
      </c>
      <c r="BV160" s="12" t="s">
        <v>877</v>
      </c>
      <c r="BW160" s="12" t="s">
        <v>841</v>
      </c>
      <c r="BX160" s="12" t="s">
        <v>878</v>
      </c>
      <c r="BY160" s="12" t="s">
        <v>841</v>
      </c>
      <c r="BZ160" s="12" t="s">
        <v>841</v>
      </c>
      <c r="CA160" s="12" t="s">
        <v>841</v>
      </c>
      <c r="CB160" s="12" t="s">
        <v>841</v>
      </c>
      <c r="CC160" s="12" t="s">
        <v>4936</v>
      </c>
      <c r="CD160" s="12" t="s">
        <v>4937</v>
      </c>
      <c r="CE160" s="12" t="s">
        <v>4938</v>
      </c>
      <c r="CF160" s="12" t="s">
        <v>4939</v>
      </c>
      <c r="CG160" s="12" t="s">
        <v>4940</v>
      </c>
      <c r="CH160" s="12" t="s">
        <v>4941</v>
      </c>
      <c r="CI160" s="12" t="s">
        <v>4942</v>
      </c>
      <c r="CJ160" s="12" t="s">
        <v>4943</v>
      </c>
      <c r="CK160" s="12" t="s">
        <v>4924</v>
      </c>
      <c r="CL160" s="12" t="s">
        <v>1354</v>
      </c>
      <c r="CM160" s="12" t="s">
        <v>888</v>
      </c>
      <c r="CN160" s="12" t="s">
        <v>841</v>
      </c>
      <c r="CO160" s="12" t="s">
        <v>847</v>
      </c>
      <c r="CP160" s="12" t="s">
        <v>889</v>
      </c>
      <c r="CQ160" s="12" t="s">
        <v>890</v>
      </c>
      <c r="CR160" s="12" t="s">
        <v>847</v>
      </c>
      <c r="CS160" s="12" t="s">
        <v>891</v>
      </c>
      <c r="CT160" s="12" t="s">
        <v>892</v>
      </c>
      <c r="CU160" s="12" t="s">
        <v>893</v>
      </c>
      <c r="CV160" s="12" t="s">
        <v>841</v>
      </c>
      <c r="CW160" s="12" t="s">
        <v>4923</v>
      </c>
      <c r="CX160" s="12" t="s">
        <v>894</v>
      </c>
      <c r="CY160" s="12" t="s">
        <v>895</v>
      </c>
      <c r="CZ160" s="12" t="s">
        <v>896</v>
      </c>
      <c r="DA160" s="12" t="s">
        <v>897</v>
      </c>
      <c r="DB160" s="12" t="s">
        <v>898</v>
      </c>
      <c r="DC160" s="12" t="s">
        <v>899</v>
      </c>
    </row>
    <row r="161">
      <c r="A161" s="12" t="s">
        <v>1713</v>
      </c>
      <c r="B161" s="12" t="s">
        <v>508</v>
      </c>
      <c r="C161" s="12" t="s">
        <v>366</v>
      </c>
      <c r="D161" s="12" t="s">
        <v>833</v>
      </c>
      <c r="E161" s="12" t="s">
        <v>834</v>
      </c>
      <c r="F161" s="12"/>
      <c r="G161" s="12" t="s">
        <v>114</v>
      </c>
      <c r="H161" s="12" t="s">
        <v>505</v>
      </c>
      <c r="I161" s="12"/>
      <c r="J161" s="43">
        <f t="shared" si="1"/>
        <v>-0.01083837005</v>
      </c>
      <c r="K161" s="43">
        <f t="shared" si="2"/>
        <v>2.90822672</v>
      </c>
      <c r="L161" s="43">
        <f t="shared" si="3"/>
        <v>-0.01087891355</v>
      </c>
      <c r="M161" s="43">
        <f t="shared" si="4"/>
        <v>-0.4928324653</v>
      </c>
      <c r="N161" s="12" t="s">
        <v>4944</v>
      </c>
      <c r="O161" s="12" t="s">
        <v>4945</v>
      </c>
      <c r="P161" s="43">
        <f t="shared" si="5"/>
        <v>5.298467247</v>
      </c>
      <c r="Q161" s="43">
        <f t="shared" si="6"/>
        <v>4.303845247</v>
      </c>
      <c r="R161" s="12" t="s">
        <v>4946</v>
      </c>
      <c r="S161" s="12" t="s">
        <v>4947</v>
      </c>
      <c r="T161" s="43">
        <f t="shared" si="7"/>
        <v>53.98336472</v>
      </c>
      <c r="U161" s="43">
        <f t="shared" si="8"/>
        <v>0.4417875</v>
      </c>
      <c r="V161" s="12" t="s">
        <v>839</v>
      </c>
      <c r="W161" s="12" t="s">
        <v>4948</v>
      </c>
      <c r="X161" s="12" t="s">
        <v>841</v>
      </c>
      <c r="Y161" s="12" t="s">
        <v>841</v>
      </c>
      <c r="Z161" s="12" t="s">
        <v>841</v>
      </c>
      <c r="AA161" s="12" t="s">
        <v>4949</v>
      </c>
      <c r="AB161" s="12" t="s">
        <v>4950</v>
      </c>
      <c r="AC161" s="12" t="s">
        <v>4951</v>
      </c>
      <c r="AD161" s="12" t="s">
        <v>845</v>
      </c>
      <c r="AE161" s="12" t="s">
        <v>846</v>
      </c>
      <c r="AF161" s="43">
        <f t="shared" si="9"/>
        <v>95.4063576</v>
      </c>
      <c r="AG161" s="12" t="s">
        <v>847</v>
      </c>
      <c r="AH161" s="12" t="s">
        <v>4952</v>
      </c>
      <c r="AI161" s="12" t="s">
        <v>4953</v>
      </c>
      <c r="AJ161" s="12" t="s">
        <v>4954</v>
      </c>
      <c r="AK161" s="12" t="s">
        <v>4748</v>
      </c>
      <c r="AL161" s="43">
        <f t="shared" si="10"/>
        <v>33.85</v>
      </c>
      <c r="AM161" s="12" t="s">
        <v>2410</v>
      </c>
      <c r="AN161" s="12" t="s">
        <v>853</v>
      </c>
      <c r="AO161" s="12" t="s">
        <v>4955</v>
      </c>
      <c r="AP161" s="12" t="s">
        <v>4956</v>
      </c>
      <c r="AQ161" s="12" t="s">
        <v>4957</v>
      </c>
      <c r="AR161" s="12" t="s">
        <v>4958</v>
      </c>
      <c r="AS161" s="12" t="s">
        <v>4754</v>
      </c>
      <c r="AT161" s="12" t="s">
        <v>366</v>
      </c>
      <c r="AU161" s="12" t="s">
        <v>4755</v>
      </c>
      <c r="AV161" s="12" t="s">
        <v>832</v>
      </c>
      <c r="AW161" s="12" t="s">
        <v>1342</v>
      </c>
      <c r="AX161" s="12" t="s">
        <v>868</v>
      </c>
      <c r="AY161" s="12" t="s">
        <v>868</v>
      </c>
      <c r="AZ161" s="12" t="s">
        <v>4959</v>
      </c>
      <c r="BA161" s="12" t="s">
        <v>868</v>
      </c>
      <c r="BB161" s="12" t="s">
        <v>868</v>
      </c>
      <c r="BC161" s="12" t="s">
        <v>866</v>
      </c>
      <c r="BD161" s="12" t="s">
        <v>867</v>
      </c>
      <c r="BE161" s="12" t="s">
        <v>868</v>
      </c>
      <c r="BF161" s="12" t="s">
        <v>869</v>
      </c>
      <c r="BG161" s="12" t="s">
        <v>870</v>
      </c>
      <c r="BH161" s="12" t="s">
        <v>841</v>
      </c>
      <c r="BI161" s="12" t="s">
        <v>871</v>
      </c>
      <c r="BJ161" s="12" t="s">
        <v>841</v>
      </c>
      <c r="BK161" s="12" t="s">
        <v>841</v>
      </c>
      <c r="BL161" s="12" t="s">
        <v>872</v>
      </c>
      <c r="BM161" s="12" t="s">
        <v>873</v>
      </c>
      <c r="BN161" s="12" t="s">
        <v>866</v>
      </c>
      <c r="BO161" s="12" t="s">
        <v>874</v>
      </c>
      <c r="BP161" s="12" t="s">
        <v>875</v>
      </c>
      <c r="BQ161" s="12" t="s">
        <v>876</v>
      </c>
      <c r="BR161" s="12" t="s">
        <v>869</v>
      </c>
      <c r="BS161" s="12" t="s">
        <v>869</v>
      </c>
      <c r="BT161" s="12" t="s">
        <v>877</v>
      </c>
      <c r="BU161" s="12" t="s">
        <v>877</v>
      </c>
      <c r="BV161" s="12" t="s">
        <v>877</v>
      </c>
      <c r="BW161" s="12" t="s">
        <v>841</v>
      </c>
      <c r="BX161" s="12" t="s">
        <v>878</v>
      </c>
      <c r="BY161" s="12" t="s">
        <v>841</v>
      </c>
      <c r="BZ161" s="12" t="s">
        <v>841</v>
      </c>
      <c r="CA161" s="12" t="s">
        <v>841</v>
      </c>
      <c r="CB161" s="12" t="s">
        <v>841</v>
      </c>
      <c r="CC161" s="12" t="s">
        <v>4960</v>
      </c>
      <c r="CD161" s="12" t="s">
        <v>4961</v>
      </c>
      <c r="CE161" s="12" t="s">
        <v>4962</v>
      </c>
      <c r="CF161" s="12" t="s">
        <v>4963</v>
      </c>
      <c r="CG161" s="12" t="s">
        <v>4964</v>
      </c>
      <c r="CH161" s="12" t="s">
        <v>1893</v>
      </c>
      <c r="CI161" s="12" t="s">
        <v>4965</v>
      </c>
      <c r="CJ161" s="12" t="s">
        <v>4966</v>
      </c>
      <c r="CK161" s="12" t="s">
        <v>4949</v>
      </c>
      <c r="CL161" s="12" t="s">
        <v>996</v>
      </c>
      <c r="CM161" s="12" t="s">
        <v>888</v>
      </c>
      <c r="CN161" s="12" t="s">
        <v>841</v>
      </c>
      <c r="CO161" s="12" t="s">
        <v>847</v>
      </c>
      <c r="CP161" s="12" t="s">
        <v>889</v>
      </c>
      <c r="CQ161" s="12" t="s">
        <v>890</v>
      </c>
      <c r="CR161" s="12" t="s">
        <v>847</v>
      </c>
      <c r="CS161" s="12" t="s">
        <v>891</v>
      </c>
      <c r="CT161" s="12" t="s">
        <v>892</v>
      </c>
      <c r="CU161" s="12" t="s">
        <v>893</v>
      </c>
      <c r="CV161" s="12" t="s">
        <v>841</v>
      </c>
      <c r="CW161" s="12" t="s">
        <v>4948</v>
      </c>
      <c r="CX161" s="12" t="s">
        <v>894</v>
      </c>
      <c r="CY161" s="12" t="s">
        <v>895</v>
      </c>
      <c r="CZ161" s="12" t="s">
        <v>896</v>
      </c>
      <c r="DA161" s="12" t="s">
        <v>897</v>
      </c>
      <c r="DB161" s="12" t="s">
        <v>898</v>
      </c>
      <c r="DC161" s="12" t="s">
        <v>899</v>
      </c>
    </row>
    <row r="162">
      <c r="A162" s="12" t="s">
        <v>1743</v>
      </c>
      <c r="B162" s="12" t="s">
        <v>509</v>
      </c>
      <c r="C162" s="12" t="s">
        <v>366</v>
      </c>
      <c r="D162" s="12" t="s">
        <v>833</v>
      </c>
      <c r="E162" s="12" t="s">
        <v>834</v>
      </c>
      <c r="F162" s="12"/>
      <c r="G162" s="12" t="s">
        <v>114</v>
      </c>
      <c r="H162" s="12" t="s">
        <v>505</v>
      </c>
      <c r="I162" s="12"/>
      <c r="J162" s="43">
        <f t="shared" si="1"/>
        <v>-0.05101243686</v>
      </c>
      <c r="K162" s="43">
        <f t="shared" si="2"/>
        <v>2.91060848</v>
      </c>
      <c r="L162" s="43">
        <f t="shared" si="3"/>
        <v>-0.05192244956</v>
      </c>
      <c r="M162" s="43">
        <f t="shared" si="4"/>
        <v>-2.065038696</v>
      </c>
      <c r="N162" s="12" t="s">
        <v>4967</v>
      </c>
      <c r="O162" s="12" t="s">
        <v>4968</v>
      </c>
      <c r="P162" s="43">
        <f t="shared" si="5"/>
        <v>4.683956739</v>
      </c>
      <c r="Q162" s="43">
        <f t="shared" si="6"/>
        <v>3.792304739</v>
      </c>
      <c r="R162" s="12" t="s">
        <v>4969</v>
      </c>
      <c r="S162" s="12" t="s">
        <v>4970</v>
      </c>
      <c r="T162" s="43">
        <f t="shared" si="7"/>
        <v>47.72729507</v>
      </c>
      <c r="U162" s="43">
        <f t="shared" si="8"/>
        <v>0.4417875</v>
      </c>
      <c r="V162" s="12" t="s">
        <v>839</v>
      </c>
      <c r="W162" s="12" t="s">
        <v>4971</v>
      </c>
      <c r="X162" s="12" t="s">
        <v>841</v>
      </c>
      <c r="Y162" s="12" t="s">
        <v>841</v>
      </c>
      <c r="Z162" s="12" t="s">
        <v>841</v>
      </c>
      <c r="AA162" s="12" t="s">
        <v>4972</v>
      </c>
      <c r="AB162" s="12" t="s">
        <v>4973</v>
      </c>
      <c r="AC162" s="12" t="s">
        <v>4974</v>
      </c>
      <c r="AD162" s="12" t="s">
        <v>845</v>
      </c>
      <c r="AE162" s="12" t="s">
        <v>846</v>
      </c>
      <c r="AF162" s="43">
        <f t="shared" si="9"/>
        <v>26.7686</v>
      </c>
      <c r="AG162" s="12" t="s">
        <v>847</v>
      </c>
      <c r="AH162" s="12" t="s">
        <v>4975</v>
      </c>
      <c r="AI162" s="12" t="s">
        <v>4976</v>
      </c>
      <c r="AJ162" s="12" t="s">
        <v>4977</v>
      </c>
      <c r="AK162" s="12" t="s">
        <v>4392</v>
      </c>
      <c r="AL162" s="43">
        <f t="shared" si="10"/>
        <v>31.66</v>
      </c>
      <c r="AM162" s="12" t="s">
        <v>1071</v>
      </c>
      <c r="AN162" s="12" t="s">
        <v>1159</v>
      </c>
      <c r="AO162" s="12" t="s">
        <v>4978</v>
      </c>
      <c r="AP162" s="12" t="s">
        <v>4979</v>
      </c>
      <c r="AQ162" s="12" t="s">
        <v>4980</v>
      </c>
      <c r="AR162" s="12" t="s">
        <v>4958</v>
      </c>
      <c r="AS162" s="12" t="s">
        <v>4754</v>
      </c>
      <c r="AT162" s="12" t="s">
        <v>366</v>
      </c>
      <c r="AU162" s="12" t="s">
        <v>4755</v>
      </c>
      <c r="AV162" s="12" t="s">
        <v>832</v>
      </c>
      <c r="AW162" s="12" t="s">
        <v>868</v>
      </c>
      <c r="AX162" s="12" t="s">
        <v>868</v>
      </c>
      <c r="AY162" s="12" t="s">
        <v>868</v>
      </c>
      <c r="AZ162" s="12" t="s">
        <v>868</v>
      </c>
      <c r="BA162" s="12" t="s">
        <v>868</v>
      </c>
      <c r="BB162" s="12" t="s">
        <v>868</v>
      </c>
      <c r="BC162" s="12" t="s">
        <v>866</v>
      </c>
      <c r="BD162" s="12" t="s">
        <v>867</v>
      </c>
      <c r="BE162" s="12" t="s">
        <v>868</v>
      </c>
      <c r="BF162" s="12" t="s">
        <v>869</v>
      </c>
      <c r="BG162" s="12" t="s">
        <v>870</v>
      </c>
      <c r="BH162" s="12" t="s">
        <v>841</v>
      </c>
      <c r="BI162" s="12" t="s">
        <v>871</v>
      </c>
      <c r="BJ162" s="12" t="s">
        <v>841</v>
      </c>
      <c r="BK162" s="12" t="s">
        <v>841</v>
      </c>
      <c r="BL162" s="12" t="s">
        <v>872</v>
      </c>
      <c r="BM162" s="12" t="s">
        <v>873</v>
      </c>
      <c r="BN162" s="12" t="s">
        <v>866</v>
      </c>
      <c r="BO162" s="12" t="s">
        <v>874</v>
      </c>
      <c r="BP162" s="12" t="s">
        <v>875</v>
      </c>
      <c r="BQ162" s="12" t="s">
        <v>876</v>
      </c>
      <c r="BR162" s="12" t="s">
        <v>869</v>
      </c>
      <c r="BS162" s="12" t="s">
        <v>869</v>
      </c>
      <c r="BT162" s="12" t="s">
        <v>877</v>
      </c>
      <c r="BU162" s="12" t="s">
        <v>877</v>
      </c>
      <c r="BV162" s="12" t="s">
        <v>877</v>
      </c>
      <c r="BW162" s="12" t="s">
        <v>841</v>
      </c>
      <c r="BX162" s="12" t="s">
        <v>878</v>
      </c>
      <c r="BY162" s="12" t="s">
        <v>841</v>
      </c>
      <c r="BZ162" s="12" t="s">
        <v>841</v>
      </c>
      <c r="CA162" s="12" t="s">
        <v>841</v>
      </c>
      <c r="CB162" s="12" t="s">
        <v>841</v>
      </c>
      <c r="CC162" s="12" t="s">
        <v>4981</v>
      </c>
      <c r="CD162" s="12" t="s">
        <v>4982</v>
      </c>
      <c r="CE162" s="12" t="s">
        <v>4983</v>
      </c>
      <c r="CF162" s="12" t="s">
        <v>4984</v>
      </c>
      <c r="CG162" s="12" t="s">
        <v>4985</v>
      </c>
      <c r="CH162" s="12" t="s">
        <v>4986</v>
      </c>
      <c r="CI162" s="12" t="s">
        <v>4987</v>
      </c>
      <c r="CJ162" s="12" t="s">
        <v>4988</v>
      </c>
      <c r="CK162" s="12" t="s">
        <v>4989</v>
      </c>
      <c r="CL162" s="12" t="s">
        <v>2231</v>
      </c>
      <c r="CM162" s="12" t="s">
        <v>888</v>
      </c>
      <c r="CN162" s="12" t="s">
        <v>841</v>
      </c>
      <c r="CO162" s="12" t="s">
        <v>847</v>
      </c>
      <c r="CP162" s="12" t="s">
        <v>889</v>
      </c>
      <c r="CQ162" s="12" t="s">
        <v>890</v>
      </c>
      <c r="CR162" s="12" t="s">
        <v>847</v>
      </c>
      <c r="CS162" s="12" t="s">
        <v>891</v>
      </c>
      <c r="CT162" s="12" t="s">
        <v>892</v>
      </c>
      <c r="CU162" s="12" t="s">
        <v>893</v>
      </c>
      <c r="CV162" s="12" t="s">
        <v>841</v>
      </c>
      <c r="CW162" s="12" t="s">
        <v>4971</v>
      </c>
      <c r="CX162" s="12" t="s">
        <v>894</v>
      </c>
      <c r="CY162" s="12" t="s">
        <v>895</v>
      </c>
      <c r="CZ162" s="12" t="s">
        <v>896</v>
      </c>
      <c r="DA162" s="12" t="s">
        <v>897</v>
      </c>
      <c r="DB162" s="12" t="s">
        <v>898</v>
      </c>
      <c r="DC162" s="12" t="s">
        <v>899</v>
      </c>
    </row>
    <row r="163">
      <c r="A163" s="12" t="s">
        <v>1767</v>
      </c>
      <c r="B163" s="12" t="s">
        <v>511</v>
      </c>
      <c r="C163" s="12" t="s">
        <v>366</v>
      </c>
      <c r="D163" s="12" t="s">
        <v>833</v>
      </c>
      <c r="E163" s="12" t="s">
        <v>834</v>
      </c>
      <c r="F163" s="12"/>
      <c r="G163" s="12" t="s">
        <v>114</v>
      </c>
      <c r="H163" s="12" t="s">
        <v>505</v>
      </c>
      <c r="I163" s="12"/>
      <c r="J163" s="43">
        <f t="shared" si="1"/>
        <v>-0.05158895087</v>
      </c>
      <c r="K163" s="43">
        <f t="shared" si="2"/>
        <v>2.90822672</v>
      </c>
      <c r="L163" s="43">
        <f t="shared" si="3"/>
        <v>-0.05252061252</v>
      </c>
      <c r="M163" s="43">
        <f t="shared" si="4"/>
        <v>-2.173538264</v>
      </c>
      <c r="N163" s="12" t="s">
        <v>4990</v>
      </c>
      <c r="O163" s="12" t="s">
        <v>4991</v>
      </c>
      <c r="P163" s="43">
        <f t="shared" si="5"/>
        <v>4.856766728</v>
      </c>
      <c r="Q163" s="43">
        <f t="shared" si="6"/>
        <v>3.942082728</v>
      </c>
      <c r="R163" s="12" t="s">
        <v>4992</v>
      </c>
      <c r="S163" s="12" t="s">
        <v>4993</v>
      </c>
      <c r="T163" s="43">
        <f t="shared" si="7"/>
        <v>49.48814681</v>
      </c>
      <c r="U163" s="43">
        <f t="shared" si="8"/>
        <v>0.4417875</v>
      </c>
      <c r="V163" s="12" t="s">
        <v>839</v>
      </c>
      <c r="W163" s="12" t="s">
        <v>4994</v>
      </c>
      <c r="X163" s="12" t="s">
        <v>841</v>
      </c>
      <c r="Y163" s="12" t="s">
        <v>841</v>
      </c>
      <c r="Z163" s="12" t="s">
        <v>841</v>
      </c>
      <c r="AA163" s="12" t="s">
        <v>4995</v>
      </c>
      <c r="AB163" s="12" t="s">
        <v>4996</v>
      </c>
      <c r="AC163" s="12" t="s">
        <v>4997</v>
      </c>
      <c r="AD163" s="12" t="s">
        <v>845</v>
      </c>
      <c r="AE163" s="12" t="s">
        <v>846</v>
      </c>
      <c r="AF163" s="43">
        <f t="shared" si="9"/>
        <v>50.579958</v>
      </c>
      <c r="AG163" s="12" t="s">
        <v>847</v>
      </c>
      <c r="AH163" s="12" t="s">
        <v>4998</v>
      </c>
      <c r="AI163" s="12" t="s">
        <v>4999</v>
      </c>
      <c r="AJ163" s="12" t="s">
        <v>5000</v>
      </c>
      <c r="AK163" s="12" t="s">
        <v>4214</v>
      </c>
      <c r="AL163" s="43">
        <f t="shared" si="10"/>
        <v>32.3</v>
      </c>
      <c r="AM163" s="12" t="s">
        <v>1071</v>
      </c>
      <c r="AN163" s="12" t="s">
        <v>853</v>
      </c>
      <c r="AO163" s="12" t="s">
        <v>5001</v>
      </c>
      <c r="AP163" s="12" t="s">
        <v>5002</v>
      </c>
      <c r="AQ163" s="12" t="s">
        <v>5003</v>
      </c>
      <c r="AR163" s="12" t="s">
        <v>5004</v>
      </c>
      <c r="AS163" s="12" t="s">
        <v>4754</v>
      </c>
      <c r="AT163" s="12" t="s">
        <v>366</v>
      </c>
      <c r="AU163" s="12" t="s">
        <v>4755</v>
      </c>
      <c r="AV163" s="12" t="s">
        <v>832</v>
      </c>
      <c r="AW163" s="12" t="s">
        <v>860</v>
      </c>
      <c r="AX163" s="12" t="s">
        <v>861</v>
      </c>
      <c r="AY163" s="12" t="s">
        <v>919</v>
      </c>
      <c r="AZ163" s="12" t="s">
        <v>5005</v>
      </c>
      <c r="BA163" s="12" t="s">
        <v>5006</v>
      </c>
      <c r="BB163" s="12" t="s">
        <v>5007</v>
      </c>
      <c r="BC163" s="12" t="s">
        <v>866</v>
      </c>
      <c r="BD163" s="12" t="s">
        <v>867</v>
      </c>
      <c r="BE163" s="12" t="s">
        <v>868</v>
      </c>
      <c r="BF163" s="12" t="s">
        <v>869</v>
      </c>
      <c r="BG163" s="12" t="s">
        <v>870</v>
      </c>
      <c r="BH163" s="12" t="s">
        <v>841</v>
      </c>
      <c r="BI163" s="12" t="s">
        <v>871</v>
      </c>
      <c r="BJ163" s="12" t="s">
        <v>841</v>
      </c>
      <c r="BK163" s="12" t="s">
        <v>841</v>
      </c>
      <c r="BL163" s="12" t="s">
        <v>872</v>
      </c>
      <c r="BM163" s="12" t="s">
        <v>873</v>
      </c>
      <c r="BN163" s="12" t="s">
        <v>866</v>
      </c>
      <c r="BO163" s="12" t="s">
        <v>874</v>
      </c>
      <c r="BP163" s="12" t="s">
        <v>875</v>
      </c>
      <c r="BQ163" s="12" t="s">
        <v>876</v>
      </c>
      <c r="BR163" s="12" t="s">
        <v>869</v>
      </c>
      <c r="BS163" s="12" t="s">
        <v>869</v>
      </c>
      <c r="BT163" s="12" t="s">
        <v>877</v>
      </c>
      <c r="BU163" s="12" t="s">
        <v>877</v>
      </c>
      <c r="BV163" s="12" t="s">
        <v>877</v>
      </c>
      <c r="BW163" s="12" t="s">
        <v>841</v>
      </c>
      <c r="BX163" s="12" t="s">
        <v>878</v>
      </c>
      <c r="BY163" s="12" t="s">
        <v>841</v>
      </c>
      <c r="BZ163" s="12" t="s">
        <v>841</v>
      </c>
      <c r="CA163" s="12" t="s">
        <v>841</v>
      </c>
      <c r="CB163" s="12" t="s">
        <v>841</v>
      </c>
      <c r="CC163" s="12" t="s">
        <v>5008</v>
      </c>
      <c r="CD163" s="12" t="s">
        <v>5009</v>
      </c>
      <c r="CE163" s="12" t="s">
        <v>5010</v>
      </c>
      <c r="CF163" s="12" t="s">
        <v>5011</v>
      </c>
      <c r="CG163" s="12" t="s">
        <v>5012</v>
      </c>
      <c r="CH163" s="12" t="s">
        <v>5013</v>
      </c>
      <c r="CI163" s="12" t="s">
        <v>5014</v>
      </c>
      <c r="CJ163" s="12" t="s">
        <v>5015</v>
      </c>
      <c r="CK163" s="12" t="s">
        <v>4995</v>
      </c>
      <c r="CL163" s="12" t="s">
        <v>1496</v>
      </c>
      <c r="CM163" s="12" t="s">
        <v>888</v>
      </c>
      <c r="CN163" s="12" t="s">
        <v>841</v>
      </c>
      <c r="CO163" s="12" t="s">
        <v>847</v>
      </c>
      <c r="CP163" s="12" t="s">
        <v>889</v>
      </c>
      <c r="CQ163" s="12" t="s">
        <v>890</v>
      </c>
      <c r="CR163" s="12" t="s">
        <v>847</v>
      </c>
      <c r="CS163" s="12" t="s">
        <v>891</v>
      </c>
      <c r="CT163" s="12" t="s">
        <v>892</v>
      </c>
      <c r="CU163" s="12" t="s">
        <v>893</v>
      </c>
      <c r="CV163" s="12" t="s">
        <v>841</v>
      </c>
      <c r="CW163" s="12" t="s">
        <v>4994</v>
      </c>
      <c r="CX163" s="12" t="s">
        <v>894</v>
      </c>
      <c r="CY163" s="12" t="s">
        <v>895</v>
      </c>
      <c r="CZ163" s="12" t="s">
        <v>896</v>
      </c>
      <c r="DA163" s="12" t="s">
        <v>897</v>
      </c>
      <c r="DB163" s="12" t="s">
        <v>898</v>
      </c>
      <c r="DC163" s="12" t="s">
        <v>899</v>
      </c>
    </row>
    <row r="164">
      <c r="A164" s="12" t="s">
        <v>1727</v>
      </c>
      <c r="B164" s="12" t="s">
        <v>512</v>
      </c>
      <c r="C164" s="12" t="s">
        <v>366</v>
      </c>
      <c r="D164" s="12" t="s">
        <v>833</v>
      </c>
      <c r="E164" s="12" t="s">
        <v>834</v>
      </c>
      <c r="F164" s="12"/>
      <c r="G164" s="12" t="s">
        <v>114</v>
      </c>
      <c r="H164" s="12" t="s">
        <v>505</v>
      </c>
      <c r="I164" s="12"/>
      <c r="J164" s="43">
        <f t="shared" si="1"/>
        <v>-0.01086363532</v>
      </c>
      <c r="K164" s="43">
        <f t="shared" si="2"/>
        <v>2.909022</v>
      </c>
      <c r="L164" s="43">
        <f t="shared" si="3"/>
        <v>-0.01090435724</v>
      </c>
      <c r="M164" s="43">
        <f t="shared" si="4"/>
        <v>-0.438181768</v>
      </c>
      <c r="N164" s="12" t="s">
        <v>5016</v>
      </c>
      <c r="O164" s="12" t="s">
        <v>5017</v>
      </c>
      <c r="P164" s="43">
        <f t="shared" si="5"/>
        <v>4.802177151</v>
      </c>
      <c r="Q164" s="43">
        <f t="shared" si="6"/>
        <v>3.827600151</v>
      </c>
      <c r="R164" s="12" t="s">
        <v>5018</v>
      </c>
      <c r="S164" s="12" t="s">
        <v>5019</v>
      </c>
      <c r="T164" s="43">
        <f t="shared" si="7"/>
        <v>48.93190494</v>
      </c>
      <c r="U164" s="43">
        <f t="shared" si="8"/>
        <v>0.4417875</v>
      </c>
      <c r="V164" s="12" t="s">
        <v>839</v>
      </c>
      <c r="W164" s="12" t="s">
        <v>5020</v>
      </c>
      <c r="X164" s="12" t="s">
        <v>841</v>
      </c>
      <c r="Y164" s="12" t="s">
        <v>841</v>
      </c>
      <c r="Z164" s="12" t="s">
        <v>841</v>
      </c>
      <c r="AA164" s="12" t="s">
        <v>5021</v>
      </c>
      <c r="AB164" s="12" t="s">
        <v>5022</v>
      </c>
      <c r="AC164" s="12" t="s">
        <v>5023</v>
      </c>
      <c r="AD164" s="12" t="s">
        <v>845</v>
      </c>
      <c r="AE164" s="12" t="s">
        <v>846</v>
      </c>
      <c r="AF164" s="43">
        <f t="shared" si="9"/>
        <v>52.010764</v>
      </c>
      <c r="AG164" s="12" t="s">
        <v>847</v>
      </c>
      <c r="AH164" s="12" t="s">
        <v>5024</v>
      </c>
      <c r="AI164" s="12" t="s">
        <v>5025</v>
      </c>
      <c r="AJ164" s="12" t="s">
        <v>5026</v>
      </c>
      <c r="AK164" s="12" t="s">
        <v>5027</v>
      </c>
      <c r="AL164" s="43">
        <f t="shared" si="10"/>
        <v>32.1</v>
      </c>
      <c r="AM164" s="12" t="s">
        <v>1071</v>
      </c>
      <c r="AN164" s="12" t="s">
        <v>1072</v>
      </c>
      <c r="AO164" s="12" t="s">
        <v>5028</v>
      </c>
      <c r="AP164" s="12" t="s">
        <v>5029</v>
      </c>
      <c r="AQ164" s="12" t="s">
        <v>5030</v>
      </c>
      <c r="AR164" s="12" t="s">
        <v>4958</v>
      </c>
      <c r="AS164" s="12" t="s">
        <v>4754</v>
      </c>
      <c r="AT164" s="12" t="s">
        <v>366</v>
      </c>
      <c r="AU164" s="12" t="s">
        <v>4755</v>
      </c>
      <c r="AV164" s="12" t="s">
        <v>832</v>
      </c>
      <c r="AW164" s="12" t="s">
        <v>923</v>
      </c>
      <c r="AX164" s="12" t="s">
        <v>868</v>
      </c>
      <c r="AY164" s="12" t="s">
        <v>868</v>
      </c>
      <c r="AZ164" s="12" t="s">
        <v>5031</v>
      </c>
      <c r="BA164" s="12" t="s">
        <v>868</v>
      </c>
      <c r="BB164" s="12" t="s">
        <v>868</v>
      </c>
      <c r="BC164" s="12" t="s">
        <v>866</v>
      </c>
      <c r="BD164" s="12" t="s">
        <v>867</v>
      </c>
      <c r="BE164" s="12" t="s">
        <v>868</v>
      </c>
      <c r="BF164" s="12" t="s">
        <v>869</v>
      </c>
      <c r="BG164" s="12" t="s">
        <v>870</v>
      </c>
      <c r="BH164" s="12" t="s">
        <v>841</v>
      </c>
      <c r="BI164" s="12" t="s">
        <v>871</v>
      </c>
      <c r="BJ164" s="12" t="s">
        <v>841</v>
      </c>
      <c r="BK164" s="12" t="s">
        <v>841</v>
      </c>
      <c r="BL164" s="12" t="s">
        <v>872</v>
      </c>
      <c r="BM164" s="12" t="s">
        <v>873</v>
      </c>
      <c r="BN164" s="12" t="s">
        <v>866</v>
      </c>
      <c r="BO164" s="12" t="s">
        <v>874</v>
      </c>
      <c r="BP164" s="12" t="s">
        <v>875</v>
      </c>
      <c r="BQ164" s="12" t="s">
        <v>876</v>
      </c>
      <c r="BR164" s="12" t="s">
        <v>869</v>
      </c>
      <c r="BS164" s="12" t="s">
        <v>869</v>
      </c>
      <c r="BT164" s="12" t="s">
        <v>877</v>
      </c>
      <c r="BU164" s="12" t="s">
        <v>877</v>
      </c>
      <c r="BV164" s="12" t="s">
        <v>877</v>
      </c>
      <c r="BW164" s="12" t="s">
        <v>841</v>
      </c>
      <c r="BX164" s="12" t="s">
        <v>878</v>
      </c>
      <c r="BY164" s="12" t="s">
        <v>841</v>
      </c>
      <c r="BZ164" s="12" t="s">
        <v>841</v>
      </c>
      <c r="CA164" s="12" t="s">
        <v>841</v>
      </c>
      <c r="CB164" s="12" t="s">
        <v>841</v>
      </c>
      <c r="CC164" s="12" t="s">
        <v>5032</v>
      </c>
      <c r="CD164" s="12" t="s">
        <v>5033</v>
      </c>
      <c r="CE164" s="12" t="s">
        <v>5034</v>
      </c>
      <c r="CF164" s="12" t="s">
        <v>5035</v>
      </c>
      <c r="CG164" s="12" t="s">
        <v>5036</v>
      </c>
      <c r="CH164" s="12" t="s">
        <v>5037</v>
      </c>
      <c r="CI164" s="12" t="s">
        <v>5038</v>
      </c>
      <c r="CJ164" s="12" t="s">
        <v>5039</v>
      </c>
      <c r="CK164" s="12" t="s">
        <v>5021</v>
      </c>
      <c r="CL164" s="12" t="s">
        <v>1028</v>
      </c>
      <c r="CM164" s="12" t="s">
        <v>888</v>
      </c>
      <c r="CN164" s="12" t="s">
        <v>841</v>
      </c>
      <c r="CO164" s="12" t="s">
        <v>847</v>
      </c>
      <c r="CP164" s="12" t="s">
        <v>889</v>
      </c>
      <c r="CQ164" s="12" t="s">
        <v>890</v>
      </c>
      <c r="CR164" s="12" t="s">
        <v>847</v>
      </c>
      <c r="CS164" s="12" t="s">
        <v>891</v>
      </c>
      <c r="CT164" s="12" t="s">
        <v>892</v>
      </c>
      <c r="CU164" s="12" t="s">
        <v>893</v>
      </c>
      <c r="CV164" s="12" t="s">
        <v>841</v>
      </c>
      <c r="CW164" s="12" t="s">
        <v>5020</v>
      </c>
      <c r="CX164" s="12" t="s">
        <v>894</v>
      </c>
      <c r="CY164" s="12" t="s">
        <v>895</v>
      </c>
      <c r="CZ164" s="12" t="s">
        <v>896</v>
      </c>
      <c r="DA164" s="12" t="s">
        <v>897</v>
      </c>
      <c r="DB164" s="12" t="s">
        <v>898</v>
      </c>
      <c r="DC164" s="12" t="s">
        <v>899</v>
      </c>
    </row>
    <row r="165">
      <c r="A165" s="12" t="s">
        <v>1821</v>
      </c>
      <c r="B165" s="12" t="s">
        <v>513</v>
      </c>
      <c r="C165" s="12" t="s">
        <v>366</v>
      </c>
      <c r="D165" s="12" t="s">
        <v>833</v>
      </c>
      <c r="E165" s="12" t="s">
        <v>834</v>
      </c>
      <c r="F165" s="12"/>
      <c r="G165" s="12" t="s">
        <v>114</v>
      </c>
      <c r="H165" s="12" t="s">
        <v>505</v>
      </c>
      <c r="I165" s="12"/>
      <c r="J165" s="43">
        <f t="shared" si="1"/>
        <v>-0.01440399223</v>
      </c>
      <c r="K165" s="43">
        <f t="shared" si="2"/>
        <v>2.90981592</v>
      </c>
      <c r="L165" s="43">
        <f t="shared" si="3"/>
        <v>-0.01447564869</v>
      </c>
      <c r="M165" s="43">
        <f t="shared" si="4"/>
        <v>-0.5760180494</v>
      </c>
      <c r="N165" s="12" t="s">
        <v>5040</v>
      </c>
      <c r="O165" s="12" t="s">
        <v>5041</v>
      </c>
      <c r="P165" s="43">
        <f t="shared" si="5"/>
        <v>4.726649394</v>
      </c>
      <c r="Q165" s="43">
        <f t="shared" si="6"/>
        <v>3.792626394</v>
      </c>
      <c r="R165" s="12" t="s">
        <v>5042</v>
      </c>
      <c r="S165" s="12" t="s">
        <v>5043</v>
      </c>
      <c r="T165" s="43">
        <f t="shared" si="7"/>
        <v>48.16231297</v>
      </c>
      <c r="U165" s="43">
        <f t="shared" si="8"/>
        <v>0.4417875</v>
      </c>
      <c r="V165" s="12" t="s">
        <v>839</v>
      </c>
      <c r="W165" s="12" t="s">
        <v>5044</v>
      </c>
      <c r="X165" s="12" t="s">
        <v>841</v>
      </c>
      <c r="Y165" s="12" t="s">
        <v>841</v>
      </c>
      <c r="Z165" s="12" t="s">
        <v>841</v>
      </c>
      <c r="AA165" s="12" t="s">
        <v>5045</v>
      </c>
      <c r="AB165" s="12" t="s">
        <v>5046</v>
      </c>
      <c r="AC165" s="12" t="s">
        <v>5047</v>
      </c>
      <c r="AD165" s="12" t="s">
        <v>845</v>
      </c>
      <c r="AE165" s="12" t="s">
        <v>846</v>
      </c>
      <c r="AF165" s="43">
        <f t="shared" si="9"/>
        <v>11.931942</v>
      </c>
      <c r="AG165" s="12" t="s">
        <v>847</v>
      </c>
      <c r="AH165" s="12" t="s">
        <v>5048</v>
      </c>
      <c r="AI165" s="12" t="s">
        <v>5049</v>
      </c>
      <c r="AJ165" s="12" t="s">
        <v>5050</v>
      </c>
      <c r="AK165" s="12" t="s">
        <v>5051</v>
      </c>
      <c r="AL165" s="43">
        <f t="shared" si="10"/>
        <v>31.82</v>
      </c>
      <c r="AM165" s="12" t="s">
        <v>1071</v>
      </c>
      <c r="AN165" s="12" t="s">
        <v>914</v>
      </c>
      <c r="AO165" s="12" t="s">
        <v>5052</v>
      </c>
      <c r="AP165" s="12" t="s">
        <v>5053</v>
      </c>
      <c r="AQ165" s="12" t="s">
        <v>5054</v>
      </c>
      <c r="AR165" s="12" t="s">
        <v>5055</v>
      </c>
      <c r="AS165" s="12" t="s">
        <v>4754</v>
      </c>
      <c r="AT165" s="12" t="s">
        <v>366</v>
      </c>
      <c r="AU165" s="12" t="s">
        <v>4755</v>
      </c>
      <c r="AV165" s="12" t="s">
        <v>832</v>
      </c>
      <c r="AW165" s="12" t="s">
        <v>919</v>
      </c>
      <c r="AX165" s="12" t="s">
        <v>868</v>
      </c>
      <c r="AY165" s="12" t="s">
        <v>868</v>
      </c>
      <c r="AZ165" s="12" t="s">
        <v>5056</v>
      </c>
      <c r="BA165" s="12" t="s">
        <v>868</v>
      </c>
      <c r="BB165" s="12" t="s">
        <v>868</v>
      </c>
      <c r="BC165" s="12" t="s">
        <v>866</v>
      </c>
      <c r="BD165" s="12" t="s">
        <v>867</v>
      </c>
      <c r="BE165" s="12" t="s">
        <v>868</v>
      </c>
      <c r="BF165" s="12" t="s">
        <v>869</v>
      </c>
      <c r="BG165" s="12" t="s">
        <v>870</v>
      </c>
      <c r="BH165" s="12" t="s">
        <v>841</v>
      </c>
      <c r="BI165" s="12" t="s">
        <v>871</v>
      </c>
      <c r="BJ165" s="12" t="s">
        <v>841</v>
      </c>
      <c r="BK165" s="12" t="s">
        <v>841</v>
      </c>
      <c r="BL165" s="12" t="s">
        <v>872</v>
      </c>
      <c r="BM165" s="12" t="s">
        <v>873</v>
      </c>
      <c r="BN165" s="12" t="s">
        <v>866</v>
      </c>
      <c r="BO165" s="12" t="s">
        <v>874</v>
      </c>
      <c r="BP165" s="12" t="s">
        <v>875</v>
      </c>
      <c r="BQ165" s="12" t="s">
        <v>876</v>
      </c>
      <c r="BR165" s="12" t="s">
        <v>869</v>
      </c>
      <c r="BS165" s="12" t="s">
        <v>869</v>
      </c>
      <c r="BT165" s="12" t="s">
        <v>877</v>
      </c>
      <c r="BU165" s="12" t="s">
        <v>877</v>
      </c>
      <c r="BV165" s="12" t="s">
        <v>877</v>
      </c>
      <c r="BW165" s="12" t="s">
        <v>841</v>
      </c>
      <c r="BX165" s="12" t="s">
        <v>878</v>
      </c>
      <c r="BY165" s="12" t="s">
        <v>841</v>
      </c>
      <c r="BZ165" s="12" t="s">
        <v>841</v>
      </c>
      <c r="CA165" s="12" t="s">
        <v>841</v>
      </c>
      <c r="CB165" s="12" t="s">
        <v>841</v>
      </c>
      <c r="CC165" s="12" t="s">
        <v>5057</v>
      </c>
      <c r="CD165" s="12" t="s">
        <v>5058</v>
      </c>
      <c r="CE165" s="12" t="s">
        <v>5059</v>
      </c>
      <c r="CF165" s="12" t="s">
        <v>5060</v>
      </c>
      <c r="CG165" s="12" t="s">
        <v>5061</v>
      </c>
      <c r="CH165" s="12" t="s">
        <v>5062</v>
      </c>
      <c r="CI165" s="12" t="s">
        <v>5063</v>
      </c>
      <c r="CJ165" s="12" t="s">
        <v>5064</v>
      </c>
      <c r="CK165" s="12" t="s">
        <v>5045</v>
      </c>
      <c r="CL165" s="12" t="s">
        <v>1581</v>
      </c>
      <c r="CM165" s="12" t="s">
        <v>888</v>
      </c>
      <c r="CN165" s="12" t="s">
        <v>841</v>
      </c>
      <c r="CO165" s="12" t="s">
        <v>847</v>
      </c>
      <c r="CP165" s="12" t="s">
        <v>889</v>
      </c>
      <c r="CQ165" s="12" t="s">
        <v>890</v>
      </c>
      <c r="CR165" s="12" t="s">
        <v>847</v>
      </c>
      <c r="CS165" s="12" t="s">
        <v>891</v>
      </c>
      <c r="CT165" s="12" t="s">
        <v>892</v>
      </c>
      <c r="CU165" s="12" t="s">
        <v>893</v>
      </c>
      <c r="CV165" s="12" t="s">
        <v>841</v>
      </c>
      <c r="CW165" s="12" t="s">
        <v>5044</v>
      </c>
      <c r="CX165" s="12" t="s">
        <v>894</v>
      </c>
      <c r="CY165" s="12" t="s">
        <v>895</v>
      </c>
      <c r="CZ165" s="12" t="s">
        <v>896</v>
      </c>
      <c r="DA165" s="12" t="s">
        <v>897</v>
      </c>
      <c r="DB165" s="12" t="s">
        <v>898</v>
      </c>
      <c r="DC165" s="12" t="s">
        <v>899</v>
      </c>
    </row>
    <row r="166">
      <c r="A166" s="12" t="s">
        <v>1399</v>
      </c>
      <c r="B166" s="12" t="s">
        <v>516</v>
      </c>
      <c r="C166" s="12" t="s">
        <v>366</v>
      </c>
      <c r="D166" s="12" t="s">
        <v>833</v>
      </c>
      <c r="E166" s="12" t="s">
        <v>834</v>
      </c>
      <c r="F166" s="12"/>
      <c r="G166" s="12" t="s">
        <v>114</v>
      </c>
      <c r="H166" s="12" t="s">
        <v>515</v>
      </c>
      <c r="I166" s="12"/>
      <c r="J166" s="43">
        <f t="shared" si="1"/>
        <v>-0.06328341602</v>
      </c>
      <c r="K166" s="43">
        <f t="shared" si="2"/>
        <v>2.91060848</v>
      </c>
      <c r="L166" s="43">
        <f t="shared" si="3"/>
        <v>-0.06468992587</v>
      </c>
      <c r="M166" s="43">
        <f t="shared" si="4"/>
        <v>-2.413073509</v>
      </c>
      <c r="N166" s="12" t="s">
        <v>5065</v>
      </c>
      <c r="O166" s="12" t="s">
        <v>5066</v>
      </c>
      <c r="P166" s="43">
        <f t="shared" si="5"/>
        <v>4.409503511</v>
      </c>
      <c r="Q166" s="43">
        <f t="shared" si="6"/>
        <v>3.562412511</v>
      </c>
      <c r="R166" s="12" t="s">
        <v>5067</v>
      </c>
      <c r="S166" s="12" t="s">
        <v>5068</v>
      </c>
      <c r="T166" s="43">
        <f t="shared" si="7"/>
        <v>44.9353257</v>
      </c>
      <c r="U166" s="43">
        <f t="shared" si="8"/>
        <v>0.4417875</v>
      </c>
      <c r="V166" s="12" t="s">
        <v>839</v>
      </c>
      <c r="W166" s="12" t="s">
        <v>5069</v>
      </c>
      <c r="X166" s="12" t="s">
        <v>841</v>
      </c>
      <c r="Y166" s="12" t="s">
        <v>841</v>
      </c>
      <c r="Z166" s="12" t="s">
        <v>841</v>
      </c>
      <c r="AA166" s="12" t="s">
        <v>5070</v>
      </c>
      <c r="AB166" s="12" t="s">
        <v>5071</v>
      </c>
      <c r="AC166" s="12" t="s">
        <v>5072</v>
      </c>
      <c r="AD166" s="12" t="s">
        <v>845</v>
      </c>
      <c r="AE166" s="12" t="s">
        <v>846</v>
      </c>
      <c r="AF166" s="43">
        <f t="shared" si="9"/>
        <v>22.1910576</v>
      </c>
      <c r="AG166" s="12" t="s">
        <v>847</v>
      </c>
      <c r="AH166" s="12" t="s">
        <v>5073</v>
      </c>
      <c r="AI166" s="12" t="s">
        <v>5074</v>
      </c>
      <c r="AJ166" s="12" t="s">
        <v>5075</v>
      </c>
      <c r="AK166" s="12" t="s">
        <v>5076</v>
      </c>
      <c r="AL166" s="43">
        <f t="shared" si="10"/>
        <v>30.6</v>
      </c>
      <c r="AM166" s="12" t="s">
        <v>1042</v>
      </c>
      <c r="AN166" s="12" t="s">
        <v>1159</v>
      </c>
      <c r="AO166" s="12" t="s">
        <v>5077</v>
      </c>
      <c r="AP166" s="12" t="s">
        <v>5078</v>
      </c>
      <c r="AQ166" s="12" t="s">
        <v>2512</v>
      </c>
      <c r="AR166" s="12" t="s">
        <v>5055</v>
      </c>
      <c r="AS166" s="12" t="s">
        <v>4754</v>
      </c>
      <c r="AT166" s="12" t="s">
        <v>366</v>
      </c>
      <c r="AU166" s="12" t="s">
        <v>4755</v>
      </c>
      <c r="AV166" s="12" t="s">
        <v>832</v>
      </c>
      <c r="AW166" s="12" t="s">
        <v>1286</v>
      </c>
      <c r="AX166" s="12" t="s">
        <v>1287</v>
      </c>
      <c r="AY166" s="12" t="s">
        <v>1542</v>
      </c>
      <c r="AZ166" s="12" t="s">
        <v>5079</v>
      </c>
      <c r="BA166" s="12" t="s">
        <v>5080</v>
      </c>
      <c r="BB166" s="12" t="s">
        <v>5081</v>
      </c>
      <c r="BC166" s="12" t="s">
        <v>866</v>
      </c>
      <c r="BD166" s="12" t="s">
        <v>867</v>
      </c>
      <c r="BE166" s="12" t="s">
        <v>868</v>
      </c>
      <c r="BF166" s="12" t="s">
        <v>869</v>
      </c>
      <c r="BG166" s="12" t="s">
        <v>870</v>
      </c>
      <c r="BH166" s="12" t="s">
        <v>841</v>
      </c>
      <c r="BI166" s="12" t="s">
        <v>871</v>
      </c>
      <c r="BJ166" s="12" t="s">
        <v>841</v>
      </c>
      <c r="BK166" s="12" t="s">
        <v>841</v>
      </c>
      <c r="BL166" s="12" t="s">
        <v>872</v>
      </c>
      <c r="BM166" s="12" t="s">
        <v>873</v>
      </c>
      <c r="BN166" s="12" t="s">
        <v>866</v>
      </c>
      <c r="BO166" s="12" t="s">
        <v>874</v>
      </c>
      <c r="BP166" s="12" t="s">
        <v>875</v>
      </c>
      <c r="BQ166" s="12" t="s">
        <v>876</v>
      </c>
      <c r="BR166" s="12" t="s">
        <v>869</v>
      </c>
      <c r="BS166" s="12" t="s">
        <v>869</v>
      </c>
      <c r="BT166" s="12" t="s">
        <v>877</v>
      </c>
      <c r="BU166" s="12" t="s">
        <v>877</v>
      </c>
      <c r="BV166" s="12" t="s">
        <v>877</v>
      </c>
      <c r="BW166" s="12" t="s">
        <v>841</v>
      </c>
      <c r="BX166" s="12" t="s">
        <v>878</v>
      </c>
      <c r="BY166" s="12" t="s">
        <v>841</v>
      </c>
      <c r="BZ166" s="12" t="s">
        <v>841</v>
      </c>
      <c r="CA166" s="12" t="s">
        <v>841</v>
      </c>
      <c r="CB166" s="12" t="s">
        <v>841</v>
      </c>
      <c r="CC166" s="12" t="s">
        <v>5082</v>
      </c>
      <c r="CD166" s="12" t="s">
        <v>5083</v>
      </c>
      <c r="CE166" s="12" t="s">
        <v>5084</v>
      </c>
      <c r="CF166" s="12" t="s">
        <v>5085</v>
      </c>
      <c r="CG166" s="12" t="s">
        <v>5086</v>
      </c>
      <c r="CH166" s="12" t="s">
        <v>5087</v>
      </c>
      <c r="CI166" s="12" t="s">
        <v>5088</v>
      </c>
      <c r="CJ166" s="12" t="s">
        <v>5089</v>
      </c>
      <c r="CK166" s="12" t="s">
        <v>5070</v>
      </c>
      <c r="CL166" s="12" t="s">
        <v>1299</v>
      </c>
      <c r="CM166" s="12" t="s">
        <v>888</v>
      </c>
      <c r="CN166" s="12" t="s">
        <v>841</v>
      </c>
      <c r="CO166" s="12" t="s">
        <v>847</v>
      </c>
      <c r="CP166" s="12" t="s">
        <v>889</v>
      </c>
      <c r="CQ166" s="12" t="s">
        <v>890</v>
      </c>
      <c r="CR166" s="12" t="s">
        <v>847</v>
      </c>
      <c r="CS166" s="12" t="s">
        <v>891</v>
      </c>
      <c r="CT166" s="12" t="s">
        <v>892</v>
      </c>
      <c r="CU166" s="12" t="s">
        <v>893</v>
      </c>
      <c r="CV166" s="12" t="s">
        <v>841</v>
      </c>
      <c r="CW166" s="12" t="s">
        <v>5069</v>
      </c>
      <c r="CX166" s="12" t="s">
        <v>894</v>
      </c>
      <c r="CY166" s="12" t="s">
        <v>895</v>
      </c>
      <c r="CZ166" s="12" t="s">
        <v>896</v>
      </c>
      <c r="DA166" s="12" t="s">
        <v>897</v>
      </c>
      <c r="DB166" s="12" t="s">
        <v>898</v>
      </c>
      <c r="DC166" s="12" t="s">
        <v>899</v>
      </c>
    </row>
    <row r="167">
      <c r="A167" s="12" t="s">
        <v>1870</v>
      </c>
      <c r="B167" s="12" t="s">
        <v>517</v>
      </c>
      <c r="C167" s="12" t="s">
        <v>366</v>
      </c>
      <c r="D167" s="12" t="s">
        <v>833</v>
      </c>
      <c r="E167" s="12" t="s">
        <v>834</v>
      </c>
      <c r="F167" s="12"/>
      <c r="G167" s="12" t="s">
        <v>114</v>
      </c>
      <c r="H167" s="12" t="s">
        <v>515</v>
      </c>
      <c r="I167" s="12"/>
      <c r="J167" s="43">
        <f t="shared" si="1"/>
        <v>-0.06143179922</v>
      </c>
      <c r="K167" s="43">
        <f t="shared" si="2"/>
        <v>2.909022</v>
      </c>
      <c r="L167" s="43">
        <f t="shared" si="3"/>
        <v>-0.0627570833</v>
      </c>
      <c r="M167" s="43">
        <f t="shared" si="4"/>
        <v>-2.484373426</v>
      </c>
      <c r="N167" s="12" t="s">
        <v>5090</v>
      </c>
      <c r="O167" s="12" t="s">
        <v>5091</v>
      </c>
      <c r="P167" s="43">
        <f t="shared" si="5"/>
        <v>4.612673976</v>
      </c>
      <c r="Q167" s="43">
        <f t="shared" si="6"/>
        <v>3.776854976</v>
      </c>
      <c r="R167" s="12" t="s">
        <v>5092</v>
      </c>
      <c r="S167" s="12" t="s">
        <v>5093</v>
      </c>
      <c r="T167" s="43">
        <f t="shared" si="7"/>
        <v>47.00574723</v>
      </c>
      <c r="U167" s="43">
        <f t="shared" si="8"/>
        <v>0.4417875</v>
      </c>
      <c r="V167" s="12" t="s">
        <v>839</v>
      </c>
      <c r="W167" s="12" t="s">
        <v>5094</v>
      </c>
      <c r="X167" s="12" t="s">
        <v>841</v>
      </c>
      <c r="Y167" s="12" t="s">
        <v>841</v>
      </c>
      <c r="Z167" s="12" t="s">
        <v>841</v>
      </c>
      <c r="AA167" s="12" t="s">
        <v>5095</v>
      </c>
      <c r="AB167" s="12" t="s">
        <v>5096</v>
      </c>
      <c r="AC167" s="12" t="s">
        <v>5097</v>
      </c>
      <c r="AD167" s="12" t="s">
        <v>845</v>
      </c>
      <c r="AE167" s="12" t="s">
        <v>846</v>
      </c>
      <c r="AF167" s="43">
        <f t="shared" si="9"/>
        <v>12.1266264</v>
      </c>
      <c r="AG167" s="12" t="s">
        <v>847</v>
      </c>
      <c r="AH167" s="12" t="s">
        <v>5098</v>
      </c>
      <c r="AI167" s="12" t="s">
        <v>5099</v>
      </c>
      <c r="AJ167" s="12" t="s">
        <v>5100</v>
      </c>
      <c r="AK167" s="12" t="s">
        <v>3630</v>
      </c>
      <c r="AL167" s="43">
        <f t="shared" si="10"/>
        <v>31.39</v>
      </c>
      <c r="AM167" s="12" t="s">
        <v>1042</v>
      </c>
      <c r="AN167" s="12" t="s">
        <v>1072</v>
      </c>
      <c r="AO167" s="12" t="s">
        <v>5101</v>
      </c>
      <c r="AP167" s="12" t="s">
        <v>5102</v>
      </c>
      <c r="AQ167" s="12" t="s">
        <v>2300</v>
      </c>
      <c r="AR167" s="12" t="s">
        <v>5103</v>
      </c>
      <c r="AS167" s="12" t="s">
        <v>4754</v>
      </c>
      <c r="AT167" s="12" t="s">
        <v>366</v>
      </c>
      <c r="AU167" s="12" t="s">
        <v>4755</v>
      </c>
      <c r="AV167" s="12" t="s">
        <v>832</v>
      </c>
      <c r="AW167" s="12" t="s">
        <v>861</v>
      </c>
      <c r="AX167" s="12" t="s">
        <v>868</v>
      </c>
      <c r="AY167" s="12" t="s">
        <v>868</v>
      </c>
      <c r="AZ167" s="12" t="s">
        <v>5104</v>
      </c>
      <c r="BA167" s="12" t="s">
        <v>868</v>
      </c>
      <c r="BB167" s="12" t="s">
        <v>868</v>
      </c>
      <c r="BC167" s="12" t="s">
        <v>866</v>
      </c>
      <c r="BD167" s="12" t="s">
        <v>867</v>
      </c>
      <c r="BE167" s="12" t="s">
        <v>868</v>
      </c>
      <c r="BF167" s="12" t="s">
        <v>869</v>
      </c>
      <c r="BG167" s="12" t="s">
        <v>870</v>
      </c>
      <c r="BH167" s="12" t="s">
        <v>841</v>
      </c>
      <c r="BI167" s="12" t="s">
        <v>871</v>
      </c>
      <c r="BJ167" s="12" t="s">
        <v>841</v>
      </c>
      <c r="BK167" s="12" t="s">
        <v>841</v>
      </c>
      <c r="BL167" s="12" t="s">
        <v>872</v>
      </c>
      <c r="BM167" s="12" t="s">
        <v>873</v>
      </c>
      <c r="BN167" s="12" t="s">
        <v>866</v>
      </c>
      <c r="BO167" s="12" t="s">
        <v>874</v>
      </c>
      <c r="BP167" s="12" t="s">
        <v>875</v>
      </c>
      <c r="BQ167" s="12" t="s">
        <v>876</v>
      </c>
      <c r="BR167" s="12" t="s">
        <v>869</v>
      </c>
      <c r="BS167" s="12" t="s">
        <v>869</v>
      </c>
      <c r="BT167" s="12" t="s">
        <v>877</v>
      </c>
      <c r="BU167" s="12" t="s">
        <v>877</v>
      </c>
      <c r="BV167" s="12" t="s">
        <v>877</v>
      </c>
      <c r="BW167" s="12" t="s">
        <v>841</v>
      </c>
      <c r="BX167" s="12" t="s">
        <v>878</v>
      </c>
      <c r="BY167" s="12" t="s">
        <v>841</v>
      </c>
      <c r="BZ167" s="12" t="s">
        <v>841</v>
      </c>
      <c r="CA167" s="12" t="s">
        <v>841</v>
      </c>
      <c r="CB167" s="12" t="s">
        <v>841</v>
      </c>
      <c r="CC167" s="12" t="s">
        <v>5105</v>
      </c>
      <c r="CD167" s="12" t="s">
        <v>5106</v>
      </c>
      <c r="CE167" s="12" t="s">
        <v>5107</v>
      </c>
      <c r="CF167" s="12" t="s">
        <v>5108</v>
      </c>
      <c r="CG167" s="12" t="s">
        <v>5109</v>
      </c>
      <c r="CH167" s="12" t="s">
        <v>5110</v>
      </c>
      <c r="CI167" s="12" t="s">
        <v>5111</v>
      </c>
      <c r="CJ167" s="12" t="s">
        <v>5112</v>
      </c>
      <c r="CK167" s="12" t="s">
        <v>5095</v>
      </c>
      <c r="CL167" s="12" t="s">
        <v>1119</v>
      </c>
      <c r="CM167" s="12" t="s">
        <v>888</v>
      </c>
      <c r="CN167" s="12" t="s">
        <v>841</v>
      </c>
      <c r="CO167" s="12" t="s">
        <v>847</v>
      </c>
      <c r="CP167" s="12" t="s">
        <v>889</v>
      </c>
      <c r="CQ167" s="12" t="s">
        <v>890</v>
      </c>
      <c r="CR167" s="12" t="s">
        <v>847</v>
      </c>
      <c r="CS167" s="12" t="s">
        <v>891</v>
      </c>
      <c r="CT167" s="12" t="s">
        <v>892</v>
      </c>
      <c r="CU167" s="12" t="s">
        <v>893</v>
      </c>
      <c r="CV167" s="12" t="s">
        <v>841</v>
      </c>
      <c r="CW167" s="12" t="s">
        <v>5094</v>
      </c>
      <c r="CX167" s="12" t="s">
        <v>894</v>
      </c>
      <c r="CY167" s="12" t="s">
        <v>895</v>
      </c>
      <c r="CZ167" s="12" t="s">
        <v>896</v>
      </c>
      <c r="DA167" s="12" t="s">
        <v>897</v>
      </c>
      <c r="DB167" s="12" t="s">
        <v>898</v>
      </c>
      <c r="DC167" s="12" t="s">
        <v>899</v>
      </c>
    </row>
    <row r="168">
      <c r="A168" s="12" t="s">
        <v>1894</v>
      </c>
      <c r="B168" s="12" t="s">
        <v>519</v>
      </c>
      <c r="C168" s="12" t="s">
        <v>366</v>
      </c>
      <c r="D168" s="12" t="s">
        <v>833</v>
      </c>
      <c r="E168" s="12" t="s">
        <v>834</v>
      </c>
      <c r="F168" s="12"/>
      <c r="G168" s="12" t="s">
        <v>114</v>
      </c>
      <c r="H168" s="12" t="s">
        <v>515</v>
      </c>
      <c r="I168" s="12"/>
      <c r="J168" s="43">
        <f t="shared" si="1"/>
        <v>-0.01213695875</v>
      </c>
      <c r="K168" s="43">
        <f t="shared" si="2"/>
        <v>2.909022</v>
      </c>
      <c r="L168" s="43">
        <f t="shared" si="3"/>
        <v>-0.01218780846</v>
      </c>
      <c r="M168" s="43">
        <f t="shared" si="4"/>
        <v>-0.4535472905</v>
      </c>
      <c r="N168" s="12" t="s">
        <v>5113</v>
      </c>
      <c r="O168" s="12" t="s">
        <v>5114</v>
      </c>
      <c r="P168" s="43">
        <f t="shared" si="5"/>
        <v>4.432248884</v>
      </c>
      <c r="Q168" s="43">
        <f t="shared" si="6"/>
        <v>3.552531884</v>
      </c>
      <c r="R168" s="12" t="s">
        <v>5115</v>
      </c>
      <c r="S168" s="12" t="s">
        <v>5116</v>
      </c>
      <c r="T168" s="43">
        <f t="shared" si="7"/>
        <v>45.17171712</v>
      </c>
      <c r="U168" s="43">
        <f t="shared" si="8"/>
        <v>0.4417875</v>
      </c>
      <c r="V168" s="12" t="s">
        <v>839</v>
      </c>
      <c r="W168" s="12" t="s">
        <v>5117</v>
      </c>
      <c r="X168" s="12" t="s">
        <v>841</v>
      </c>
      <c r="Y168" s="12" t="s">
        <v>841</v>
      </c>
      <c r="Z168" s="12" t="s">
        <v>841</v>
      </c>
      <c r="AA168" s="12" t="s">
        <v>5118</v>
      </c>
      <c r="AB168" s="12" t="s">
        <v>5119</v>
      </c>
      <c r="AC168" s="12" t="s">
        <v>5120</v>
      </c>
      <c r="AD168" s="12" t="s">
        <v>845</v>
      </c>
      <c r="AE168" s="12" t="s">
        <v>846</v>
      </c>
      <c r="AF168" s="43">
        <f t="shared" si="9"/>
        <v>16.1220332</v>
      </c>
      <c r="AG168" s="12" t="s">
        <v>847</v>
      </c>
      <c r="AH168" s="12" t="s">
        <v>5121</v>
      </c>
      <c r="AI168" s="12" t="s">
        <v>5122</v>
      </c>
      <c r="AJ168" s="12" t="s">
        <v>5123</v>
      </c>
      <c r="AK168" s="12" t="s">
        <v>4345</v>
      </c>
      <c r="AL168" s="43">
        <f t="shared" si="10"/>
        <v>30.69</v>
      </c>
      <c r="AM168" s="12" t="s">
        <v>981</v>
      </c>
      <c r="AN168" s="12" t="s">
        <v>1072</v>
      </c>
      <c r="AO168" s="12" t="s">
        <v>5124</v>
      </c>
      <c r="AP168" s="12" t="s">
        <v>5125</v>
      </c>
      <c r="AQ168" s="12" t="s">
        <v>3014</v>
      </c>
      <c r="AR168" s="12" t="s">
        <v>5103</v>
      </c>
      <c r="AS168" s="12" t="s">
        <v>5126</v>
      </c>
      <c r="AT168" s="12" t="s">
        <v>366</v>
      </c>
      <c r="AU168" s="12" t="s">
        <v>5127</v>
      </c>
      <c r="AV168" s="12" t="s">
        <v>832</v>
      </c>
      <c r="AW168" s="12" t="s">
        <v>1342</v>
      </c>
      <c r="AX168" s="12" t="s">
        <v>1287</v>
      </c>
      <c r="AY168" s="12" t="s">
        <v>1195</v>
      </c>
      <c r="AZ168" s="12" t="s">
        <v>3069</v>
      </c>
      <c r="BA168" s="12" t="s">
        <v>5128</v>
      </c>
      <c r="BB168" s="12" t="s">
        <v>5129</v>
      </c>
      <c r="BC168" s="12" t="s">
        <v>866</v>
      </c>
      <c r="BD168" s="12" t="s">
        <v>867</v>
      </c>
      <c r="BE168" s="12" t="s">
        <v>868</v>
      </c>
      <c r="BF168" s="12" t="s">
        <v>869</v>
      </c>
      <c r="BG168" s="12" t="s">
        <v>870</v>
      </c>
      <c r="BH168" s="12" t="s">
        <v>841</v>
      </c>
      <c r="BI168" s="12" t="s">
        <v>871</v>
      </c>
      <c r="BJ168" s="12" t="s">
        <v>841</v>
      </c>
      <c r="BK168" s="12" t="s">
        <v>841</v>
      </c>
      <c r="BL168" s="12" t="s">
        <v>872</v>
      </c>
      <c r="BM168" s="12" t="s">
        <v>873</v>
      </c>
      <c r="BN168" s="12" t="s">
        <v>866</v>
      </c>
      <c r="BO168" s="12" t="s">
        <v>874</v>
      </c>
      <c r="BP168" s="12" t="s">
        <v>875</v>
      </c>
      <c r="BQ168" s="12" t="s">
        <v>876</v>
      </c>
      <c r="BR168" s="12" t="s">
        <v>869</v>
      </c>
      <c r="BS168" s="12" t="s">
        <v>869</v>
      </c>
      <c r="BT168" s="12" t="s">
        <v>877</v>
      </c>
      <c r="BU168" s="12" t="s">
        <v>877</v>
      </c>
      <c r="BV168" s="12" t="s">
        <v>877</v>
      </c>
      <c r="BW168" s="12" t="s">
        <v>841</v>
      </c>
      <c r="BX168" s="12" t="s">
        <v>878</v>
      </c>
      <c r="BY168" s="12" t="s">
        <v>841</v>
      </c>
      <c r="BZ168" s="12" t="s">
        <v>841</v>
      </c>
      <c r="CA168" s="12" t="s">
        <v>841</v>
      </c>
      <c r="CB168" s="12" t="s">
        <v>841</v>
      </c>
      <c r="CC168" s="12" t="s">
        <v>5130</v>
      </c>
      <c r="CD168" s="12" t="s">
        <v>5131</v>
      </c>
      <c r="CE168" s="12" t="s">
        <v>5132</v>
      </c>
      <c r="CF168" s="12" t="s">
        <v>5133</v>
      </c>
      <c r="CG168" s="12" t="s">
        <v>5134</v>
      </c>
      <c r="CH168" s="12" t="s">
        <v>5135</v>
      </c>
      <c r="CI168" s="12" t="s">
        <v>5136</v>
      </c>
      <c r="CJ168" s="12" t="s">
        <v>5137</v>
      </c>
      <c r="CK168" s="12" t="s">
        <v>5118</v>
      </c>
      <c r="CL168" s="12" t="s">
        <v>1093</v>
      </c>
      <c r="CM168" s="12" t="s">
        <v>888</v>
      </c>
      <c r="CN168" s="12" t="s">
        <v>841</v>
      </c>
      <c r="CO168" s="12" t="s">
        <v>847</v>
      </c>
      <c r="CP168" s="12" t="s">
        <v>889</v>
      </c>
      <c r="CQ168" s="12" t="s">
        <v>890</v>
      </c>
      <c r="CR168" s="12" t="s">
        <v>847</v>
      </c>
      <c r="CS168" s="12" t="s">
        <v>891</v>
      </c>
      <c r="CT168" s="12" t="s">
        <v>892</v>
      </c>
      <c r="CU168" s="12" t="s">
        <v>893</v>
      </c>
      <c r="CV168" s="12" t="s">
        <v>841</v>
      </c>
      <c r="CW168" s="12" t="s">
        <v>5117</v>
      </c>
      <c r="CX168" s="12" t="s">
        <v>894</v>
      </c>
      <c r="CY168" s="12" t="s">
        <v>895</v>
      </c>
      <c r="CZ168" s="12" t="s">
        <v>896</v>
      </c>
      <c r="DA168" s="12" t="s">
        <v>897</v>
      </c>
      <c r="DB168" s="12" t="s">
        <v>898</v>
      </c>
      <c r="DC168" s="12" t="s">
        <v>899</v>
      </c>
    </row>
    <row r="169">
      <c r="A169" s="12" t="s">
        <v>1919</v>
      </c>
      <c r="B169" s="12" t="s">
        <v>520</v>
      </c>
      <c r="C169" s="12" t="s">
        <v>366</v>
      </c>
      <c r="D169" s="12" t="s">
        <v>833</v>
      </c>
      <c r="E169" s="12" t="s">
        <v>834</v>
      </c>
      <c r="F169" s="12"/>
      <c r="G169" s="12" t="s">
        <v>114</v>
      </c>
      <c r="H169" s="12" t="s">
        <v>515</v>
      </c>
      <c r="I169" s="12"/>
      <c r="J169" s="43">
        <f t="shared" si="1"/>
        <v>0.01107685298</v>
      </c>
      <c r="K169" s="43">
        <f t="shared" si="2"/>
        <v>2.91060848</v>
      </c>
      <c r="L169" s="43">
        <f t="shared" si="3"/>
        <v>0.01103485781</v>
      </c>
      <c r="M169" s="43">
        <f t="shared" si="4"/>
        <v>0.43151912</v>
      </c>
      <c r="N169" s="12" t="s">
        <v>5138</v>
      </c>
      <c r="O169" s="12" t="s">
        <v>5139</v>
      </c>
      <c r="P169" s="43">
        <f t="shared" si="5"/>
        <v>4.678643838</v>
      </c>
      <c r="Q169" s="43">
        <f t="shared" si="6"/>
        <v>3.726883838</v>
      </c>
      <c r="R169" s="12" t="s">
        <v>5140</v>
      </c>
      <c r="S169" s="12" t="s">
        <v>5141</v>
      </c>
      <c r="T169" s="43">
        <f t="shared" si="7"/>
        <v>47.68287646</v>
      </c>
      <c r="U169" s="43">
        <f t="shared" si="8"/>
        <v>0.4417875</v>
      </c>
      <c r="V169" s="12" t="s">
        <v>839</v>
      </c>
      <c r="W169" s="12" t="s">
        <v>5142</v>
      </c>
      <c r="X169" s="12" t="s">
        <v>841</v>
      </c>
      <c r="Y169" s="12" t="s">
        <v>841</v>
      </c>
      <c r="Z169" s="12" t="s">
        <v>841</v>
      </c>
      <c r="AA169" s="12" t="s">
        <v>5143</v>
      </c>
      <c r="AB169" s="12" t="s">
        <v>5144</v>
      </c>
      <c r="AC169" s="12" t="s">
        <v>5145</v>
      </c>
      <c r="AD169" s="12" t="s">
        <v>845</v>
      </c>
      <c r="AE169" s="12" t="s">
        <v>846</v>
      </c>
      <c r="AF169" s="43">
        <f t="shared" si="9"/>
        <v>9.3753504</v>
      </c>
      <c r="AG169" s="12" t="s">
        <v>847</v>
      </c>
      <c r="AH169" s="12" t="s">
        <v>4880</v>
      </c>
      <c r="AI169" s="12" t="s">
        <v>5146</v>
      </c>
      <c r="AJ169" s="12" t="s">
        <v>5147</v>
      </c>
      <c r="AK169" s="12" t="s">
        <v>4001</v>
      </c>
      <c r="AL169" s="43">
        <f t="shared" si="10"/>
        <v>31.64</v>
      </c>
      <c r="AM169" s="12" t="s">
        <v>981</v>
      </c>
      <c r="AN169" s="12" t="s">
        <v>1159</v>
      </c>
      <c r="AO169" s="12" t="s">
        <v>5148</v>
      </c>
      <c r="AP169" s="12" t="s">
        <v>5149</v>
      </c>
      <c r="AQ169" s="12" t="s">
        <v>2065</v>
      </c>
      <c r="AR169" s="12" t="s">
        <v>5150</v>
      </c>
      <c r="AS169" s="12" t="s">
        <v>5126</v>
      </c>
      <c r="AT169" s="12" t="s">
        <v>366</v>
      </c>
      <c r="AU169" s="12" t="s">
        <v>5127</v>
      </c>
      <c r="AV169" s="12" t="s">
        <v>832</v>
      </c>
      <c r="AW169" s="12" t="s">
        <v>1543</v>
      </c>
      <c r="AX169" s="12" t="s">
        <v>868</v>
      </c>
      <c r="AY169" s="12" t="s">
        <v>868</v>
      </c>
      <c r="AZ169" s="12" t="s">
        <v>5151</v>
      </c>
      <c r="BA169" s="12" t="s">
        <v>868</v>
      </c>
      <c r="BB169" s="12" t="s">
        <v>868</v>
      </c>
      <c r="BC169" s="12" t="s">
        <v>866</v>
      </c>
      <c r="BD169" s="12" t="s">
        <v>867</v>
      </c>
      <c r="BE169" s="12" t="s">
        <v>868</v>
      </c>
      <c r="BF169" s="12" t="s">
        <v>869</v>
      </c>
      <c r="BG169" s="12" t="s">
        <v>870</v>
      </c>
      <c r="BH169" s="12" t="s">
        <v>841</v>
      </c>
      <c r="BI169" s="12" t="s">
        <v>871</v>
      </c>
      <c r="BJ169" s="12" t="s">
        <v>841</v>
      </c>
      <c r="BK169" s="12" t="s">
        <v>841</v>
      </c>
      <c r="BL169" s="12" t="s">
        <v>872</v>
      </c>
      <c r="BM169" s="12" t="s">
        <v>873</v>
      </c>
      <c r="BN169" s="12" t="s">
        <v>866</v>
      </c>
      <c r="BO169" s="12" t="s">
        <v>874</v>
      </c>
      <c r="BP169" s="12" t="s">
        <v>875</v>
      </c>
      <c r="BQ169" s="12" t="s">
        <v>876</v>
      </c>
      <c r="BR169" s="12" t="s">
        <v>869</v>
      </c>
      <c r="BS169" s="12" t="s">
        <v>869</v>
      </c>
      <c r="BT169" s="12" t="s">
        <v>877</v>
      </c>
      <c r="BU169" s="12" t="s">
        <v>877</v>
      </c>
      <c r="BV169" s="12" t="s">
        <v>877</v>
      </c>
      <c r="BW169" s="12" t="s">
        <v>841</v>
      </c>
      <c r="BX169" s="12" t="s">
        <v>878</v>
      </c>
      <c r="BY169" s="12" t="s">
        <v>841</v>
      </c>
      <c r="BZ169" s="12" t="s">
        <v>841</v>
      </c>
      <c r="CA169" s="12" t="s">
        <v>841</v>
      </c>
      <c r="CB169" s="12" t="s">
        <v>841</v>
      </c>
      <c r="CC169" s="12" t="s">
        <v>5152</v>
      </c>
      <c r="CD169" s="12" t="s">
        <v>5153</v>
      </c>
      <c r="CE169" s="12" t="s">
        <v>3638</v>
      </c>
      <c r="CF169" s="12" t="s">
        <v>5154</v>
      </c>
      <c r="CG169" s="12" t="s">
        <v>5155</v>
      </c>
      <c r="CH169" s="12" t="s">
        <v>5156</v>
      </c>
      <c r="CI169" s="12" t="s">
        <v>5157</v>
      </c>
      <c r="CJ169" s="12" t="s">
        <v>5158</v>
      </c>
      <c r="CK169" s="12" t="s">
        <v>5143</v>
      </c>
      <c r="CL169" s="12" t="s">
        <v>1324</v>
      </c>
      <c r="CM169" s="12" t="s">
        <v>888</v>
      </c>
      <c r="CN169" s="12" t="s">
        <v>841</v>
      </c>
      <c r="CO169" s="12" t="s">
        <v>847</v>
      </c>
      <c r="CP169" s="12" t="s">
        <v>889</v>
      </c>
      <c r="CQ169" s="12" t="s">
        <v>890</v>
      </c>
      <c r="CR169" s="12" t="s">
        <v>847</v>
      </c>
      <c r="CS169" s="12" t="s">
        <v>891</v>
      </c>
      <c r="CT169" s="12" t="s">
        <v>892</v>
      </c>
      <c r="CU169" s="12" t="s">
        <v>893</v>
      </c>
      <c r="CV169" s="12" t="s">
        <v>841</v>
      </c>
      <c r="CW169" s="12" t="s">
        <v>5142</v>
      </c>
      <c r="CX169" s="12" t="s">
        <v>894</v>
      </c>
      <c r="CY169" s="12" t="s">
        <v>895</v>
      </c>
      <c r="CZ169" s="12" t="s">
        <v>896</v>
      </c>
      <c r="DA169" s="12" t="s">
        <v>897</v>
      </c>
      <c r="DB169" s="12" t="s">
        <v>898</v>
      </c>
      <c r="DC169" s="12" t="s">
        <v>899</v>
      </c>
    </row>
    <row r="170">
      <c r="A170" s="12" t="s">
        <v>1782</v>
      </c>
      <c r="B170" s="12" t="s">
        <v>522</v>
      </c>
      <c r="C170" s="12" t="s">
        <v>366</v>
      </c>
      <c r="D170" s="12" t="s">
        <v>833</v>
      </c>
      <c r="E170" s="12" t="s">
        <v>834</v>
      </c>
      <c r="F170" s="12"/>
      <c r="G170" s="12" t="s">
        <v>114</v>
      </c>
      <c r="H170" s="12" t="s">
        <v>515</v>
      </c>
      <c r="I170" s="12"/>
      <c r="J170" s="43">
        <f t="shared" si="1"/>
        <v>0.02799430788</v>
      </c>
      <c r="K170" s="43">
        <f t="shared" si="2"/>
        <v>2.90981592</v>
      </c>
      <c r="L170" s="43">
        <f t="shared" si="3"/>
        <v>0.02772755094</v>
      </c>
      <c r="M170" s="43">
        <f t="shared" si="4"/>
        <v>1.066949894</v>
      </c>
      <c r="N170" s="12" t="s">
        <v>5159</v>
      </c>
      <c r="O170" s="12" t="s">
        <v>5160</v>
      </c>
      <c r="P170" s="43">
        <f t="shared" si="5"/>
        <v>4.686615158</v>
      </c>
      <c r="Q170" s="43">
        <f t="shared" si="6"/>
        <v>3.665789158</v>
      </c>
      <c r="R170" s="12" t="s">
        <v>5161</v>
      </c>
      <c r="S170" s="12" t="s">
        <v>5162</v>
      </c>
      <c r="T170" s="43">
        <f t="shared" si="7"/>
        <v>47.76411698</v>
      </c>
      <c r="U170" s="43">
        <f t="shared" si="8"/>
        <v>0.4417875</v>
      </c>
      <c r="V170" s="12" t="s">
        <v>839</v>
      </c>
      <c r="W170" s="12" t="s">
        <v>5163</v>
      </c>
      <c r="X170" s="12" t="s">
        <v>841</v>
      </c>
      <c r="Y170" s="12" t="s">
        <v>841</v>
      </c>
      <c r="Z170" s="12" t="s">
        <v>841</v>
      </c>
      <c r="AA170" s="12" t="s">
        <v>5164</v>
      </c>
      <c r="AB170" s="12" t="s">
        <v>5165</v>
      </c>
      <c r="AC170" s="12" t="s">
        <v>5166</v>
      </c>
      <c r="AD170" s="12" t="s">
        <v>845</v>
      </c>
      <c r="AE170" s="12" t="s">
        <v>846</v>
      </c>
      <c r="AF170" s="43">
        <f t="shared" si="9"/>
        <v>10.049728</v>
      </c>
      <c r="AG170" s="12" t="s">
        <v>847</v>
      </c>
      <c r="AH170" s="12" t="s">
        <v>5167</v>
      </c>
      <c r="AI170" s="12" t="s">
        <v>5168</v>
      </c>
      <c r="AJ170" s="12" t="s">
        <v>980</v>
      </c>
      <c r="AK170" s="12" t="s">
        <v>4058</v>
      </c>
      <c r="AL170" s="43">
        <f t="shared" si="10"/>
        <v>31.67</v>
      </c>
      <c r="AM170" s="12" t="s">
        <v>981</v>
      </c>
      <c r="AN170" s="12" t="s">
        <v>914</v>
      </c>
      <c r="AO170" s="12" t="s">
        <v>5169</v>
      </c>
      <c r="AP170" s="12" t="s">
        <v>5170</v>
      </c>
      <c r="AQ170" s="12" t="s">
        <v>2274</v>
      </c>
      <c r="AR170" s="12" t="s">
        <v>5171</v>
      </c>
      <c r="AS170" s="12" t="s">
        <v>5126</v>
      </c>
      <c r="AT170" s="12" t="s">
        <v>366</v>
      </c>
      <c r="AU170" s="12" t="s">
        <v>5127</v>
      </c>
      <c r="AV170" s="12" t="s">
        <v>832</v>
      </c>
      <c r="AW170" s="12" t="s">
        <v>1342</v>
      </c>
      <c r="AX170" s="12" t="s">
        <v>868</v>
      </c>
      <c r="AY170" s="12" t="s">
        <v>868</v>
      </c>
      <c r="AZ170" s="12" t="s">
        <v>5172</v>
      </c>
      <c r="BA170" s="12" t="s">
        <v>868</v>
      </c>
      <c r="BB170" s="12" t="s">
        <v>868</v>
      </c>
      <c r="BC170" s="12" t="s">
        <v>866</v>
      </c>
      <c r="BD170" s="12" t="s">
        <v>867</v>
      </c>
      <c r="BE170" s="12" t="s">
        <v>868</v>
      </c>
      <c r="BF170" s="12" t="s">
        <v>869</v>
      </c>
      <c r="BG170" s="12" t="s">
        <v>870</v>
      </c>
      <c r="BH170" s="12" t="s">
        <v>841</v>
      </c>
      <c r="BI170" s="12" t="s">
        <v>871</v>
      </c>
      <c r="BJ170" s="12" t="s">
        <v>841</v>
      </c>
      <c r="BK170" s="12" t="s">
        <v>841</v>
      </c>
      <c r="BL170" s="12" t="s">
        <v>872</v>
      </c>
      <c r="BM170" s="12" t="s">
        <v>873</v>
      </c>
      <c r="BN170" s="12" t="s">
        <v>866</v>
      </c>
      <c r="BO170" s="12" t="s">
        <v>874</v>
      </c>
      <c r="BP170" s="12" t="s">
        <v>875</v>
      </c>
      <c r="BQ170" s="12" t="s">
        <v>876</v>
      </c>
      <c r="BR170" s="12" t="s">
        <v>869</v>
      </c>
      <c r="BS170" s="12" t="s">
        <v>869</v>
      </c>
      <c r="BT170" s="12" t="s">
        <v>877</v>
      </c>
      <c r="BU170" s="12" t="s">
        <v>877</v>
      </c>
      <c r="BV170" s="12" t="s">
        <v>877</v>
      </c>
      <c r="BW170" s="12" t="s">
        <v>841</v>
      </c>
      <c r="BX170" s="12" t="s">
        <v>878</v>
      </c>
      <c r="BY170" s="12" t="s">
        <v>841</v>
      </c>
      <c r="BZ170" s="12" t="s">
        <v>841</v>
      </c>
      <c r="CA170" s="12" t="s">
        <v>841</v>
      </c>
      <c r="CB170" s="12" t="s">
        <v>841</v>
      </c>
      <c r="CC170" s="12" t="s">
        <v>5173</v>
      </c>
      <c r="CD170" s="12" t="s">
        <v>5174</v>
      </c>
      <c r="CE170" s="12" t="s">
        <v>5175</v>
      </c>
      <c r="CF170" s="12" t="s">
        <v>5176</v>
      </c>
      <c r="CG170" s="12" t="s">
        <v>5177</v>
      </c>
      <c r="CH170" s="12" t="s">
        <v>5178</v>
      </c>
      <c r="CI170" s="12" t="s">
        <v>5179</v>
      </c>
      <c r="CJ170" s="12" t="s">
        <v>5180</v>
      </c>
      <c r="CK170" s="12" t="s">
        <v>5181</v>
      </c>
      <c r="CL170" s="12" t="s">
        <v>1415</v>
      </c>
      <c r="CM170" s="12" t="s">
        <v>888</v>
      </c>
      <c r="CN170" s="12" t="s">
        <v>841</v>
      </c>
      <c r="CO170" s="12" t="s">
        <v>847</v>
      </c>
      <c r="CP170" s="12" t="s">
        <v>889</v>
      </c>
      <c r="CQ170" s="12" t="s">
        <v>890</v>
      </c>
      <c r="CR170" s="12" t="s">
        <v>847</v>
      </c>
      <c r="CS170" s="12" t="s">
        <v>891</v>
      </c>
      <c r="CT170" s="12" t="s">
        <v>892</v>
      </c>
      <c r="CU170" s="12" t="s">
        <v>893</v>
      </c>
      <c r="CV170" s="12" t="s">
        <v>841</v>
      </c>
      <c r="CW170" s="12" t="s">
        <v>5163</v>
      </c>
      <c r="CX170" s="12" t="s">
        <v>894</v>
      </c>
      <c r="CY170" s="12" t="s">
        <v>895</v>
      </c>
      <c r="CZ170" s="12" t="s">
        <v>896</v>
      </c>
      <c r="DA170" s="12" t="s">
        <v>897</v>
      </c>
      <c r="DB170" s="12" t="s">
        <v>898</v>
      </c>
      <c r="DC170" s="12" t="s">
        <v>899</v>
      </c>
    </row>
    <row r="171">
      <c r="A171" s="12" t="s">
        <v>1970</v>
      </c>
      <c r="B171" s="12" t="s">
        <v>523</v>
      </c>
      <c r="C171" s="12" t="s">
        <v>366</v>
      </c>
      <c r="D171" s="12" t="s">
        <v>833</v>
      </c>
      <c r="E171" s="12" t="s">
        <v>834</v>
      </c>
      <c r="F171" s="12"/>
      <c r="G171" s="12" t="s">
        <v>114</v>
      </c>
      <c r="H171" s="12" t="s">
        <v>515</v>
      </c>
      <c r="I171" s="12"/>
      <c r="J171" s="43">
        <f t="shared" si="1"/>
        <v>0.02800543305</v>
      </c>
      <c r="K171" s="43">
        <f t="shared" si="2"/>
        <v>2.90822672</v>
      </c>
      <c r="L171" s="43">
        <f t="shared" si="3"/>
        <v>0.02773832056</v>
      </c>
      <c r="M171" s="43">
        <f t="shared" si="4"/>
        <v>1.081227165</v>
      </c>
      <c r="N171" s="12" t="s">
        <v>5182</v>
      </c>
      <c r="O171" s="12" t="s">
        <v>5183</v>
      </c>
      <c r="P171" s="43">
        <f t="shared" si="5"/>
        <v>4.734691872</v>
      </c>
      <c r="Q171" s="43">
        <f t="shared" si="6"/>
        <v>3.712825872</v>
      </c>
      <c r="R171" s="12" t="s">
        <v>5184</v>
      </c>
      <c r="S171" s="12" t="s">
        <v>5185</v>
      </c>
      <c r="T171" s="43">
        <f t="shared" si="7"/>
        <v>48.24917836</v>
      </c>
      <c r="U171" s="43">
        <f t="shared" si="8"/>
        <v>0.4417875</v>
      </c>
      <c r="V171" s="12" t="s">
        <v>839</v>
      </c>
      <c r="W171" s="12" t="s">
        <v>5186</v>
      </c>
      <c r="X171" s="12" t="s">
        <v>841</v>
      </c>
      <c r="Y171" s="12" t="s">
        <v>841</v>
      </c>
      <c r="Z171" s="12" t="s">
        <v>841</v>
      </c>
      <c r="AA171" s="12" t="s">
        <v>5187</v>
      </c>
      <c r="AB171" s="12" t="s">
        <v>5188</v>
      </c>
      <c r="AC171" s="12" t="s">
        <v>5189</v>
      </c>
      <c r="AD171" s="12" t="s">
        <v>845</v>
      </c>
      <c r="AE171" s="12" t="s">
        <v>846</v>
      </c>
      <c r="AF171" s="43">
        <f t="shared" si="9"/>
        <v>10.3105872</v>
      </c>
      <c r="AG171" s="12" t="s">
        <v>847</v>
      </c>
      <c r="AH171" s="12" t="s">
        <v>3999</v>
      </c>
      <c r="AI171" s="12" t="s">
        <v>5190</v>
      </c>
      <c r="AJ171" s="12" t="s">
        <v>5191</v>
      </c>
      <c r="AK171" s="12" t="s">
        <v>5192</v>
      </c>
      <c r="AL171" s="43">
        <f t="shared" si="10"/>
        <v>31.85</v>
      </c>
      <c r="AM171" s="12" t="s">
        <v>1042</v>
      </c>
      <c r="AN171" s="12" t="s">
        <v>853</v>
      </c>
      <c r="AO171" s="12" t="s">
        <v>5193</v>
      </c>
      <c r="AP171" s="12" t="s">
        <v>5194</v>
      </c>
      <c r="AQ171" s="12" t="s">
        <v>1810</v>
      </c>
      <c r="AR171" s="12" t="s">
        <v>5150</v>
      </c>
      <c r="AS171" s="12" t="s">
        <v>5126</v>
      </c>
      <c r="AT171" s="12" t="s">
        <v>366</v>
      </c>
      <c r="AU171" s="12" t="s">
        <v>5127</v>
      </c>
      <c r="AV171" s="12" t="s">
        <v>832</v>
      </c>
      <c r="AW171" s="12" t="s">
        <v>1342</v>
      </c>
      <c r="AX171" s="12" t="s">
        <v>868</v>
      </c>
      <c r="AY171" s="12" t="s">
        <v>868</v>
      </c>
      <c r="AZ171" s="12" t="s">
        <v>5195</v>
      </c>
      <c r="BA171" s="12" t="s">
        <v>868</v>
      </c>
      <c r="BB171" s="12" t="s">
        <v>868</v>
      </c>
      <c r="BC171" s="12" t="s">
        <v>866</v>
      </c>
      <c r="BD171" s="12" t="s">
        <v>867</v>
      </c>
      <c r="BE171" s="12" t="s">
        <v>868</v>
      </c>
      <c r="BF171" s="12" t="s">
        <v>869</v>
      </c>
      <c r="BG171" s="12" t="s">
        <v>870</v>
      </c>
      <c r="BH171" s="12" t="s">
        <v>841</v>
      </c>
      <c r="BI171" s="12" t="s">
        <v>871</v>
      </c>
      <c r="BJ171" s="12" t="s">
        <v>841</v>
      </c>
      <c r="BK171" s="12" t="s">
        <v>841</v>
      </c>
      <c r="BL171" s="12" t="s">
        <v>872</v>
      </c>
      <c r="BM171" s="12" t="s">
        <v>873</v>
      </c>
      <c r="BN171" s="12" t="s">
        <v>866</v>
      </c>
      <c r="BO171" s="12" t="s">
        <v>874</v>
      </c>
      <c r="BP171" s="12" t="s">
        <v>875</v>
      </c>
      <c r="BQ171" s="12" t="s">
        <v>876</v>
      </c>
      <c r="BR171" s="12" t="s">
        <v>869</v>
      </c>
      <c r="BS171" s="12" t="s">
        <v>869</v>
      </c>
      <c r="BT171" s="12" t="s">
        <v>877</v>
      </c>
      <c r="BU171" s="12" t="s">
        <v>877</v>
      </c>
      <c r="BV171" s="12" t="s">
        <v>877</v>
      </c>
      <c r="BW171" s="12" t="s">
        <v>841</v>
      </c>
      <c r="BX171" s="12" t="s">
        <v>878</v>
      </c>
      <c r="BY171" s="12" t="s">
        <v>841</v>
      </c>
      <c r="BZ171" s="12" t="s">
        <v>841</v>
      </c>
      <c r="CA171" s="12" t="s">
        <v>841</v>
      </c>
      <c r="CB171" s="12" t="s">
        <v>841</v>
      </c>
      <c r="CC171" s="12" t="s">
        <v>5196</v>
      </c>
      <c r="CD171" s="12" t="s">
        <v>5197</v>
      </c>
      <c r="CE171" s="12" t="s">
        <v>5198</v>
      </c>
      <c r="CF171" s="12" t="s">
        <v>5199</v>
      </c>
      <c r="CG171" s="12" t="s">
        <v>5200</v>
      </c>
      <c r="CH171" s="12" t="s">
        <v>5201</v>
      </c>
      <c r="CI171" s="12" t="s">
        <v>5202</v>
      </c>
      <c r="CJ171" s="12" t="s">
        <v>5203</v>
      </c>
      <c r="CK171" s="12" t="s">
        <v>5187</v>
      </c>
      <c r="CL171" s="12" t="s">
        <v>1176</v>
      </c>
      <c r="CM171" s="12" t="s">
        <v>888</v>
      </c>
      <c r="CN171" s="12" t="s">
        <v>841</v>
      </c>
      <c r="CO171" s="12" t="s">
        <v>847</v>
      </c>
      <c r="CP171" s="12" t="s">
        <v>889</v>
      </c>
      <c r="CQ171" s="12" t="s">
        <v>890</v>
      </c>
      <c r="CR171" s="12" t="s">
        <v>847</v>
      </c>
      <c r="CS171" s="12" t="s">
        <v>891</v>
      </c>
      <c r="CT171" s="12" t="s">
        <v>892</v>
      </c>
      <c r="CU171" s="12" t="s">
        <v>893</v>
      </c>
      <c r="CV171" s="12" t="s">
        <v>841</v>
      </c>
      <c r="CW171" s="12" t="s">
        <v>5186</v>
      </c>
      <c r="CX171" s="12" t="s">
        <v>894</v>
      </c>
      <c r="CY171" s="12" t="s">
        <v>895</v>
      </c>
      <c r="CZ171" s="12" t="s">
        <v>896</v>
      </c>
      <c r="DA171" s="12" t="s">
        <v>897</v>
      </c>
      <c r="DB171" s="12" t="s">
        <v>898</v>
      </c>
      <c r="DC171" s="12" t="s">
        <v>899</v>
      </c>
    </row>
    <row r="172">
      <c r="A172" s="12" t="s">
        <v>1998</v>
      </c>
      <c r="B172" s="12" t="s">
        <v>525</v>
      </c>
      <c r="C172" s="12" t="s">
        <v>366</v>
      </c>
      <c r="D172" s="12" t="s">
        <v>833</v>
      </c>
      <c r="E172" s="12" t="s">
        <v>834</v>
      </c>
      <c r="F172" s="12"/>
      <c r="G172" s="12" t="s">
        <v>114</v>
      </c>
      <c r="H172" s="12" t="s">
        <v>515</v>
      </c>
      <c r="I172" s="12"/>
      <c r="J172" s="43">
        <f t="shared" si="1"/>
        <v>0.02009226639</v>
      </c>
      <c r="K172" s="43">
        <f t="shared" si="2"/>
        <v>2.909022</v>
      </c>
      <c r="L172" s="43">
        <f t="shared" si="3"/>
        <v>0.01995444344</v>
      </c>
      <c r="M172" s="43">
        <f t="shared" si="4"/>
        <v>0.7898878318</v>
      </c>
      <c r="N172" s="12" t="s">
        <v>5204</v>
      </c>
      <c r="O172" s="12" t="s">
        <v>5205</v>
      </c>
      <c r="P172" s="43">
        <f t="shared" si="5"/>
        <v>4.734691872</v>
      </c>
      <c r="Q172" s="43">
        <f t="shared" si="6"/>
        <v>3.771634872</v>
      </c>
      <c r="R172" s="12" t="s">
        <v>5206</v>
      </c>
      <c r="S172" s="12" t="s">
        <v>5207</v>
      </c>
      <c r="T172" s="43">
        <f t="shared" si="7"/>
        <v>48.24917836</v>
      </c>
      <c r="U172" s="43">
        <f t="shared" si="8"/>
        <v>0.4417875</v>
      </c>
      <c r="V172" s="12" t="s">
        <v>839</v>
      </c>
      <c r="W172" s="12" t="s">
        <v>5208</v>
      </c>
      <c r="X172" s="12" t="s">
        <v>841</v>
      </c>
      <c r="Y172" s="12" t="s">
        <v>841</v>
      </c>
      <c r="Z172" s="12" t="s">
        <v>841</v>
      </c>
      <c r="AA172" s="12" t="s">
        <v>5209</v>
      </c>
      <c r="AB172" s="12" t="s">
        <v>5210</v>
      </c>
      <c r="AC172" s="12" t="s">
        <v>5211</v>
      </c>
      <c r="AD172" s="12" t="s">
        <v>845</v>
      </c>
      <c r="AE172" s="12" t="s">
        <v>846</v>
      </c>
      <c r="AF172" s="43">
        <f t="shared" si="9"/>
        <v>6.1584952</v>
      </c>
      <c r="AG172" s="12" t="s">
        <v>847</v>
      </c>
      <c r="AH172" s="12" t="s">
        <v>4315</v>
      </c>
      <c r="AI172" s="12" t="s">
        <v>5212</v>
      </c>
      <c r="AJ172" s="12" t="s">
        <v>5213</v>
      </c>
      <c r="AK172" s="12" t="s">
        <v>5192</v>
      </c>
      <c r="AL172" s="43">
        <f t="shared" si="10"/>
        <v>31.85</v>
      </c>
      <c r="AM172" s="12" t="s">
        <v>1042</v>
      </c>
      <c r="AN172" s="12" t="s">
        <v>1072</v>
      </c>
      <c r="AO172" s="12" t="s">
        <v>5214</v>
      </c>
      <c r="AP172" s="12" t="s">
        <v>5215</v>
      </c>
      <c r="AQ172" s="12" t="s">
        <v>1399</v>
      </c>
      <c r="AR172" s="12" t="s">
        <v>5216</v>
      </c>
      <c r="AS172" s="12" t="s">
        <v>5126</v>
      </c>
      <c r="AT172" s="12" t="s">
        <v>366</v>
      </c>
      <c r="AU172" s="12" t="s">
        <v>5127</v>
      </c>
      <c r="AV172" s="12" t="s">
        <v>832</v>
      </c>
      <c r="AW172" s="12" t="s">
        <v>1164</v>
      </c>
      <c r="AX172" s="12" t="s">
        <v>868</v>
      </c>
      <c r="AY172" s="12" t="s">
        <v>868</v>
      </c>
      <c r="AZ172" s="12" t="s">
        <v>5217</v>
      </c>
      <c r="BA172" s="12" t="s">
        <v>868</v>
      </c>
      <c r="BB172" s="12" t="s">
        <v>868</v>
      </c>
      <c r="BC172" s="12" t="s">
        <v>866</v>
      </c>
      <c r="BD172" s="12" t="s">
        <v>867</v>
      </c>
      <c r="BE172" s="12" t="s">
        <v>868</v>
      </c>
      <c r="BF172" s="12" t="s">
        <v>869</v>
      </c>
      <c r="BG172" s="12" t="s">
        <v>870</v>
      </c>
      <c r="BH172" s="12" t="s">
        <v>841</v>
      </c>
      <c r="BI172" s="12" t="s">
        <v>871</v>
      </c>
      <c r="BJ172" s="12" t="s">
        <v>841</v>
      </c>
      <c r="BK172" s="12" t="s">
        <v>841</v>
      </c>
      <c r="BL172" s="12" t="s">
        <v>872</v>
      </c>
      <c r="BM172" s="12" t="s">
        <v>873</v>
      </c>
      <c r="BN172" s="12" t="s">
        <v>866</v>
      </c>
      <c r="BO172" s="12" t="s">
        <v>874</v>
      </c>
      <c r="BP172" s="12" t="s">
        <v>875</v>
      </c>
      <c r="BQ172" s="12" t="s">
        <v>876</v>
      </c>
      <c r="BR172" s="12" t="s">
        <v>869</v>
      </c>
      <c r="BS172" s="12" t="s">
        <v>869</v>
      </c>
      <c r="BT172" s="12" t="s">
        <v>877</v>
      </c>
      <c r="BU172" s="12" t="s">
        <v>877</v>
      </c>
      <c r="BV172" s="12" t="s">
        <v>877</v>
      </c>
      <c r="BW172" s="12" t="s">
        <v>841</v>
      </c>
      <c r="BX172" s="12" t="s">
        <v>878</v>
      </c>
      <c r="BY172" s="12" t="s">
        <v>841</v>
      </c>
      <c r="BZ172" s="12" t="s">
        <v>841</v>
      </c>
      <c r="CA172" s="12" t="s">
        <v>841</v>
      </c>
      <c r="CB172" s="12" t="s">
        <v>841</v>
      </c>
      <c r="CC172" s="12" t="s">
        <v>5218</v>
      </c>
      <c r="CD172" s="12" t="s">
        <v>5219</v>
      </c>
      <c r="CE172" s="12" t="s">
        <v>5220</v>
      </c>
      <c r="CF172" s="12" t="s">
        <v>5221</v>
      </c>
      <c r="CG172" s="12" t="s">
        <v>5222</v>
      </c>
      <c r="CH172" s="12" t="s">
        <v>5223</v>
      </c>
      <c r="CI172" s="12" t="s">
        <v>5224</v>
      </c>
      <c r="CJ172" s="12" t="s">
        <v>5225</v>
      </c>
      <c r="CK172" s="12" t="s">
        <v>5209</v>
      </c>
      <c r="CL172" s="12" t="s">
        <v>2231</v>
      </c>
      <c r="CM172" s="12" t="s">
        <v>888</v>
      </c>
      <c r="CN172" s="12" t="s">
        <v>841</v>
      </c>
      <c r="CO172" s="12" t="s">
        <v>847</v>
      </c>
      <c r="CP172" s="12" t="s">
        <v>889</v>
      </c>
      <c r="CQ172" s="12" t="s">
        <v>890</v>
      </c>
      <c r="CR172" s="12" t="s">
        <v>847</v>
      </c>
      <c r="CS172" s="12" t="s">
        <v>891</v>
      </c>
      <c r="CT172" s="12" t="s">
        <v>892</v>
      </c>
      <c r="CU172" s="12" t="s">
        <v>893</v>
      </c>
      <c r="CV172" s="12" t="s">
        <v>841</v>
      </c>
      <c r="CW172" s="12" t="s">
        <v>5208</v>
      </c>
      <c r="CX172" s="12" t="s">
        <v>894</v>
      </c>
      <c r="CY172" s="12" t="s">
        <v>895</v>
      </c>
      <c r="CZ172" s="12" t="s">
        <v>896</v>
      </c>
      <c r="DA172" s="12" t="s">
        <v>897</v>
      </c>
      <c r="DB172" s="12" t="s">
        <v>898</v>
      </c>
      <c r="DC172" s="12" t="s">
        <v>899</v>
      </c>
    </row>
    <row r="173">
      <c r="A173" s="12" t="s">
        <v>2022</v>
      </c>
      <c r="B173" s="12" t="s">
        <v>528</v>
      </c>
      <c r="C173" s="12" t="s">
        <v>366</v>
      </c>
      <c r="D173" s="12" t="s">
        <v>833</v>
      </c>
      <c r="E173" s="12" t="s">
        <v>834</v>
      </c>
      <c r="F173" s="12"/>
      <c r="G173" s="12" t="s">
        <v>114</v>
      </c>
      <c r="H173" s="12" t="s">
        <v>527</v>
      </c>
      <c r="I173" s="12"/>
      <c r="J173" s="43">
        <f t="shared" si="1"/>
        <v>0.02206799255</v>
      </c>
      <c r="K173" s="43">
        <f t="shared" si="2"/>
        <v>2.909022</v>
      </c>
      <c r="L173" s="43">
        <f t="shared" si="3"/>
        <v>0.02190184402</v>
      </c>
      <c r="M173" s="43">
        <f t="shared" si="4"/>
        <v>0.8947331826</v>
      </c>
      <c r="N173" s="12" t="s">
        <v>5226</v>
      </c>
      <c r="O173" s="12" t="s">
        <v>5227</v>
      </c>
      <c r="P173" s="43">
        <f t="shared" si="5"/>
        <v>4.876000272</v>
      </c>
      <c r="Q173" s="43">
        <f t="shared" si="6"/>
        <v>3.889033272</v>
      </c>
      <c r="R173" s="12" t="s">
        <v>5228</v>
      </c>
      <c r="S173" s="12" t="s">
        <v>5229</v>
      </c>
      <c r="T173" s="43">
        <f t="shared" si="7"/>
        <v>49.68919058</v>
      </c>
      <c r="U173" s="43">
        <f t="shared" si="8"/>
        <v>0.4417875</v>
      </c>
      <c r="V173" s="12" t="s">
        <v>839</v>
      </c>
      <c r="W173" s="12" t="s">
        <v>5230</v>
      </c>
      <c r="X173" s="12" t="s">
        <v>841</v>
      </c>
      <c r="Y173" s="12" t="s">
        <v>841</v>
      </c>
      <c r="Z173" s="12" t="s">
        <v>841</v>
      </c>
      <c r="AA173" s="12" t="s">
        <v>5231</v>
      </c>
      <c r="AB173" s="12" t="s">
        <v>5232</v>
      </c>
      <c r="AC173" s="12" t="s">
        <v>5233</v>
      </c>
      <c r="AD173" s="12" t="s">
        <v>845</v>
      </c>
      <c r="AE173" s="12" t="s">
        <v>846</v>
      </c>
      <c r="AF173" s="43">
        <f t="shared" si="9"/>
        <v>10.1541792</v>
      </c>
      <c r="AG173" s="12" t="s">
        <v>847</v>
      </c>
      <c r="AH173" s="12" t="s">
        <v>4414</v>
      </c>
      <c r="AI173" s="12" t="s">
        <v>5234</v>
      </c>
      <c r="AJ173" s="12" t="s">
        <v>5235</v>
      </c>
      <c r="AK173" s="12" t="s">
        <v>5236</v>
      </c>
      <c r="AL173" s="43">
        <f t="shared" si="10"/>
        <v>32.37</v>
      </c>
      <c r="AM173" s="12" t="s">
        <v>1042</v>
      </c>
      <c r="AN173" s="12" t="s">
        <v>1072</v>
      </c>
      <c r="AO173" s="12" t="s">
        <v>5237</v>
      </c>
      <c r="AP173" s="12" t="s">
        <v>5238</v>
      </c>
      <c r="AQ173" s="12" t="s">
        <v>2629</v>
      </c>
      <c r="AR173" s="12" t="s">
        <v>5239</v>
      </c>
      <c r="AS173" s="12" t="s">
        <v>5126</v>
      </c>
      <c r="AT173" s="12" t="s">
        <v>366</v>
      </c>
      <c r="AU173" s="12" t="s">
        <v>5127</v>
      </c>
      <c r="AV173" s="12" t="s">
        <v>832</v>
      </c>
      <c r="AW173" s="12" t="s">
        <v>1164</v>
      </c>
      <c r="AX173" s="12" t="s">
        <v>1543</v>
      </c>
      <c r="AY173" s="12" t="s">
        <v>1542</v>
      </c>
      <c r="AZ173" s="12" t="s">
        <v>5240</v>
      </c>
      <c r="BA173" s="12" t="s">
        <v>5241</v>
      </c>
      <c r="BB173" s="12" t="s">
        <v>5242</v>
      </c>
      <c r="BC173" s="12" t="s">
        <v>866</v>
      </c>
      <c r="BD173" s="12" t="s">
        <v>867</v>
      </c>
      <c r="BE173" s="12" t="s">
        <v>868</v>
      </c>
      <c r="BF173" s="12" t="s">
        <v>869</v>
      </c>
      <c r="BG173" s="12" t="s">
        <v>870</v>
      </c>
      <c r="BH173" s="12" t="s">
        <v>841</v>
      </c>
      <c r="BI173" s="12" t="s">
        <v>871</v>
      </c>
      <c r="BJ173" s="12" t="s">
        <v>841</v>
      </c>
      <c r="BK173" s="12" t="s">
        <v>841</v>
      </c>
      <c r="BL173" s="12" t="s">
        <v>872</v>
      </c>
      <c r="BM173" s="12" t="s">
        <v>873</v>
      </c>
      <c r="BN173" s="12" t="s">
        <v>866</v>
      </c>
      <c r="BO173" s="12" t="s">
        <v>874</v>
      </c>
      <c r="BP173" s="12" t="s">
        <v>875</v>
      </c>
      <c r="BQ173" s="12" t="s">
        <v>876</v>
      </c>
      <c r="BR173" s="12" t="s">
        <v>869</v>
      </c>
      <c r="BS173" s="12" t="s">
        <v>869</v>
      </c>
      <c r="BT173" s="12" t="s">
        <v>877</v>
      </c>
      <c r="BU173" s="12" t="s">
        <v>877</v>
      </c>
      <c r="BV173" s="12" t="s">
        <v>877</v>
      </c>
      <c r="BW173" s="12" t="s">
        <v>841</v>
      </c>
      <c r="BX173" s="12" t="s">
        <v>878</v>
      </c>
      <c r="BY173" s="12" t="s">
        <v>841</v>
      </c>
      <c r="BZ173" s="12" t="s">
        <v>841</v>
      </c>
      <c r="CA173" s="12" t="s">
        <v>841</v>
      </c>
      <c r="CB173" s="12" t="s">
        <v>841</v>
      </c>
      <c r="CC173" s="12" t="s">
        <v>5243</v>
      </c>
      <c r="CD173" s="12" t="s">
        <v>5244</v>
      </c>
      <c r="CE173" s="12" t="s">
        <v>5245</v>
      </c>
      <c r="CF173" s="12" t="s">
        <v>5246</v>
      </c>
      <c r="CG173" s="12" t="s">
        <v>5247</v>
      </c>
      <c r="CH173" s="12" t="s">
        <v>5248</v>
      </c>
      <c r="CI173" s="12" t="s">
        <v>5249</v>
      </c>
      <c r="CJ173" s="12" t="s">
        <v>5250</v>
      </c>
      <c r="CK173" s="12" t="s">
        <v>5231</v>
      </c>
      <c r="CL173" s="12" t="s">
        <v>887</v>
      </c>
      <c r="CM173" s="12" t="s">
        <v>888</v>
      </c>
      <c r="CN173" s="12" t="s">
        <v>841</v>
      </c>
      <c r="CO173" s="12" t="s">
        <v>847</v>
      </c>
      <c r="CP173" s="12" t="s">
        <v>889</v>
      </c>
      <c r="CQ173" s="12" t="s">
        <v>890</v>
      </c>
      <c r="CR173" s="12" t="s">
        <v>847</v>
      </c>
      <c r="CS173" s="12" t="s">
        <v>891</v>
      </c>
      <c r="CT173" s="12" t="s">
        <v>892</v>
      </c>
      <c r="CU173" s="12" t="s">
        <v>893</v>
      </c>
      <c r="CV173" s="12" t="s">
        <v>841</v>
      </c>
      <c r="CW173" s="12" t="s">
        <v>5230</v>
      </c>
      <c r="CX173" s="12" t="s">
        <v>894</v>
      </c>
      <c r="CY173" s="12" t="s">
        <v>895</v>
      </c>
      <c r="CZ173" s="12" t="s">
        <v>896</v>
      </c>
      <c r="DA173" s="12" t="s">
        <v>897</v>
      </c>
      <c r="DB173" s="12" t="s">
        <v>898</v>
      </c>
      <c r="DC173" s="12" t="s">
        <v>899</v>
      </c>
    </row>
    <row r="174">
      <c r="A174" s="12" t="s">
        <v>2050</v>
      </c>
      <c r="B174" s="12" t="s">
        <v>529</v>
      </c>
      <c r="C174" s="12" t="s">
        <v>366</v>
      </c>
      <c r="D174" s="12" t="s">
        <v>833</v>
      </c>
      <c r="E174" s="12" t="s">
        <v>834</v>
      </c>
      <c r="F174" s="12"/>
      <c r="G174" s="12" t="s">
        <v>114</v>
      </c>
      <c r="H174" s="12" t="s">
        <v>527</v>
      </c>
      <c r="I174" s="12"/>
      <c r="J174" s="43">
        <f t="shared" si="1"/>
        <v>-0.02035218507</v>
      </c>
      <c r="K174" s="43">
        <f t="shared" si="2"/>
        <v>2.90822672</v>
      </c>
      <c r="L174" s="43">
        <f t="shared" si="3"/>
        <v>-0.02049561632</v>
      </c>
      <c r="M174" s="43">
        <f t="shared" si="4"/>
        <v>-0.8038025325</v>
      </c>
      <c r="N174" s="12" t="s">
        <v>5251</v>
      </c>
      <c r="O174" s="12" t="s">
        <v>5252</v>
      </c>
      <c r="P174" s="43">
        <f t="shared" si="5"/>
        <v>4.654800667</v>
      </c>
      <c r="Q174" s="43">
        <f t="shared" si="6"/>
        <v>3.739272667</v>
      </c>
      <c r="R174" s="12" t="s">
        <v>5253</v>
      </c>
      <c r="S174" s="12" t="s">
        <v>5254</v>
      </c>
      <c r="T174" s="43">
        <f t="shared" si="7"/>
        <v>47.43504196</v>
      </c>
      <c r="U174" s="43">
        <f t="shared" si="8"/>
        <v>0.4417875</v>
      </c>
      <c r="V174" s="12" t="s">
        <v>839</v>
      </c>
      <c r="W174" s="12" t="s">
        <v>5255</v>
      </c>
      <c r="X174" s="12" t="s">
        <v>841</v>
      </c>
      <c r="Y174" s="12" t="s">
        <v>841</v>
      </c>
      <c r="Z174" s="12" t="s">
        <v>841</v>
      </c>
      <c r="AA174" s="12" t="s">
        <v>5256</v>
      </c>
      <c r="AB174" s="12" t="s">
        <v>5257</v>
      </c>
      <c r="AC174" s="12" t="s">
        <v>5258</v>
      </c>
      <c r="AD174" s="12" t="s">
        <v>845</v>
      </c>
      <c r="AE174" s="12" t="s">
        <v>846</v>
      </c>
      <c r="AF174" s="43">
        <f t="shared" si="9"/>
        <v>12.761534</v>
      </c>
      <c r="AG174" s="12" t="s">
        <v>847</v>
      </c>
      <c r="AH174" s="12" t="s">
        <v>5048</v>
      </c>
      <c r="AI174" s="12" t="s">
        <v>5259</v>
      </c>
      <c r="AJ174" s="12" t="s">
        <v>1007</v>
      </c>
      <c r="AK174" s="12" t="s">
        <v>5260</v>
      </c>
      <c r="AL174" s="43">
        <f t="shared" si="10"/>
        <v>31.55</v>
      </c>
      <c r="AM174" s="12" t="s">
        <v>1042</v>
      </c>
      <c r="AN174" s="12" t="s">
        <v>853</v>
      </c>
      <c r="AO174" s="12" t="s">
        <v>5261</v>
      </c>
      <c r="AP174" s="12" t="s">
        <v>5262</v>
      </c>
      <c r="AQ174" s="12" t="s">
        <v>949</v>
      </c>
      <c r="AR174" s="12" t="s">
        <v>5263</v>
      </c>
      <c r="AS174" s="12" t="s">
        <v>5126</v>
      </c>
      <c r="AT174" s="12" t="s">
        <v>366</v>
      </c>
      <c r="AU174" s="12" t="s">
        <v>5127</v>
      </c>
      <c r="AV174" s="12" t="s">
        <v>832</v>
      </c>
      <c r="AW174" s="12" t="s">
        <v>1342</v>
      </c>
      <c r="AX174" s="12" t="s">
        <v>868</v>
      </c>
      <c r="AY174" s="12" t="s">
        <v>868</v>
      </c>
      <c r="AZ174" s="12" t="s">
        <v>5264</v>
      </c>
      <c r="BA174" s="12" t="s">
        <v>868</v>
      </c>
      <c r="BB174" s="12" t="s">
        <v>868</v>
      </c>
      <c r="BC174" s="12" t="s">
        <v>866</v>
      </c>
      <c r="BD174" s="12" t="s">
        <v>867</v>
      </c>
      <c r="BE174" s="12" t="s">
        <v>868</v>
      </c>
      <c r="BF174" s="12" t="s">
        <v>869</v>
      </c>
      <c r="BG174" s="12" t="s">
        <v>870</v>
      </c>
      <c r="BH174" s="12" t="s">
        <v>841</v>
      </c>
      <c r="BI174" s="12" t="s">
        <v>871</v>
      </c>
      <c r="BJ174" s="12" t="s">
        <v>841</v>
      </c>
      <c r="BK174" s="12" t="s">
        <v>841</v>
      </c>
      <c r="BL174" s="12" t="s">
        <v>872</v>
      </c>
      <c r="BM174" s="12" t="s">
        <v>873</v>
      </c>
      <c r="BN174" s="12" t="s">
        <v>866</v>
      </c>
      <c r="BO174" s="12" t="s">
        <v>874</v>
      </c>
      <c r="BP174" s="12" t="s">
        <v>875</v>
      </c>
      <c r="BQ174" s="12" t="s">
        <v>876</v>
      </c>
      <c r="BR174" s="12" t="s">
        <v>869</v>
      </c>
      <c r="BS174" s="12" t="s">
        <v>869</v>
      </c>
      <c r="BT174" s="12" t="s">
        <v>877</v>
      </c>
      <c r="BU174" s="12" t="s">
        <v>877</v>
      </c>
      <c r="BV174" s="12" t="s">
        <v>877</v>
      </c>
      <c r="BW174" s="12" t="s">
        <v>841</v>
      </c>
      <c r="BX174" s="12" t="s">
        <v>878</v>
      </c>
      <c r="BY174" s="12" t="s">
        <v>841</v>
      </c>
      <c r="BZ174" s="12" t="s">
        <v>841</v>
      </c>
      <c r="CA174" s="12" t="s">
        <v>841</v>
      </c>
      <c r="CB174" s="12" t="s">
        <v>841</v>
      </c>
      <c r="CC174" s="12" t="s">
        <v>5265</v>
      </c>
      <c r="CD174" s="12" t="s">
        <v>5266</v>
      </c>
      <c r="CE174" s="12" t="s">
        <v>5267</v>
      </c>
      <c r="CF174" s="12" t="s">
        <v>5268</v>
      </c>
      <c r="CG174" s="12" t="s">
        <v>5269</v>
      </c>
      <c r="CH174" s="12" t="s">
        <v>5270</v>
      </c>
      <c r="CI174" s="12" t="s">
        <v>5271</v>
      </c>
      <c r="CJ174" s="12" t="s">
        <v>5272</v>
      </c>
      <c r="CK174" s="12" t="s">
        <v>5256</v>
      </c>
      <c r="CL174" s="12" t="s">
        <v>2231</v>
      </c>
      <c r="CM174" s="12" t="s">
        <v>888</v>
      </c>
      <c r="CN174" s="12" t="s">
        <v>841</v>
      </c>
      <c r="CO174" s="12" t="s">
        <v>847</v>
      </c>
      <c r="CP174" s="12" t="s">
        <v>889</v>
      </c>
      <c r="CQ174" s="12" t="s">
        <v>890</v>
      </c>
      <c r="CR174" s="12" t="s">
        <v>847</v>
      </c>
      <c r="CS174" s="12" t="s">
        <v>891</v>
      </c>
      <c r="CT174" s="12" t="s">
        <v>892</v>
      </c>
      <c r="CU174" s="12" t="s">
        <v>893</v>
      </c>
      <c r="CV174" s="12" t="s">
        <v>841</v>
      </c>
      <c r="CW174" s="12" t="s">
        <v>5255</v>
      </c>
      <c r="CX174" s="12" t="s">
        <v>894</v>
      </c>
      <c r="CY174" s="12" t="s">
        <v>895</v>
      </c>
      <c r="CZ174" s="12" t="s">
        <v>896</v>
      </c>
      <c r="DA174" s="12" t="s">
        <v>897</v>
      </c>
      <c r="DB174" s="12" t="s">
        <v>898</v>
      </c>
      <c r="DC174" s="12" t="s">
        <v>899</v>
      </c>
    </row>
    <row r="175">
      <c r="A175" s="12" t="s">
        <v>917</v>
      </c>
      <c r="B175" s="12" t="s">
        <v>532</v>
      </c>
      <c r="C175" s="12" t="s">
        <v>366</v>
      </c>
      <c r="D175" s="12" t="s">
        <v>833</v>
      </c>
      <c r="E175" s="12" t="s">
        <v>834</v>
      </c>
      <c r="F175" s="12"/>
      <c r="G175" s="12" t="s">
        <v>114</v>
      </c>
      <c r="H175" s="12" t="s">
        <v>527</v>
      </c>
      <c r="I175" s="12"/>
      <c r="J175" s="43">
        <f t="shared" si="1"/>
        <v>0.03770848934</v>
      </c>
      <c r="K175" s="43">
        <f t="shared" si="2"/>
        <v>2.91060848</v>
      </c>
      <c r="L175" s="43">
        <f t="shared" si="3"/>
        <v>0.03722620396</v>
      </c>
      <c r="M175" s="43">
        <f t="shared" si="4"/>
        <v>1.435666029</v>
      </c>
      <c r="N175" s="12" t="s">
        <v>5273</v>
      </c>
      <c r="O175" s="12" t="s">
        <v>5274</v>
      </c>
      <c r="P175" s="43">
        <f t="shared" si="5"/>
        <v>4.705260908</v>
      </c>
      <c r="Q175" s="43">
        <f t="shared" si="6"/>
        <v>3.673853908</v>
      </c>
      <c r="R175" s="12" t="s">
        <v>5275</v>
      </c>
      <c r="S175" s="12" t="s">
        <v>5276</v>
      </c>
      <c r="T175" s="43">
        <f t="shared" si="7"/>
        <v>47.94926024</v>
      </c>
      <c r="U175" s="43">
        <f t="shared" si="8"/>
        <v>0.4417875</v>
      </c>
      <c r="V175" s="12" t="s">
        <v>839</v>
      </c>
      <c r="W175" s="12" t="s">
        <v>5277</v>
      </c>
      <c r="X175" s="12" t="s">
        <v>841</v>
      </c>
      <c r="Y175" s="12" t="s">
        <v>841</v>
      </c>
      <c r="Z175" s="12" t="s">
        <v>841</v>
      </c>
      <c r="AA175" s="12" t="s">
        <v>5278</v>
      </c>
      <c r="AB175" s="12" t="s">
        <v>5279</v>
      </c>
      <c r="AC175" s="12" t="s">
        <v>5280</v>
      </c>
      <c r="AD175" s="12" t="s">
        <v>845</v>
      </c>
      <c r="AE175" s="12" t="s">
        <v>846</v>
      </c>
      <c r="AF175" s="43">
        <f t="shared" si="9"/>
        <v>6.8269364</v>
      </c>
      <c r="AG175" s="12" t="s">
        <v>847</v>
      </c>
      <c r="AH175" s="12" t="s">
        <v>5281</v>
      </c>
      <c r="AI175" s="12" t="s">
        <v>5282</v>
      </c>
      <c r="AJ175" s="12" t="s">
        <v>5283</v>
      </c>
      <c r="AK175" s="12" t="s">
        <v>5284</v>
      </c>
      <c r="AL175" s="43">
        <f t="shared" si="10"/>
        <v>31.74</v>
      </c>
      <c r="AM175" s="12" t="s">
        <v>1042</v>
      </c>
      <c r="AN175" s="12" t="s">
        <v>1159</v>
      </c>
      <c r="AO175" s="12" t="s">
        <v>5214</v>
      </c>
      <c r="AP175" s="12" t="s">
        <v>5285</v>
      </c>
      <c r="AQ175" s="12" t="s">
        <v>2022</v>
      </c>
      <c r="AR175" s="12" t="s">
        <v>5239</v>
      </c>
      <c r="AS175" s="12" t="s">
        <v>5126</v>
      </c>
      <c r="AT175" s="12" t="s">
        <v>366</v>
      </c>
      <c r="AU175" s="12" t="s">
        <v>5127</v>
      </c>
      <c r="AV175" s="12" t="s">
        <v>832</v>
      </c>
      <c r="AW175" s="12" t="s">
        <v>919</v>
      </c>
      <c r="AX175" s="12" t="s">
        <v>868</v>
      </c>
      <c r="AY175" s="12" t="s">
        <v>868</v>
      </c>
      <c r="AZ175" s="12" t="s">
        <v>5286</v>
      </c>
      <c r="BA175" s="12" t="s">
        <v>868</v>
      </c>
      <c r="BB175" s="12" t="s">
        <v>868</v>
      </c>
      <c r="BC175" s="12" t="s">
        <v>866</v>
      </c>
      <c r="BD175" s="12" t="s">
        <v>867</v>
      </c>
      <c r="BE175" s="12" t="s">
        <v>868</v>
      </c>
      <c r="BF175" s="12" t="s">
        <v>869</v>
      </c>
      <c r="BG175" s="12" t="s">
        <v>870</v>
      </c>
      <c r="BH175" s="12" t="s">
        <v>841</v>
      </c>
      <c r="BI175" s="12" t="s">
        <v>871</v>
      </c>
      <c r="BJ175" s="12" t="s">
        <v>841</v>
      </c>
      <c r="BK175" s="12" t="s">
        <v>841</v>
      </c>
      <c r="BL175" s="12" t="s">
        <v>872</v>
      </c>
      <c r="BM175" s="12" t="s">
        <v>873</v>
      </c>
      <c r="BN175" s="12" t="s">
        <v>866</v>
      </c>
      <c r="BO175" s="12" t="s">
        <v>874</v>
      </c>
      <c r="BP175" s="12" t="s">
        <v>875</v>
      </c>
      <c r="BQ175" s="12" t="s">
        <v>876</v>
      </c>
      <c r="BR175" s="12" t="s">
        <v>869</v>
      </c>
      <c r="BS175" s="12" t="s">
        <v>869</v>
      </c>
      <c r="BT175" s="12" t="s">
        <v>877</v>
      </c>
      <c r="BU175" s="12" t="s">
        <v>877</v>
      </c>
      <c r="BV175" s="12" t="s">
        <v>877</v>
      </c>
      <c r="BW175" s="12" t="s">
        <v>841</v>
      </c>
      <c r="BX175" s="12" t="s">
        <v>878</v>
      </c>
      <c r="BY175" s="12" t="s">
        <v>841</v>
      </c>
      <c r="BZ175" s="12" t="s">
        <v>841</v>
      </c>
      <c r="CA175" s="12" t="s">
        <v>841</v>
      </c>
      <c r="CB175" s="12" t="s">
        <v>841</v>
      </c>
      <c r="CC175" s="12" t="s">
        <v>5287</v>
      </c>
      <c r="CD175" s="12" t="s">
        <v>5288</v>
      </c>
      <c r="CE175" s="12" t="s">
        <v>5289</v>
      </c>
      <c r="CF175" s="12" t="s">
        <v>5290</v>
      </c>
      <c r="CG175" s="12" t="s">
        <v>5291</v>
      </c>
      <c r="CH175" s="12" t="s">
        <v>5292</v>
      </c>
      <c r="CI175" s="12" t="s">
        <v>5293</v>
      </c>
      <c r="CJ175" s="12" t="s">
        <v>5294</v>
      </c>
      <c r="CK175" s="12" t="s">
        <v>5295</v>
      </c>
      <c r="CL175" s="12" t="s">
        <v>1496</v>
      </c>
      <c r="CM175" s="12" t="s">
        <v>888</v>
      </c>
      <c r="CN175" s="12" t="s">
        <v>841</v>
      </c>
      <c r="CO175" s="12" t="s">
        <v>847</v>
      </c>
      <c r="CP175" s="12" t="s">
        <v>889</v>
      </c>
      <c r="CQ175" s="12" t="s">
        <v>890</v>
      </c>
      <c r="CR175" s="12" t="s">
        <v>847</v>
      </c>
      <c r="CS175" s="12" t="s">
        <v>891</v>
      </c>
      <c r="CT175" s="12" t="s">
        <v>892</v>
      </c>
      <c r="CU175" s="12" t="s">
        <v>893</v>
      </c>
      <c r="CV175" s="12" t="s">
        <v>841</v>
      </c>
      <c r="CW175" s="12" t="s">
        <v>5277</v>
      </c>
      <c r="CX175" s="12" t="s">
        <v>894</v>
      </c>
      <c r="CY175" s="12" t="s">
        <v>895</v>
      </c>
      <c r="CZ175" s="12" t="s">
        <v>896</v>
      </c>
      <c r="DA175" s="12" t="s">
        <v>897</v>
      </c>
      <c r="DB175" s="12" t="s">
        <v>898</v>
      </c>
      <c r="DC175" s="12" t="s">
        <v>899</v>
      </c>
    </row>
    <row r="176">
      <c r="A176" s="12" t="s">
        <v>2105</v>
      </c>
      <c r="B176" s="12" t="s">
        <v>535</v>
      </c>
      <c r="C176" s="12" t="s">
        <v>366</v>
      </c>
      <c r="D176" s="12" t="s">
        <v>833</v>
      </c>
      <c r="E176" s="12" t="s">
        <v>834</v>
      </c>
      <c r="F176" s="12"/>
      <c r="G176" s="12" t="s">
        <v>114</v>
      </c>
      <c r="H176" s="12" t="s">
        <v>533</v>
      </c>
      <c r="I176" s="12"/>
      <c r="J176" s="43">
        <f t="shared" si="1"/>
        <v>-0.005628784444</v>
      </c>
      <c r="K176" s="43">
        <f t="shared" si="2"/>
        <v>2.90981592</v>
      </c>
      <c r="L176" s="43">
        <f t="shared" si="3"/>
        <v>-0.005639693939</v>
      </c>
      <c r="M176" s="43">
        <f t="shared" si="4"/>
        <v>-0.2365558609</v>
      </c>
      <c r="N176" s="12" t="s">
        <v>5296</v>
      </c>
      <c r="O176" s="12" t="s">
        <v>5297</v>
      </c>
      <c r="P176" s="43">
        <f t="shared" si="5"/>
        <v>4.895300076</v>
      </c>
      <c r="Q176" s="43">
        <f t="shared" si="6"/>
        <v>3.994953076</v>
      </c>
      <c r="R176" s="12" t="s">
        <v>5298</v>
      </c>
      <c r="S176" s="12" t="s">
        <v>5299</v>
      </c>
      <c r="T176" s="43">
        <f t="shared" si="7"/>
        <v>49.88078333</v>
      </c>
      <c r="U176" s="43">
        <f t="shared" si="8"/>
        <v>0.4417875</v>
      </c>
      <c r="V176" s="12" t="s">
        <v>839</v>
      </c>
      <c r="W176" s="12" t="s">
        <v>5300</v>
      </c>
      <c r="X176" s="12" t="s">
        <v>841</v>
      </c>
      <c r="Y176" s="12" t="s">
        <v>841</v>
      </c>
      <c r="Z176" s="12" t="s">
        <v>841</v>
      </c>
      <c r="AA176" s="12" t="s">
        <v>5301</v>
      </c>
      <c r="AB176" s="12" t="s">
        <v>5302</v>
      </c>
      <c r="AC176" s="12" t="s">
        <v>5303</v>
      </c>
      <c r="AD176" s="12" t="s">
        <v>845</v>
      </c>
      <c r="AE176" s="12" t="s">
        <v>846</v>
      </c>
      <c r="AF176" s="43">
        <f t="shared" si="9"/>
        <v>16.4059952</v>
      </c>
      <c r="AG176" s="12" t="s">
        <v>847</v>
      </c>
      <c r="AH176" s="12" t="s">
        <v>5304</v>
      </c>
      <c r="AI176" s="12" t="s">
        <v>5305</v>
      </c>
      <c r="AJ176" s="12" t="s">
        <v>5306</v>
      </c>
      <c r="AK176" s="12" t="s">
        <v>5307</v>
      </c>
      <c r="AL176" s="43">
        <f t="shared" si="10"/>
        <v>32.44</v>
      </c>
      <c r="AM176" s="12" t="s">
        <v>1071</v>
      </c>
      <c r="AN176" s="12" t="s">
        <v>914</v>
      </c>
      <c r="AO176" s="12" t="s">
        <v>1044</v>
      </c>
      <c r="AP176" s="12" t="s">
        <v>5308</v>
      </c>
      <c r="AQ176" s="12" t="s">
        <v>4885</v>
      </c>
      <c r="AR176" s="12" t="s">
        <v>5239</v>
      </c>
      <c r="AS176" s="12" t="s">
        <v>5126</v>
      </c>
      <c r="AT176" s="12" t="s">
        <v>366</v>
      </c>
      <c r="AU176" s="12" t="s">
        <v>5127</v>
      </c>
      <c r="AV176" s="12" t="s">
        <v>832</v>
      </c>
      <c r="AW176" s="12" t="s">
        <v>919</v>
      </c>
      <c r="AX176" s="12" t="s">
        <v>868</v>
      </c>
      <c r="AY176" s="12" t="s">
        <v>868</v>
      </c>
      <c r="AZ176" s="12" t="s">
        <v>5309</v>
      </c>
      <c r="BA176" s="12" t="s">
        <v>868</v>
      </c>
      <c r="BB176" s="12" t="s">
        <v>868</v>
      </c>
      <c r="BC176" s="12" t="s">
        <v>866</v>
      </c>
      <c r="BD176" s="12" t="s">
        <v>867</v>
      </c>
      <c r="BE176" s="12" t="s">
        <v>868</v>
      </c>
      <c r="BF176" s="12" t="s">
        <v>869</v>
      </c>
      <c r="BG176" s="12" t="s">
        <v>870</v>
      </c>
      <c r="BH176" s="12" t="s">
        <v>841</v>
      </c>
      <c r="BI176" s="12" t="s">
        <v>871</v>
      </c>
      <c r="BJ176" s="12" t="s">
        <v>841</v>
      </c>
      <c r="BK176" s="12" t="s">
        <v>841</v>
      </c>
      <c r="BL176" s="12" t="s">
        <v>872</v>
      </c>
      <c r="BM176" s="12" t="s">
        <v>873</v>
      </c>
      <c r="BN176" s="12" t="s">
        <v>866</v>
      </c>
      <c r="BO176" s="12" t="s">
        <v>874</v>
      </c>
      <c r="BP176" s="12" t="s">
        <v>875</v>
      </c>
      <c r="BQ176" s="12" t="s">
        <v>876</v>
      </c>
      <c r="BR176" s="12" t="s">
        <v>869</v>
      </c>
      <c r="BS176" s="12" t="s">
        <v>869</v>
      </c>
      <c r="BT176" s="12" t="s">
        <v>877</v>
      </c>
      <c r="BU176" s="12" t="s">
        <v>877</v>
      </c>
      <c r="BV176" s="12" t="s">
        <v>877</v>
      </c>
      <c r="BW176" s="12" t="s">
        <v>841</v>
      </c>
      <c r="BX176" s="12" t="s">
        <v>878</v>
      </c>
      <c r="BY176" s="12" t="s">
        <v>841</v>
      </c>
      <c r="BZ176" s="12" t="s">
        <v>841</v>
      </c>
      <c r="CA176" s="12" t="s">
        <v>841</v>
      </c>
      <c r="CB176" s="12" t="s">
        <v>841</v>
      </c>
      <c r="CC176" s="12" t="s">
        <v>5310</v>
      </c>
      <c r="CD176" s="12" t="s">
        <v>5311</v>
      </c>
      <c r="CE176" s="12" t="s">
        <v>5312</v>
      </c>
      <c r="CF176" s="12" t="s">
        <v>5313</v>
      </c>
      <c r="CG176" s="12" t="s">
        <v>5314</v>
      </c>
      <c r="CH176" s="12" t="s">
        <v>5315</v>
      </c>
      <c r="CI176" s="12" t="s">
        <v>5316</v>
      </c>
      <c r="CJ176" s="12" t="s">
        <v>5317</v>
      </c>
      <c r="CK176" s="12" t="s">
        <v>5301</v>
      </c>
      <c r="CL176" s="12" t="s">
        <v>933</v>
      </c>
      <c r="CM176" s="12" t="s">
        <v>888</v>
      </c>
      <c r="CN176" s="12" t="s">
        <v>841</v>
      </c>
      <c r="CO176" s="12" t="s">
        <v>847</v>
      </c>
      <c r="CP176" s="12" t="s">
        <v>889</v>
      </c>
      <c r="CQ176" s="12" t="s">
        <v>890</v>
      </c>
      <c r="CR176" s="12" t="s">
        <v>847</v>
      </c>
      <c r="CS176" s="12" t="s">
        <v>891</v>
      </c>
      <c r="CT176" s="12" t="s">
        <v>892</v>
      </c>
      <c r="CU176" s="12" t="s">
        <v>893</v>
      </c>
      <c r="CV176" s="12" t="s">
        <v>841</v>
      </c>
      <c r="CW176" s="12" t="s">
        <v>5300</v>
      </c>
      <c r="CX176" s="12" t="s">
        <v>894</v>
      </c>
      <c r="CY176" s="12" t="s">
        <v>895</v>
      </c>
      <c r="CZ176" s="12" t="s">
        <v>896</v>
      </c>
      <c r="DA176" s="12" t="s">
        <v>897</v>
      </c>
      <c r="DB176" s="12" t="s">
        <v>898</v>
      </c>
      <c r="DC176" s="12" t="s">
        <v>899</v>
      </c>
    </row>
    <row r="177">
      <c r="A177" s="12" t="s">
        <v>2129</v>
      </c>
      <c r="B177" s="12" t="s">
        <v>536</v>
      </c>
      <c r="C177" s="12" t="s">
        <v>366</v>
      </c>
      <c r="D177" s="12" t="s">
        <v>833</v>
      </c>
      <c r="E177" s="12" t="s">
        <v>834</v>
      </c>
      <c r="F177" s="12"/>
      <c r="G177" s="12" t="s">
        <v>114</v>
      </c>
      <c r="H177" s="12" t="s">
        <v>533</v>
      </c>
      <c r="I177" s="12"/>
      <c r="J177" s="43">
        <f t="shared" si="1"/>
        <v>0.002506502056</v>
      </c>
      <c r="K177" s="43">
        <f t="shared" si="2"/>
        <v>2.90822672</v>
      </c>
      <c r="L177" s="43">
        <f t="shared" si="3"/>
        <v>0.002504343647</v>
      </c>
      <c r="M177" s="43">
        <f t="shared" si="4"/>
        <v>0.101357527</v>
      </c>
      <c r="N177" s="12" t="s">
        <v>5318</v>
      </c>
      <c r="O177" s="12" t="s">
        <v>5319</v>
      </c>
      <c r="P177" s="43">
        <f t="shared" si="5"/>
        <v>4.745433707</v>
      </c>
      <c r="Q177" s="43">
        <f t="shared" si="6"/>
        <v>3.858454707</v>
      </c>
      <c r="R177" s="12" t="s">
        <v>5320</v>
      </c>
      <c r="S177" s="12" t="s">
        <v>5321</v>
      </c>
      <c r="T177" s="43">
        <f t="shared" si="7"/>
        <v>48.34878968</v>
      </c>
      <c r="U177" s="43">
        <f t="shared" si="8"/>
        <v>0.4417875</v>
      </c>
      <c r="V177" s="12" t="s">
        <v>839</v>
      </c>
      <c r="W177" s="12" t="s">
        <v>5322</v>
      </c>
      <c r="X177" s="12" t="s">
        <v>841</v>
      </c>
      <c r="Y177" s="12" t="s">
        <v>841</v>
      </c>
      <c r="Z177" s="12" t="s">
        <v>841</v>
      </c>
      <c r="AA177" s="12" t="s">
        <v>5323</v>
      </c>
      <c r="AB177" s="12" t="s">
        <v>5324</v>
      </c>
      <c r="AC177" s="12" t="s">
        <v>5325</v>
      </c>
      <c r="AD177" s="12" t="s">
        <v>845</v>
      </c>
      <c r="AE177" s="12" t="s">
        <v>846</v>
      </c>
      <c r="AF177" s="43">
        <f t="shared" si="9"/>
        <v>17.0485248</v>
      </c>
      <c r="AG177" s="12" t="s">
        <v>847</v>
      </c>
      <c r="AH177" s="12" t="s">
        <v>5326</v>
      </c>
      <c r="AI177" s="12" t="s">
        <v>5327</v>
      </c>
      <c r="AJ177" s="12" t="s">
        <v>5328</v>
      </c>
      <c r="AK177" s="12" t="s">
        <v>5329</v>
      </c>
      <c r="AL177" s="43">
        <f t="shared" si="10"/>
        <v>31.89</v>
      </c>
      <c r="AM177" s="12" t="s">
        <v>2410</v>
      </c>
      <c r="AN177" s="12" t="s">
        <v>853</v>
      </c>
      <c r="AO177" s="12" t="s">
        <v>5330</v>
      </c>
      <c r="AP177" s="12" t="s">
        <v>3776</v>
      </c>
      <c r="AQ177" s="12" t="s">
        <v>5331</v>
      </c>
      <c r="AR177" s="12" t="s">
        <v>5239</v>
      </c>
      <c r="AS177" s="12" t="s">
        <v>5126</v>
      </c>
      <c r="AT177" s="12" t="s">
        <v>366</v>
      </c>
      <c r="AU177" s="12" t="s">
        <v>5127</v>
      </c>
      <c r="AV177" s="12" t="s">
        <v>832</v>
      </c>
      <c r="AW177" s="12" t="s">
        <v>860</v>
      </c>
      <c r="AX177" s="12" t="s">
        <v>868</v>
      </c>
      <c r="AY177" s="12" t="s">
        <v>868</v>
      </c>
      <c r="AZ177" s="12" t="s">
        <v>5332</v>
      </c>
      <c r="BA177" s="12" t="s">
        <v>868</v>
      </c>
      <c r="BB177" s="12" t="s">
        <v>868</v>
      </c>
      <c r="BC177" s="12" t="s">
        <v>866</v>
      </c>
      <c r="BD177" s="12" t="s">
        <v>867</v>
      </c>
      <c r="BE177" s="12" t="s">
        <v>868</v>
      </c>
      <c r="BF177" s="12" t="s">
        <v>869</v>
      </c>
      <c r="BG177" s="12" t="s">
        <v>870</v>
      </c>
      <c r="BH177" s="12" t="s">
        <v>841</v>
      </c>
      <c r="BI177" s="12" t="s">
        <v>871</v>
      </c>
      <c r="BJ177" s="12" t="s">
        <v>841</v>
      </c>
      <c r="BK177" s="12" t="s">
        <v>841</v>
      </c>
      <c r="BL177" s="12" t="s">
        <v>872</v>
      </c>
      <c r="BM177" s="12" t="s">
        <v>873</v>
      </c>
      <c r="BN177" s="12" t="s">
        <v>866</v>
      </c>
      <c r="BO177" s="12" t="s">
        <v>874</v>
      </c>
      <c r="BP177" s="12" t="s">
        <v>875</v>
      </c>
      <c r="BQ177" s="12" t="s">
        <v>876</v>
      </c>
      <c r="BR177" s="12" t="s">
        <v>869</v>
      </c>
      <c r="BS177" s="12" t="s">
        <v>869</v>
      </c>
      <c r="BT177" s="12" t="s">
        <v>877</v>
      </c>
      <c r="BU177" s="12" t="s">
        <v>877</v>
      </c>
      <c r="BV177" s="12" t="s">
        <v>877</v>
      </c>
      <c r="BW177" s="12" t="s">
        <v>841</v>
      </c>
      <c r="BX177" s="12" t="s">
        <v>878</v>
      </c>
      <c r="BY177" s="12" t="s">
        <v>841</v>
      </c>
      <c r="BZ177" s="12" t="s">
        <v>841</v>
      </c>
      <c r="CA177" s="12" t="s">
        <v>841</v>
      </c>
      <c r="CB177" s="12" t="s">
        <v>841</v>
      </c>
      <c r="CC177" s="12" t="s">
        <v>5333</v>
      </c>
      <c r="CD177" s="12" t="s">
        <v>5334</v>
      </c>
      <c r="CE177" s="12" t="s">
        <v>5335</v>
      </c>
      <c r="CF177" s="12" t="s">
        <v>5336</v>
      </c>
      <c r="CG177" s="12" t="s">
        <v>5337</v>
      </c>
      <c r="CH177" s="12" t="s">
        <v>5338</v>
      </c>
      <c r="CI177" s="12" t="s">
        <v>5339</v>
      </c>
      <c r="CJ177" s="12" t="s">
        <v>5340</v>
      </c>
      <c r="CK177" s="12" t="s">
        <v>5323</v>
      </c>
      <c r="CL177" s="12" t="s">
        <v>1028</v>
      </c>
      <c r="CM177" s="12" t="s">
        <v>888</v>
      </c>
      <c r="CN177" s="12" t="s">
        <v>841</v>
      </c>
      <c r="CO177" s="12" t="s">
        <v>847</v>
      </c>
      <c r="CP177" s="12" t="s">
        <v>889</v>
      </c>
      <c r="CQ177" s="12" t="s">
        <v>890</v>
      </c>
      <c r="CR177" s="12" t="s">
        <v>847</v>
      </c>
      <c r="CS177" s="12" t="s">
        <v>891</v>
      </c>
      <c r="CT177" s="12" t="s">
        <v>892</v>
      </c>
      <c r="CU177" s="12" t="s">
        <v>893</v>
      </c>
      <c r="CV177" s="12" t="s">
        <v>841</v>
      </c>
      <c r="CW177" s="12" t="s">
        <v>5322</v>
      </c>
      <c r="CX177" s="12" t="s">
        <v>894</v>
      </c>
      <c r="CY177" s="12" t="s">
        <v>895</v>
      </c>
      <c r="CZ177" s="12" t="s">
        <v>896</v>
      </c>
      <c r="DA177" s="12" t="s">
        <v>897</v>
      </c>
      <c r="DB177" s="12" t="s">
        <v>898</v>
      </c>
      <c r="DC177" s="12" t="s">
        <v>899</v>
      </c>
    </row>
    <row r="178">
      <c r="A178" s="12" t="s">
        <v>2065</v>
      </c>
      <c r="B178" s="12" t="s">
        <v>538</v>
      </c>
      <c r="C178" s="12" t="s">
        <v>366</v>
      </c>
      <c r="D178" s="12" t="s">
        <v>833</v>
      </c>
      <c r="E178" s="12" t="s">
        <v>834</v>
      </c>
      <c r="F178" s="12"/>
      <c r="G178" s="12" t="s">
        <v>114</v>
      </c>
      <c r="H178" s="12" t="s">
        <v>533</v>
      </c>
      <c r="I178" s="12"/>
      <c r="J178" s="43">
        <f t="shared" si="1"/>
        <v>-0.004793424302</v>
      </c>
      <c r="K178" s="43">
        <f t="shared" si="2"/>
        <v>2.909022</v>
      </c>
      <c r="L178" s="43">
        <f t="shared" si="3"/>
        <v>-0.004801335841</v>
      </c>
      <c r="M178" s="43">
        <f t="shared" si="4"/>
        <v>-0.1981898774</v>
      </c>
      <c r="N178" s="12" t="s">
        <v>5341</v>
      </c>
      <c r="O178" s="12" t="s">
        <v>5342</v>
      </c>
      <c r="P178" s="43">
        <f t="shared" si="5"/>
        <v>4.810331379</v>
      </c>
      <c r="Q178" s="43">
        <f t="shared" si="6"/>
        <v>3.934086379</v>
      </c>
      <c r="R178" s="12" t="s">
        <v>5343</v>
      </c>
      <c r="S178" s="12" t="s">
        <v>5344</v>
      </c>
      <c r="T178" s="43">
        <f t="shared" si="7"/>
        <v>49.00999877</v>
      </c>
      <c r="U178" s="43">
        <f t="shared" si="8"/>
        <v>0.4417875</v>
      </c>
      <c r="V178" s="12" t="s">
        <v>839</v>
      </c>
      <c r="W178" s="12" t="s">
        <v>5345</v>
      </c>
      <c r="X178" s="12" t="s">
        <v>841</v>
      </c>
      <c r="Y178" s="12" t="s">
        <v>841</v>
      </c>
      <c r="Z178" s="12" t="s">
        <v>841</v>
      </c>
      <c r="AA178" s="12" t="s">
        <v>5346</v>
      </c>
      <c r="AB178" s="12" t="s">
        <v>5347</v>
      </c>
      <c r="AC178" s="12" t="s">
        <v>5348</v>
      </c>
      <c r="AD178" s="12" t="s">
        <v>845</v>
      </c>
      <c r="AE178" s="12" t="s">
        <v>846</v>
      </c>
      <c r="AF178" s="43">
        <f t="shared" si="9"/>
        <v>4.0503624</v>
      </c>
      <c r="AG178" s="12" t="s">
        <v>847</v>
      </c>
      <c r="AH178" s="12" t="s">
        <v>5349</v>
      </c>
      <c r="AI178" s="12" t="s">
        <v>5350</v>
      </c>
      <c r="AJ178" s="12" t="s">
        <v>5351</v>
      </c>
      <c r="AK178" s="12" t="s">
        <v>5352</v>
      </c>
      <c r="AL178" s="43">
        <f t="shared" si="10"/>
        <v>32.13</v>
      </c>
      <c r="AM178" s="12" t="s">
        <v>2410</v>
      </c>
      <c r="AN178" s="12" t="s">
        <v>1072</v>
      </c>
      <c r="AO178" s="12" t="s">
        <v>5353</v>
      </c>
      <c r="AP178" s="12" t="s">
        <v>5354</v>
      </c>
      <c r="AQ178" s="12" t="s">
        <v>1636</v>
      </c>
      <c r="AR178" s="12" t="s">
        <v>5355</v>
      </c>
      <c r="AS178" s="12" t="s">
        <v>5126</v>
      </c>
      <c r="AT178" s="12" t="s">
        <v>366</v>
      </c>
      <c r="AU178" s="12" t="s">
        <v>5127</v>
      </c>
      <c r="AV178" s="12" t="s">
        <v>832</v>
      </c>
      <c r="AW178" s="12" t="s">
        <v>1164</v>
      </c>
      <c r="AX178" s="12" t="s">
        <v>868</v>
      </c>
      <c r="AY178" s="12" t="s">
        <v>868</v>
      </c>
      <c r="AZ178" s="12" t="s">
        <v>5356</v>
      </c>
      <c r="BA178" s="12" t="s">
        <v>868</v>
      </c>
      <c r="BB178" s="12" t="s">
        <v>868</v>
      </c>
      <c r="BC178" s="12" t="s">
        <v>866</v>
      </c>
      <c r="BD178" s="12" t="s">
        <v>867</v>
      </c>
      <c r="BE178" s="12" t="s">
        <v>868</v>
      </c>
      <c r="BF178" s="12" t="s">
        <v>869</v>
      </c>
      <c r="BG178" s="12" t="s">
        <v>870</v>
      </c>
      <c r="BH178" s="12" t="s">
        <v>841</v>
      </c>
      <c r="BI178" s="12" t="s">
        <v>871</v>
      </c>
      <c r="BJ178" s="12" t="s">
        <v>841</v>
      </c>
      <c r="BK178" s="12" t="s">
        <v>841</v>
      </c>
      <c r="BL178" s="12" t="s">
        <v>872</v>
      </c>
      <c r="BM178" s="12" t="s">
        <v>873</v>
      </c>
      <c r="BN178" s="12" t="s">
        <v>866</v>
      </c>
      <c r="BO178" s="12" t="s">
        <v>874</v>
      </c>
      <c r="BP178" s="12" t="s">
        <v>875</v>
      </c>
      <c r="BQ178" s="12" t="s">
        <v>876</v>
      </c>
      <c r="BR178" s="12" t="s">
        <v>869</v>
      </c>
      <c r="BS178" s="12" t="s">
        <v>869</v>
      </c>
      <c r="BT178" s="12" t="s">
        <v>877</v>
      </c>
      <c r="BU178" s="12" t="s">
        <v>877</v>
      </c>
      <c r="BV178" s="12" t="s">
        <v>877</v>
      </c>
      <c r="BW178" s="12" t="s">
        <v>841</v>
      </c>
      <c r="BX178" s="12" t="s">
        <v>878</v>
      </c>
      <c r="BY178" s="12" t="s">
        <v>841</v>
      </c>
      <c r="BZ178" s="12" t="s">
        <v>841</v>
      </c>
      <c r="CA178" s="12" t="s">
        <v>841</v>
      </c>
      <c r="CB178" s="12" t="s">
        <v>841</v>
      </c>
      <c r="CC178" s="12" t="s">
        <v>5357</v>
      </c>
      <c r="CD178" s="12" t="s">
        <v>5358</v>
      </c>
      <c r="CE178" s="12" t="s">
        <v>5359</v>
      </c>
      <c r="CF178" s="12" t="s">
        <v>5360</v>
      </c>
      <c r="CG178" s="12" t="s">
        <v>5361</v>
      </c>
      <c r="CH178" s="12" t="s">
        <v>5362</v>
      </c>
      <c r="CI178" s="12" t="s">
        <v>5363</v>
      </c>
      <c r="CJ178" s="12" t="s">
        <v>5364</v>
      </c>
      <c r="CK178" s="12" t="s">
        <v>5346</v>
      </c>
      <c r="CL178" s="12" t="s">
        <v>1093</v>
      </c>
      <c r="CM178" s="12" t="s">
        <v>888</v>
      </c>
      <c r="CN178" s="12" t="s">
        <v>841</v>
      </c>
      <c r="CO178" s="12" t="s">
        <v>847</v>
      </c>
      <c r="CP178" s="12" t="s">
        <v>889</v>
      </c>
      <c r="CQ178" s="12" t="s">
        <v>890</v>
      </c>
      <c r="CR178" s="12" t="s">
        <v>847</v>
      </c>
      <c r="CS178" s="12" t="s">
        <v>891</v>
      </c>
      <c r="CT178" s="12" t="s">
        <v>892</v>
      </c>
      <c r="CU178" s="12" t="s">
        <v>893</v>
      </c>
      <c r="CV178" s="12" t="s">
        <v>841</v>
      </c>
      <c r="CW178" s="12" t="s">
        <v>5345</v>
      </c>
      <c r="CX178" s="12" t="s">
        <v>894</v>
      </c>
      <c r="CY178" s="12" t="s">
        <v>895</v>
      </c>
      <c r="CZ178" s="12" t="s">
        <v>896</v>
      </c>
      <c r="DA178" s="12" t="s">
        <v>897</v>
      </c>
      <c r="DB178" s="12" t="s">
        <v>898</v>
      </c>
      <c r="DC178" s="12" t="s">
        <v>899</v>
      </c>
    </row>
    <row r="179">
      <c r="A179" s="12" t="s">
        <v>1860</v>
      </c>
      <c r="B179" s="12" t="s">
        <v>539</v>
      </c>
      <c r="C179" s="12" t="s">
        <v>366</v>
      </c>
      <c r="D179" s="12" t="s">
        <v>833</v>
      </c>
      <c r="E179" s="12" t="s">
        <v>834</v>
      </c>
      <c r="F179" s="12"/>
      <c r="G179" s="12" t="s">
        <v>114</v>
      </c>
      <c r="H179" s="12" t="s">
        <v>505</v>
      </c>
      <c r="I179" s="12"/>
      <c r="J179" s="43">
        <f t="shared" si="1"/>
        <v>0.000561453479</v>
      </c>
      <c r="K179" s="43">
        <f t="shared" si="2"/>
        <v>2.90981592</v>
      </c>
      <c r="L179" s="43">
        <f t="shared" si="3"/>
        <v>0.0005613451666</v>
      </c>
      <c r="M179" s="43">
        <f t="shared" si="4"/>
        <v>0.01928430699</v>
      </c>
      <c r="N179" s="12" t="s">
        <v>5365</v>
      </c>
      <c r="O179" s="12" t="s">
        <v>5366</v>
      </c>
      <c r="P179" s="43">
        <f t="shared" si="5"/>
        <v>4.209328576</v>
      </c>
      <c r="Q179" s="43">
        <f t="shared" si="6"/>
        <v>3.283226576</v>
      </c>
      <c r="R179" s="12" t="s">
        <v>5367</v>
      </c>
      <c r="S179" s="12" t="s">
        <v>5368</v>
      </c>
      <c r="T179" s="43">
        <f t="shared" si="7"/>
        <v>42.89105946</v>
      </c>
      <c r="U179" s="43">
        <f t="shared" si="8"/>
        <v>0.4417875</v>
      </c>
      <c r="V179" s="12" t="s">
        <v>839</v>
      </c>
      <c r="W179" s="12" t="s">
        <v>5369</v>
      </c>
      <c r="X179" s="12" t="s">
        <v>841</v>
      </c>
      <c r="Y179" s="12" t="s">
        <v>841</v>
      </c>
      <c r="Z179" s="12" t="s">
        <v>841</v>
      </c>
      <c r="AA179" s="12" t="s">
        <v>5370</v>
      </c>
      <c r="AB179" s="12" t="s">
        <v>5371</v>
      </c>
      <c r="AC179" s="12" t="s">
        <v>5372</v>
      </c>
      <c r="AD179" s="12" t="s">
        <v>845</v>
      </c>
      <c r="AE179" s="12" t="s">
        <v>846</v>
      </c>
      <c r="AF179" s="43">
        <f t="shared" si="9"/>
        <v>38.7250248</v>
      </c>
      <c r="AG179" s="12" t="s">
        <v>847</v>
      </c>
      <c r="AH179" s="12" t="s">
        <v>5373</v>
      </c>
      <c r="AI179" s="12" t="s">
        <v>5374</v>
      </c>
      <c r="AJ179" s="12" t="s">
        <v>5375</v>
      </c>
      <c r="AK179" s="12" t="s">
        <v>5376</v>
      </c>
      <c r="AL179" s="43">
        <f t="shared" si="10"/>
        <v>29.79</v>
      </c>
      <c r="AM179" s="12" t="s">
        <v>1071</v>
      </c>
      <c r="AN179" s="12" t="s">
        <v>914</v>
      </c>
      <c r="AO179" s="12" t="s">
        <v>5377</v>
      </c>
      <c r="AP179" s="12" t="s">
        <v>5378</v>
      </c>
      <c r="AQ179" s="12" t="s">
        <v>559</v>
      </c>
      <c r="AR179" s="12" t="s">
        <v>5355</v>
      </c>
      <c r="AS179" s="12" t="s">
        <v>5126</v>
      </c>
      <c r="AT179" s="12" t="s">
        <v>366</v>
      </c>
      <c r="AU179" s="12" t="s">
        <v>5127</v>
      </c>
      <c r="AV179" s="12" t="s">
        <v>832</v>
      </c>
      <c r="AW179" s="12" t="s">
        <v>1164</v>
      </c>
      <c r="AX179" s="12" t="s">
        <v>868</v>
      </c>
      <c r="AY179" s="12" t="s">
        <v>868</v>
      </c>
      <c r="AZ179" s="12" t="s">
        <v>5379</v>
      </c>
      <c r="BA179" s="12" t="s">
        <v>868</v>
      </c>
      <c r="BB179" s="12" t="s">
        <v>868</v>
      </c>
      <c r="BC179" s="12" t="s">
        <v>866</v>
      </c>
      <c r="BD179" s="12" t="s">
        <v>867</v>
      </c>
      <c r="BE179" s="12" t="s">
        <v>868</v>
      </c>
      <c r="BF179" s="12" t="s">
        <v>869</v>
      </c>
      <c r="BG179" s="12" t="s">
        <v>870</v>
      </c>
      <c r="BH179" s="12" t="s">
        <v>841</v>
      </c>
      <c r="BI179" s="12" t="s">
        <v>871</v>
      </c>
      <c r="BJ179" s="12" t="s">
        <v>841</v>
      </c>
      <c r="BK179" s="12" t="s">
        <v>841</v>
      </c>
      <c r="BL179" s="12" t="s">
        <v>872</v>
      </c>
      <c r="BM179" s="12" t="s">
        <v>873</v>
      </c>
      <c r="BN179" s="12" t="s">
        <v>866</v>
      </c>
      <c r="BO179" s="12" t="s">
        <v>874</v>
      </c>
      <c r="BP179" s="12" t="s">
        <v>875</v>
      </c>
      <c r="BQ179" s="12" t="s">
        <v>876</v>
      </c>
      <c r="BR179" s="12" t="s">
        <v>869</v>
      </c>
      <c r="BS179" s="12" t="s">
        <v>869</v>
      </c>
      <c r="BT179" s="12" t="s">
        <v>877</v>
      </c>
      <c r="BU179" s="12" t="s">
        <v>877</v>
      </c>
      <c r="BV179" s="12" t="s">
        <v>877</v>
      </c>
      <c r="BW179" s="12" t="s">
        <v>841</v>
      </c>
      <c r="BX179" s="12" t="s">
        <v>878</v>
      </c>
      <c r="BY179" s="12" t="s">
        <v>841</v>
      </c>
      <c r="BZ179" s="12" t="s">
        <v>841</v>
      </c>
      <c r="CA179" s="12" t="s">
        <v>841</v>
      </c>
      <c r="CB179" s="12" t="s">
        <v>841</v>
      </c>
      <c r="CC179" s="12" t="s">
        <v>5380</v>
      </c>
      <c r="CD179" s="12" t="s">
        <v>5381</v>
      </c>
      <c r="CE179" s="12" t="s">
        <v>5382</v>
      </c>
      <c r="CF179" s="12" t="s">
        <v>5383</v>
      </c>
      <c r="CG179" s="12" t="s">
        <v>5384</v>
      </c>
      <c r="CH179" s="12" t="s">
        <v>5385</v>
      </c>
      <c r="CI179" s="12" t="s">
        <v>5386</v>
      </c>
      <c r="CJ179" s="12" t="s">
        <v>5387</v>
      </c>
      <c r="CK179" s="12" t="s">
        <v>5370</v>
      </c>
      <c r="CL179" s="12" t="s">
        <v>933</v>
      </c>
      <c r="CM179" s="12" t="s">
        <v>888</v>
      </c>
      <c r="CN179" s="12" t="s">
        <v>841</v>
      </c>
      <c r="CO179" s="12" t="s">
        <v>847</v>
      </c>
      <c r="CP179" s="12" t="s">
        <v>889</v>
      </c>
      <c r="CQ179" s="12" t="s">
        <v>890</v>
      </c>
      <c r="CR179" s="12" t="s">
        <v>847</v>
      </c>
      <c r="CS179" s="12" t="s">
        <v>891</v>
      </c>
      <c r="CT179" s="12" t="s">
        <v>892</v>
      </c>
      <c r="CU179" s="12" t="s">
        <v>893</v>
      </c>
      <c r="CV179" s="12" t="s">
        <v>841</v>
      </c>
      <c r="CW179" s="12" t="s">
        <v>5369</v>
      </c>
      <c r="CX179" s="12" t="s">
        <v>894</v>
      </c>
      <c r="CY179" s="12" t="s">
        <v>895</v>
      </c>
      <c r="CZ179" s="12" t="s">
        <v>896</v>
      </c>
      <c r="DA179" s="12" t="s">
        <v>897</v>
      </c>
      <c r="DB179" s="12" t="s">
        <v>898</v>
      </c>
      <c r="DC179" s="12" t="s">
        <v>899</v>
      </c>
    </row>
    <row r="180">
      <c r="A180" s="12" t="s">
        <v>1810</v>
      </c>
      <c r="B180" s="12" t="s">
        <v>541</v>
      </c>
      <c r="C180" s="12" t="s">
        <v>366</v>
      </c>
      <c r="D180" s="12" t="s">
        <v>833</v>
      </c>
      <c r="E180" s="12" t="s">
        <v>834</v>
      </c>
      <c r="F180" s="12"/>
      <c r="G180" s="12" t="s">
        <v>114</v>
      </c>
      <c r="H180" s="12" t="s">
        <v>505</v>
      </c>
      <c r="I180" s="12"/>
      <c r="J180" s="43">
        <f t="shared" si="1"/>
        <v>0.01236428016</v>
      </c>
      <c r="K180" s="43">
        <f t="shared" si="2"/>
        <v>2.90981592</v>
      </c>
      <c r="L180" s="43">
        <f t="shared" si="3"/>
        <v>0.01231196462</v>
      </c>
      <c r="M180" s="43">
        <f t="shared" si="4"/>
        <v>0.4767521814</v>
      </c>
      <c r="N180" s="12" t="s">
        <v>5388</v>
      </c>
      <c r="O180" s="12" t="s">
        <v>5389</v>
      </c>
      <c r="P180" s="43">
        <f t="shared" si="5"/>
        <v>4.599577656</v>
      </c>
      <c r="Q180" s="43">
        <f t="shared" si="6"/>
        <v>3.693625656</v>
      </c>
      <c r="R180" s="12" t="s">
        <v>5390</v>
      </c>
      <c r="S180" s="12" t="s">
        <v>5391</v>
      </c>
      <c r="T180" s="43">
        <f t="shared" si="7"/>
        <v>46.86751229</v>
      </c>
      <c r="U180" s="43">
        <f t="shared" si="8"/>
        <v>0.4417875</v>
      </c>
      <c r="V180" s="12" t="s">
        <v>839</v>
      </c>
      <c r="W180" s="12" t="s">
        <v>5392</v>
      </c>
      <c r="X180" s="12" t="s">
        <v>841</v>
      </c>
      <c r="Y180" s="12" t="s">
        <v>841</v>
      </c>
      <c r="Z180" s="12" t="s">
        <v>841</v>
      </c>
      <c r="AA180" s="12" t="s">
        <v>5393</v>
      </c>
      <c r="AB180" s="12" t="s">
        <v>5394</v>
      </c>
      <c r="AC180" s="12" t="s">
        <v>5395</v>
      </c>
      <c r="AD180" s="12" t="s">
        <v>845</v>
      </c>
      <c r="AE180" s="12" t="s">
        <v>846</v>
      </c>
      <c r="AF180" s="43">
        <f t="shared" si="9"/>
        <v>5.3397032</v>
      </c>
      <c r="AG180" s="12" t="s">
        <v>847</v>
      </c>
      <c r="AH180" s="12" t="s">
        <v>5396</v>
      </c>
      <c r="AI180" s="12" t="s">
        <v>5397</v>
      </c>
      <c r="AJ180" s="12" t="s">
        <v>5398</v>
      </c>
      <c r="AK180" s="12" t="s">
        <v>5399</v>
      </c>
      <c r="AL180" s="43">
        <f t="shared" si="10"/>
        <v>31.34</v>
      </c>
      <c r="AM180" s="12" t="s">
        <v>1071</v>
      </c>
      <c r="AN180" s="12" t="s">
        <v>914</v>
      </c>
      <c r="AO180" s="12" t="s">
        <v>5400</v>
      </c>
      <c r="AP180" s="12" t="s">
        <v>5401</v>
      </c>
      <c r="AQ180" s="12" t="s">
        <v>1782</v>
      </c>
      <c r="AR180" s="12" t="s">
        <v>5355</v>
      </c>
      <c r="AS180" s="12" t="s">
        <v>5126</v>
      </c>
      <c r="AT180" s="12" t="s">
        <v>366</v>
      </c>
      <c r="AU180" s="12" t="s">
        <v>5127</v>
      </c>
      <c r="AV180" s="12" t="s">
        <v>832</v>
      </c>
      <c r="AW180" s="12" t="s">
        <v>1164</v>
      </c>
      <c r="AX180" s="12" t="s">
        <v>868</v>
      </c>
      <c r="AY180" s="12" t="s">
        <v>868</v>
      </c>
      <c r="AZ180" s="12" t="s">
        <v>5402</v>
      </c>
      <c r="BA180" s="12" t="s">
        <v>868</v>
      </c>
      <c r="BB180" s="12" t="s">
        <v>868</v>
      </c>
      <c r="BC180" s="12" t="s">
        <v>866</v>
      </c>
      <c r="BD180" s="12" t="s">
        <v>867</v>
      </c>
      <c r="BE180" s="12" t="s">
        <v>868</v>
      </c>
      <c r="BF180" s="12" t="s">
        <v>869</v>
      </c>
      <c r="BG180" s="12" t="s">
        <v>870</v>
      </c>
      <c r="BH180" s="12" t="s">
        <v>841</v>
      </c>
      <c r="BI180" s="12" t="s">
        <v>871</v>
      </c>
      <c r="BJ180" s="12" t="s">
        <v>841</v>
      </c>
      <c r="BK180" s="12" t="s">
        <v>841</v>
      </c>
      <c r="BL180" s="12" t="s">
        <v>872</v>
      </c>
      <c r="BM180" s="12" t="s">
        <v>873</v>
      </c>
      <c r="BN180" s="12" t="s">
        <v>866</v>
      </c>
      <c r="BO180" s="12" t="s">
        <v>874</v>
      </c>
      <c r="BP180" s="12" t="s">
        <v>875</v>
      </c>
      <c r="BQ180" s="12" t="s">
        <v>876</v>
      </c>
      <c r="BR180" s="12" t="s">
        <v>869</v>
      </c>
      <c r="BS180" s="12" t="s">
        <v>869</v>
      </c>
      <c r="BT180" s="12" t="s">
        <v>877</v>
      </c>
      <c r="BU180" s="12" t="s">
        <v>877</v>
      </c>
      <c r="BV180" s="12" t="s">
        <v>877</v>
      </c>
      <c r="BW180" s="12" t="s">
        <v>841</v>
      </c>
      <c r="BX180" s="12" t="s">
        <v>878</v>
      </c>
      <c r="BY180" s="12" t="s">
        <v>841</v>
      </c>
      <c r="BZ180" s="12" t="s">
        <v>841</v>
      </c>
      <c r="CA180" s="12" t="s">
        <v>841</v>
      </c>
      <c r="CB180" s="12" t="s">
        <v>841</v>
      </c>
      <c r="CC180" s="12" t="s">
        <v>5403</v>
      </c>
      <c r="CD180" s="12" t="s">
        <v>5404</v>
      </c>
      <c r="CE180" s="12" t="s">
        <v>5405</v>
      </c>
      <c r="CF180" s="12" t="s">
        <v>5406</v>
      </c>
      <c r="CG180" s="12" t="s">
        <v>5407</v>
      </c>
      <c r="CH180" s="12" t="s">
        <v>5408</v>
      </c>
      <c r="CI180" s="12" t="s">
        <v>5409</v>
      </c>
      <c r="CJ180" s="12" t="s">
        <v>5410</v>
      </c>
      <c r="CK180" s="12" t="s">
        <v>5393</v>
      </c>
      <c r="CL180" s="12" t="s">
        <v>2231</v>
      </c>
      <c r="CM180" s="12" t="s">
        <v>888</v>
      </c>
      <c r="CN180" s="12" t="s">
        <v>841</v>
      </c>
      <c r="CO180" s="12" t="s">
        <v>847</v>
      </c>
      <c r="CP180" s="12" t="s">
        <v>889</v>
      </c>
      <c r="CQ180" s="12" t="s">
        <v>890</v>
      </c>
      <c r="CR180" s="12" t="s">
        <v>847</v>
      </c>
      <c r="CS180" s="12" t="s">
        <v>891</v>
      </c>
      <c r="CT180" s="12" t="s">
        <v>892</v>
      </c>
      <c r="CU180" s="12" t="s">
        <v>893</v>
      </c>
      <c r="CV180" s="12" t="s">
        <v>841</v>
      </c>
      <c r="CW180" s="12" t="s">
        <v>5392</v>
      </c>
      <c r="CX180" s="12" t="s">
        <v>894</v>
      </c>
      <c r="CY180" s="12" t="s">
        <v>895</v>
      </c>
      <c r="CZ180" s="12" t="s">
        <v>896</v>
      </c>
      <c r="DA180" s="12" t="s">
        <v>897</v>
      </c>
      <c r="DB180" s="12" t="s">
        <v>898</v>
      </c>
      <c r="DC180" s="12" t="s">
        <v>899</v>
      </c>
    </row>
    <row r="181">
      <c r="A181" s="12" t="s">
        <v>2232</v>
      </c>
      <c r="B181" s="12" t="s">
        <v>542</v>
      </c>
      <c r="C181" s="12" t="s">
        <v>366</v>
      </c>
      <c r="D181" s="12" t="s">
        <v>833</v>
      </c>
      <c r="E181" s="12" t="s">
        <v>834</v>
      </c>
      <c r="F181" s="12"/>
      <c r="G181" s="12" t="s">
        <v>114</v>
      </c>
      <c r="H181" s="12" t="s">
        <v>505</v>
      </c>
      <c r="I181" s="12"/>
      <c r="J181" s="43">
        <f t="shared" si="1"/>
        <v>0.006482758802</v>
      </c>
      <c r="K181" s="43">
        <f t="shared" si="2"/>
        <v>2.909022</v>
      </c>
      <c r="L181" s="43">
        <f t="shared" si="3"/>
        <v>0.00646834409</v>
      </c>
      <c r="M181" s="43">
        <f t="shared" si="4"/>
        <v>0.2521157402</v>
      </c>
      <c r="N181" s="12" t="s">
        <v>5411</v>
      </c>
      <c r="O181" s="12" t="s">
        <v>5412</v>
      </c>
      <c r="P181" s="43">
        <f t="shared" si="5"/>
        <v>4.604812293</v>
      </c>
      <c r="Q181" s="43">
        <f t="shared" si="6"/>
        <v>3.717810293</v>
      </c>
      <c r="R181" s="12" t="s">
        <v>5413</v>
      </c>
      <c r="S181" s="12" t="s">
        <v>5414</v>
      </c>
      <c r="T181" s="43">
        <f t="shared" si="7"/>
        <v>46.92563225</v>
      </c>
      <c r="U181" s="43">
        <f t="shared" si="8"/>
        <v>0.4417875</v>
      </c>
      <c r="V181" s="12" t="s">
        <v>839</v>
      </c>
      <c r="W181" s="12" t="s">
        <v>5415</v>
      </c>
      <c r="X181" s="12" t="s">
        <v>841</v>
      </c>
      <c r="Y181" s="12" t="s">
        <v>841</v>
      </c>
      <c r="Z181" s="12" t="s">
        <v>841</v>
      </c>
      <c r="AA181" s="12" t="s">
        <v>5416</v>
      </c>
      <c r="AB181" s="12" t="s">
        <v>5417</v>
      </c>
      <c r="AC181" s="12" t="s">
        <v>5418</v>
      </c>
      <c r="AD181" s="12" t="s">
        <v>845</v>
      </c>
      <c r="AE181" s="12" t="s">
        <v>846</v>
      </c>
      <c r="AF181" s="43">
        <f t="shared" si="9"/>
        <v>4.436712</v>
      </c>
      <c r="AG181" s="12" t="s">
        <v>847</v>
      </c>
      <c r="AH181" s="12" t="s">
        <v>5419</v>
      </c>
      <c r="AI181" s="12" t="s">
        <v>5420</v>
      </c>
      <c r="AJ181" s="12" t="s">
        <v>5421</v>
      </c>
      <c r="AK181" s="12" t="s">
        <v>3118</v>
      </c>
      <c r="AL181" s="43">
        <f t="shared" si="10"/>
        <v>31.36</v>
      </c>
      <c r="AM181" s="12" t="s">
        <v>1042</v>
      </c>
      <c r="AN181" s="12" t="s">
        <v>1072</v>
      </c>
      <c r="AO181" s="12" t="s">
        <v>5422</v>
      </c>
      <c r="AP181" s="12" t="s">
        <v>2411</v>
      </c>
      <c r="AQ181" s="12" t="s">
        <v>1727</v>
      </c>
      <c r="AR181" s="12" t="s">
        <v>5423</v>
      </c>
      <c r="AS181" s="12" t="s">
        <v>5126</v>
      </c>
      <c r="AT181" s="12" t="s">
        <v>366</v>
      </c>
      <c r="AU181" s="12" t="s">
        <v>5127</v>
      </c>
      <c r="AV181" s="12" t="s">
        <v>832</v>
      </c>
      <c r="AW181" s="12" t="s">
        <v>1286</v>
      </c>
      <c r="AX181" s="12" t="s">
        <v>868</v>
      </c>
      <c r="AY181" s="12" t="s">
        <v>868</v>
      </c>
      <c r="AZ181" s="12" t="s">
        <v>5424</v>
      </c>
      <c r="BA181" s="12" t="s">
        <v>868</v>
      </c>
      <c r="BB181" s="12" t="s">
        <v>868</v>
      </c>
      <c r="BC181" s="12" t="s">
        <v>866</v>
      </c>
      <c r="BD181" s="12" t="s">
        <v>867</v>
      </c>
      <c r="BE181" s="12" t="s">
        <v>868</v>
      </c>
      <c r="BF181" s="12" t="s">
        <v>869</v>
      </c>
      <c r="BG181" s="12" t="s">
        <v>870</v>
      </c>
      <c r="BH181" s="12" t="s">
        <v>841</v>
      </c>
      <c r="BI181" s="12" t="s">
        <v>871</v>
      </c>
      <c r="BJ181" s="12" t="s">
        <v>841</v>
      </c>
      <c r="BK181" s="12" t="s">
        <v>841</v>
      </c>
      <c r="BL181" s="12" t="s">
        <v>872</v>
      </c>
      <c r="BM181" s="12" t="s">
        <v>873</v>
      </c>
      <c r="BN181" s="12" t="s">
        <v>866</v>
      </c>
      <c r="BO181" s="12" t="s">
        <v>874</v>
      </c>
      <c r="BP181" s="12" t="s">
        <v>875</v>
      </c>
      <c r="BQ181" s="12" t="s">
        <v>876</v>
      </c>
      <c r="BR181" s="12" t="s">
        <v>869</v>
      </c>
      <c r="BS181" s="12" t="s">
        <v>869</v>
      </c>
      <c r="BT181" s="12" t="s">
        <v>877</v>
      </c>
      <c r="BU181" s="12" t="s">
        <v>877</v>
      </c>
      <c r="BV181" s="12" t="s">
        <v>877</v>
      </c>
      <c r="BW181" s="12" t="s">
        <v>841</v>
      </c>
      <c r="BX181" s="12" t="s">
        <v>878</v>
      </c>
      <c r="BY181" s="12" t="s">
        <v>841</v>
      </c>
      <c r="BZ181" s="12" t="s">
        <v>841</v>
      </c>
      <c r="CA181" s="12" t="s">
        <v>841</v>
      </c>
      <c r="CB181" s="12" t="s">
        <v>841</v>
      </c>
      <c r="CC181" s="12" t="s">
        <v>5425</v>
      </c>
      <c r="CD181" s="12" t="s">
        <v>5426</v>
      </c>
      <c r="CE181" s="12" t="s">
        <v>5427</v>
      </c>
      <c r="CF181" s="12" t="s">
        <v>5428</v>
      </c>
      <c r="CG181" s="12" t="s">
        <v>5429</v>
      </c>
      <c r="CH181" s="12" t="s">
        <v>5430</v>
      </c>
      <c r="CI181" s="12" t="s">
        <v>5431</v>
      </c>
      <c r="CJ181" s="12" t="s">
        <v>5432</v>
      </c>
      <c r="CK181" s="12" t="s">
        <v>5416</v>
      </c>
      <c r="CL181" s="12" t="s">
        <v>1496</v>
      </c>
      <c r="CM181" s="12" t="s">
        <v>888</v>
      </c>
      <c r="CN181" s="12" t="s">
        <v>841</v>
      </c>
      <c r="CO181" s="12" t="s">
        <v>847</v>
      </c>
      <c r="CP181" s="12" t="s">
        <v>889</v>
      </c>
      <c r="CQ181" s="12" t="s">
        <v>890</v>
      </c>
      <c r="CR181" s="12" t="s">
        <v>847</v>
      </c>
      <c r="CS181" s="12" t="s">
        <v>891</v>
      </c>
      <c r="CT181" s="12" t="s">
        <v>892</v>
      </c>
      <c r="CU181" s="12" t="s">
        <v>893</v>
      </c>
      <c r="CV181" s="12" t="s">
        <v>841</v>
      </c>
      <c r="CW181" s="12" t="s">
        <v>5415</v>
      </c>
      <c r="CX181" s="12" t="s">
        <v>894</v>
      </c>
      <c r="CY181" s="12" t="s">
        <v>895</v>
      </c>
      <c r="CZ181" s="12" t="s">
        <v>896</v>
      </c>
      <c r="DA181" s="12" t="s">
        <v>897</v>
      </c>
      <c r="DB181" s="12" t="s">
        <v>898</v>
      </c>
      <c r="DC181" s="12" t="s">
        <v>899</v>
      </c>
    </row>
    <row r="182">
      <c r="A182" s="12" t="s">
        <v>1835</v>
      </c>
      <c r="B182" s="12" t="s">
        <v>544</v>
      </c>
      <c r="C182" s="12" t="s">
        <v>366</v>
      </c>
      <c r="D182" s="12" t="s">
        <v>833</v>
      </c>
      <c r="E182" s="12" t="s">
        <v>834</v>
      </c>
      <c r="F182" s="12"/>
      <c r="G182" s="12" t="s">
        <v>114</v>
      </c>
      <c r="H182" s="12" t="s">
        <v>543</v>
      </c>
      <c r="I182" s="12"/>
      <c r="J182" s="43">
        <f t="shared" si="1"/>
        <v>-0.02322136067</v>
      </c>
      <c r="K182" s="43">
        <f t="shared" si="2"/>
        <v>2.90981592</v>
      </c>
      <c r="L182" s="43">
        <f t="shared" si="3"/>
        <v>-0.02340816612</v>
      </c>
      <c r="M182" s="43">
        <f t="shared" si="4"/>
        <v>-0.8308226696</v>
      </c>
      <c r="N182" s="12" t="s">
        <v>5433</v>
      </c>
      <c r="O182" s="12" t="s">
        <v>5434</v>
      </c>
      <c r="P182" s="43">
        <f t="shared" si="5"/>
        <v>4.214174116</v>
      </c>
      <c r="Q182" s="43">
        <f t="shared" si="6"/>
        <v>3.393226116</v>
      </c>
      <c r="R182" s="12" t="s">
        <v>5435</v>
      </c>
      <c r="S182" s="12" t="s">
        <v>5436</v>
      </c>
      <c r="T182" s="43">
        <f t="shared" si="7"/>
        <v>42.94918586</v>
      </c>
      <c r="U182" s="43">
        <f t="shared" si="8"/>
        <v>0.4417875</v>
      </c>
      <c r="V182" s="12" t="s">
        <v>839</v>
      </c>
      <c r="W182" s="12" t="s">
        <v>5437</v>
      </c>
      <c r="X182" s="12" t="s">
        <v>841</v>
      </c>
      <c r="Y182" s="12" t="s">
        <v>841</v>
      </c>
      <c r="Z182" s="12" t="s">
        <v>841</v>
      </c>
      <c r="AA182" s="12" t="s">
        <v>5438</v>
      </c>
      <c r="AB182" s="12" t="s">
        <v>5439</v>
      </c>
      <c r="AC182" s="12" t="s">
        <v>5440</v>
      </c>
      <c r="AD182" s="12" t="s">
        <v>845</v>
      </c>
      <c r="AE182" s="12" t="s">
        <v>846</v>
      </c>
      <c r="AF182" s="43">
        <f t="shared" si="9"/>
        <v>5.180806</v>
      </c>
      <c r="AG182" s="12" t="s">
        <v>847</v>
      </c>
      <c r="AH182" s="12" t="s">
        <v>5441</v>
      </c>
      <c r="AI182" s="12" t="s">
        <v>5442</v>
      </c>
      <c r="AJ182" s="12" t="s">
        <v>5443</v>
      </c>
      <c r="AK182" s="12" t="s">
        <v>945</v>
      </c>
      <c r="AL182" s="43">
        <f t="shared" si="10"/>
        <v>29.81</v>
      </c>
      <c r="AM182" s="12" t="s">
        <v>981</v>
      </c>
      <c r="AN182" s="12" t="s">
        <v>914</v>
      </c>
      <c r="AO182" s="12" t="s">
        <v>5237</v>
      </c>
      <c r="AP182" s="12" t="s">
        <v>5238</v>
      </c>
      <c r="AQ182" s="12" t="s">
        <v>1767</v>
      </c>
      <c r="AR182" s="12" t="s">
        <v>5423</v>
      </c>
      <c r="AS182" s="12" t="s">
        <v>5444</v>
      </c>
      <c r="AT182" s="12" t="s">
        <v>366</v>
      </c>
      <c r="AU182" s="12" t="s">
        <v>5445</v>
      </c>
      <c r="AV182" s="12" t="s">
        <v>832</v>
      </c>
      <c r="AW182" s="12" t="s">
        <v>1403</v>
      </c>
      <c r="AX182" s="12" t="s">
        <v>1016</v>
      </c>
      <c r="AY182" s="12" t="s">
        <v>1014</v>
      </c>
      <c r="AZ182" s="12" t="s">
        <v>5446</v>
      </c>
      <c r="BA182" s="12" t="s">
        <v>5447</v>
      </c>
      <c r="BB182" s="12" t="s">
        <v>5448</v>
      </c>
      <c r="BC182" s="12" t="s">
        <v>866</v>
      </c>
      <c r="BD182" s="12" t="s">
        <v>867</v>
      </c>
      <c r="BE182" s="12" t="s">
        <v>868</v>
      </c>
      <c r="BF182" s="12" t="s">
        <v>869</v>
      </c>
      <c r="BG182" s="12" t="s">
        <v>870</v>
      </c>
      <c r="BH182" s="12" t="s">
        <v>841</v>
      </c>
      <c r="BI182" s="12" t="s">
        <v>871</v>
      </c>
      <c r="BJ182" s="12" t="s">
        <v>841</v>
      </c>
      <c r="BK182" s="12" t="s">
        <v>841</v>
      </c>
      <c r="BL182" s="12" t="s">
        <v>872</v>
      </c>
      <c r="BM182" s="12" t="s">
        <v>873</v>
      </c>
      <c r="BN182" s="12" t="s">
        <v>866</v>
      </c>
      <c r="BO182" s="12" t="s">
        <v>874</v>
      </c>
      <c r="BP182" s="12" t="s">
        <v>875</v>
      </c>
      <c r="BQ182" s="12" t="s">
        <v>876</v>
      </c>
      <c r="BR182" s="12" t="s">
        <v>869</v>
      </c>
      <c r="BS182" s="12" t="s">
        <v>869</v>
      </c>
      <c r="BT182" s="12" t="s">
        <v>877</v>
      </c>
      <c r="BU182" s="12" t="s">
        <v>877</v>
      </c>
      <c r="BV182" s="12" t="s">
        <v>877</v>
      </c>
      <c r="BW182" s="12" t="s">
        <v>841</v>
      </c>
      <c r="BX182" s="12" t="s">
        <v>878</v>
      </c>
      <c r="BY182" s="12" t="s">
        <v>841</v>
      </c>
      <c r="BZ182" s="12" t="s">
        <v>841</v>
      </c>
      <c r="CA182" s="12" t="s">
        <v>841</v>
      </c>
      <c r="CB182" s="12" t="s">
        <v>841</v>
      </c>
      <c r="CC182" s="12" t="s">
        <v>5449</v>
      </c>
      <c r="CD182" s="12" t="s">
        <v>5450</v>
      </c>
      <c r="CE182" s="12" t="s">
        <v>5451</v>
      </c>
      <c r="CF182" s="12" t="s">
        <v>5452</v>
      </c>
      <c r="CG182" s="12" t="s">
        <v>5453</v>
      </c>
      <c r="CH182" s="12" t="s">
        <v>5454</v>
      </c>
      <c r="CI182" s="12" t="s">
        <v>5455</v>
      </c>
      <c r="CJ182" s="12" t="s">
        <v>5456</v>
      </c>
      <c r="CK182" s="12" t="s">
        <v>5457</v>
      </c>
      <c r="CL182" s="12" t="s">
        <v>2814</v>
      </c>
      <c r="CM182" s="12" t="s">
        <v>888</v>
      </c>
      <c r="CN182" s="12" t="s">
        <v>841</v>
      </c>
      <c r="CO182" s="12" t="s">
        <v>847</v>
      </c>
      <c r="CP182" s="12" t="s">
        <v>889</v>
      </c>
      <c r="CQ182" s="12" t="s">
        <v>890</v>
      </c>
      <c r="CR182" s="12" t="s">
        <v>847</v>
      </c>
      <c r="CS182" s="12" t="s">
        <v>891</v>
      </c>
      <c r="CT182" s="12" t="s">
        <v>892</v>
      </c>
      <c r="CU182" s="12" t="s">
        <v>893</v>
      </c>
      <c r="CV182" s="12" t="s">
        <v>841</v>
      </c>
      <c r="CW182" s="12" t="s">
        <v>5437</v>
      </c>
      <c r="CX182" s="12" t="s">
        <v>894</v>
      </c>
      <c r="CY182" s="12" t="s">
        <v>895</v>
      </c>
      <c r="CZ182" s="12" t="s">
        <v>896</v>
      </c>
      <c r="DA182" s="12" t="s">
        <v>897</v>
      </c>
      <c r="DB182" s="12" t="s">
        <v>898</v>
      </c>
      <c r="DC182" s="12" t="s">
        <v>899</v>
      </c>
    </row>
    <row r="183">
      <c r="A183" s="12" t="s">
        <v>2285</v>
      </c>
      <c r="B183" s="12" t="s">
        <v>545</v>
      </c>
      <c r="C183" s="12" t="s">
        <v>366</v>
      </c>
      <c r="D183" s="12" t="s">
        <v>833</v>
      </c>
      <c r="E183" s="12" t="s">
        <v>834</v>
      </c>
      <c r="F183" s="12"/>
      <c r="G183" s="12" t="s">
        <v>114</v>
      </c>
      <c r="H183" s="12" t="s">
        <v>543</v>
      </c>
      <c r="I183" s="12"/>
      <c r="J183" s="43">
        <f t="shared" si="1"/>
        <v>0.00002367371144</v>
      </c>
      <c r="K183" s="43">
        <f t="shared" si="2"/>
        <v>2.909022</v>
      </c>
      <c r="L183" s="43">
        <f t="shared" si="3"/>
        <v>0.00002367351879</v>
      </c>
      <c r="M183" s="43">
        <f t="shared" si="4"/>
        <v>0.0008827341028</v>
      </c>
      <c r="N183" s="12" t="s">
        <v>5458</v>
      </c>
      <c r="O183" s="12" t="s">
        <v>5459</v>
      </c>
      <c r="P183" s="43">
        <f t="shared" si="5"/>
        <v>4.422127242</v>
      </c>
      <c r="Q183" s="43">
        <f t="shared" si="6"/>
        <v>3.560205242</v>
      </c>
      <c r="R183" s="12" t="s">
        <v>5460</v>
      </c>
      <c r="S183" s="12" t="s">
        <v>5461</v>
      </c>
      <c r="T183" s="43">
        <f t="shared" si="7"/>
        <v>45.06856137</v>
      </c>
      <c r="U183" s="43">
        <f t="shared" si="8"/>
        <v>0.4417875</v>
      </c>
      <c r="V183" s="12" t="s">
        <v>839</v>
      </c>
      <c r="W183" s="12" t="s">
        <v>5462</v>
      </c>
      <c r="X183" s="12" t="s">
        <v>841</v>
      </c>
      <c r="Y183" s="12" t="s">
        <v>841</v>
      </c>
      <c r="Z183" s="12" t="s">
        <v>841</v>
      </c>
      <c r="AA183" s="12" t="s">
        <v>5463</v>
      </c>
      <c r="AB183" s="12" t="s">
        <v>5464</v>
      </c>
      <c r="AC183" s="12" t="s">
        <v>5465</v>
      </c>
      <c r="AD183" s="12" t="s">
        <v>845</v>
      </c>
      <c r="AE183" s="12" t="s">
        <v>846</v>
      </c>
      <c r="AF183" s="43">
        <f t="shared" si="9"/>
        <v>7.78332</v>
      </c>
      <c r="AG183" s="12" t="s">
        <v>847</v>
      </c>
      <c r="AH183" s="12" t="s">
        <v>4879</v>
      </c>
      <c r="AI183" s="12" t="s">
        <v>4879</v>
      </c>
      <c r="AJ183" s="12" t="s">
        <v>5466</v>
      </c>
      <c r="AK183" s="12" t="s">
        <v>5467</v>
      </c>
      <c r="AL183" s="43">
        <f t="shared" si="10"/>
        <v>30.65</v>
      </c>
      <c r="AM183" s="12" t="s">
        <v>981</v>
      </c>
      <c r="AN183" s="12" t="s">
        <v>1072</v>
      </c>
      <c r="AO183" s="12" t="s">
        <v>5468</v>
      </c>
      <c r="AP183" s="12" t="s">
        <v>5469</v>
      </c>
      <c r="AQ183" s="12" t="s">
        <v>2232</v>
      </c>
      <c r="AR183" s="12" t="s">
        <v>5470</v>
      </c>
      <c r="AS183" s="12" t="s">
        <v>5444</v>
      </c>
      <c r="AT183" s="12" t="s">
        <v>366</v>
      </c>
      <c r="AU183" s="12" t="s">
        <v>5445</v>
      </c>
      <c r="AV183" s="12" t="s">
        <v>832</v>
      </c>
      <c r="AW183" s="12" t="s">
        <v>1047</v>
      </c>
      <c r="AX183" s="12" t="s">
        <v>868</v>
      </c>
      <c r="AY183" s="12" t="s">
        <v>868</v>
      </c>
      <c r="AZ183" s="12" t="s">
        <v>5471</v>
      </c>
      <c r="BA183" s="12" t="s">
        <v>868</v>
      </c>
      <c r="BB183" s="12" t="s">
        <v>868</v>
      </c>
      <c r="BC183" s="12" t="s">
        <v>866</v>
      </c>
      <c r="BD183" s="12" t="s">
        <v>867</v>
      </c>
      <c r="BE183" s="12" t="s">
        <v>868</v>
      </c>
      <c r="BF183" s="12" t="s">
        <v>869</v>
      </c>
      <c r="BG183" s="12" t="s">
        <v>870</v>
      </c>
      <c r="BH183" s="12" t="s">
        <v>841</v>
      </c>
      <c r="BI183" s="12" t="s">
        <v>871</v>
      </c>
      <c r="BJ183" s="12" t="s">
        <v>841</v>
      </c>
      <c r="BK183" s="12" t="s">
        <v>841</v>
      </c>
      <c r="BL183" s="12" t="s">
        <v>872</v>
      </c>
      <c r="BM183" s="12" t="s">
        <v>873</v>
      </c>
      <c r="BN183" s="12" t="s">
        <v>866</v>
      </c>
      <c r="BO183" s="12" t="s">
        <v>874</v>
      </c>
      <c r="BP183" s="12" t="s">
        <v>875</v>
      </c>
      <c r="BQ183" s="12" t="s">
        <v>876</v>
      </c>
      <c r="BR183" s="12" t="s">
        <v>869</v>
      </c>
      <c r="BS183" s="12" t="s">
        <v>869</v>
      </c>
      <c r="BT183" s="12" t="s">
        <v>877</v>
      </c>
      <c r="BU183" s="12" t="s">
        <v>877</v>
      </c>
      <c r="BV183" s="12" t="s">
        <v>877</v>
      </c>
      <c r="BW183" s="12" t="s">
        <v>841</v>
      </c>
      <c r="BX183" s="12" t="s">
        <v>878</v>
      </c>
      <c r="BY183" s="12" t="s">
        <v>841</v>
      </c>
      <c r="BZ183" s="12" t="s">
        <v>841</v>
      </c>
      <c r="CA183" s="12" t="s">
        <v>841</v>
      </c>
      <c r="CB183" s="12" t="s">
        <v>841</v>
      </c>
      <c r="CC183" s="12" t="s">
        <v>5472</v>
      </c>
      <c r="CD183" s="12" t="s">
        <v>5473</v>
      </c>
      <c r="CE183" s="12" t="s">
        <v>5474</v>
      </c>
      <c r="CF183" s="12" t="s">
        <v>5475</v>
      </c>
      <c r="CG183" s="12" t="s">
        <v>5476</v>
      </c>
      <c r="CH183" s="12" t="s">
        <v>5477</v>
      </c>
      <c r="CI183" s="12" t="s">
        <v>5478</v>
      </c>
      <c r="CJ183" s="12" t="s">
        <v>5479</v>
      </c>
      <c r="CK183" s="12" t="s">
        <v>5463</v>
      </c>
      <c r="CL183" s="12" t="s">
        <v>933</v>
      </c>
      <c r="CM183" s="12" t="s">
        <v>888</v>
      </c>
      <c r="CN183" s="12" t="s">
        <v>841</v>
      </c>
      <c r="CO183" s="12" t="s">
        <v>847</v>
      </c>
      <c r="CP183" s="12" t="s">
        <v>889</v>
      </c>
      <c r="CQ183" s="12" t="s">
        <v>890</v>
      </c>
      <c r="CR183" s="12" t="s">
        <v>847</v>
      </c>
      <c r="CS183" s="12" t="s">
        <v>891</v>
      </c>
      <c r="CT183" s="12" t="s">
        <v>892</v>
      </c>
      <c r="CU183" s="12" t="s">
        <v>893</v>
      </c>
      <c r="CV183" s="12" t="s">
        <v>841</v>
      </c>
      <c r="CW183" s="12" t="s">
        <v>5462</v>
      </c>
      <c r="CX183" s="12" t="s">
        <v>894</v>
      </c>
      <c r="CY183" s="12" t="s">
        <v>895</v>
      </c>
      <c r="CZ183" s="12" t="s">
        <v>896</v>
      </c>
      <c r="DA183" s="12" t="s">
        <v>897</v>
      </c>
      <c r="DB183" s="12" t="s">
        <v>898</v>
      </c>
      <c r="DC183" s="12" t="s">
        <v>899</v>
      </c>
    </row>
    <row r="184">
      <c r="A184" s="12" t="s">
        <v>2274</v>
      </c>
      <c r="B184" s="12" t="s">
        <v>548</v>
      </c>
      <c r="C184" s="12" t="s">
        <v>366</v>
      </c>
      <c r="D184" s="12" t="s">
        <v>833</v>
      </c>
      <c r="E184" s="12" t="s">
        <v>834</v>
      </c>
      <c r="F184" s="12"/>
      <c r="G184" s="12" t="s">
        <v>114</v>
      </c>
      <c r="H184" s="12" t="s">
        <v>543</v>
      </c>
      <c r="I184" s="12"/>
      <c r="J184" s="43">
        <f t="shared" si="1"/>
        <v>-0.01093232434</v>
      </c>
      <c r="K184" s="43">
        <f t="shared" si="2"/>
        <v>2.91139968</v>
      </c>
      <c r="L184" s="43">
        <f t="shared" si="3"/>
        <v>-0.01097353001</v>
      </c>
      <c r="M184" s="43">
        <f t="shared" si="4"/>
        <v>-0.4205150878</v>
      </c>
      <c r="N184" s="12" t="s">
        <v>5480</v>
      </c>
      <c r="O184" s="12" t="s">
        <v>5481</v>
      </c>
      <c r="P184" s="43">
        <f t="shared" si="5"/>
        <v>4.501099412</v>
      </c>
      <c r="Q184" s="43">
        <f t="shared" si="6"/>
        <v>3.657217412</v>
      </c>
      <c r="R184" s="12" t="s">
        <v>5482</v>
      </c>
      <c r="S184" s="12" t="s">
        <v>5483</v>
      </c>
      <c r="T184" s="43">
        <f t="shared" si="7"/>
        <v>45.87809002</v>
      </c>
      <c r="U184" s="43">
        <f t="shared" si="8"/>
        <v>0.4417875</v>
      </c>
      <c r="V184" s="12" t="s">
        <v>839</v>
      </c>
      <c r="W184" s="12" t="s">
        <v>5484</v>
      </c>
      <c r="X184" s="12" t="s">
        <v>841</v>
      </c>
      <c r="Y184" s="12" t="s">
        <v>841</v>
      </c>
      <c r="Z184" s="12" t="s">
        <v>841</v>
      </c>
      <c r="AA184" s="12" t="s">
        <v>5485</v>
      </c>
      <c r="AB184" s="12" t="s">
        <v>5486</v>
      </c>
      <c r="AC184" s="12" t="s">
        <v>5487</v>
      </c>
      <c r="AD184" s="12" t="s">
        <v>845</v>
      </c>
      <c r="AE184" s="12" t="s">
        <v>846</v>
      </c>
      <c r="AF184" s="43">
        <f t="shared" si="9"/>
        <v>5.6451812</v>
      </c>
      <c r="AG184" s="12" t="s">
        <v>847</v>
      </c>
      <c r="AH184" s="12" t="s">
        <v>5488</v>
      </c>
      <c r="AI184" s="12" t="s">
        <v>5489</v>
      </c>
      <c r="AJ184" s="12" t="s">
        <v>4674</v>
      </c>
      <c r="AK184" s="12" t="s">
        <v>5490</v>
      </c>
      <c r="AL184" s="43">
        <f t="shared" si="10"/>
        <v>30.96</v>
      </c>
      <c r="AM184" s="12" t="s">
        <v>913</v>
      </c>
      <c r="AN184" s="12" t="s">
        <v>1337</v>
      </c>
      <c r="AO184" s="12" t="s">
        <v>5491</v>
      </c>
      <c r="AP184" s="12" t="s">
        <v>4370</v>
      </c>
      <c r="AQ184" s="12" t="s">
        <v>1767</v>
      </c>
      <c r="AR184" s="12" t="s">
        <v>5492</v>
      </c>
      <c r="AS184" s="12" t="s">
        <v>5444</v>
      </c>
      <c r="AT184" s="12" t="s">
        <v>366</v>
      </c>
      <c r="AU184" s="12" t="s">
        <v>5445</v>
      </c>
      <c r="AV184" s="12" t="s">
        <v>832</v>
      </c>
      <c r="AW184" s="12" t="s">
        <v>1164</v>
      </c>
      <c r="AX184" s="12" t="s">
        <v>868</v>
      </c>
      <c r="AY184" s="12" t="s">
        <v>868</v>
      </c>
      <c r="AZ184" s="12" t="s">
        <v>5493</v>
      </c>
      <c r="BA184" s="12" t="s">
        <v>868</v>
      </c>
      <c r="BB184" s="12" t="s">
        <v>868</v>
      </c>
      <c r="BC184" s="12" t="s">
        <v>866</v>
      </c>
      <c r="BD184" s="12" t="s">
        <v>867</v>
      </c>
      <c r="BE184" s="12" t="s">
        <v>868</v>
      </c>
      <c r="BF184" s="12" t="s">
        <v>869</v>
      </c>
      <c r="BG184" s="12" t="s">
        <v>870</v>
      </c>
      <c r="BH184" s="12" t="s">
        <v>841</v>
      </c>
      <c r="BI184" s="12" t="s">
        <v>871</v>
      </c>
      <c r="BJ184" s="12" t="s">
        <v>841</v>
      </c>
      <c r="BK184" s="12" t="s">
        <v>841</v>
      </c>
      <c r="BL184" s="12" t="s">
        <v>872</v>
      </c>
      <c r="BM184" s="12" t="s">
        <v>873</v>
      </c>
      <c r="BN184" s="12" t="s">
        <v>866</v>
      </c>
      <c r="BO184" s="12" t="s">
        <v>874</v>
      </c>
      <c r="BP184" s="12" t="s">
        <v>875</v>
      </c>
      <c r="BQ184" s="12" t="s">
        <v>876</v>
      </c>
      <c r="BR184" s="12" t="s">
        <v>869</v>
      </c>
      <c r="BS184" s="12" t="s">
        <v>869</v>
      </c>
      <c r="BT184" s="12" t="s">
        <v>877</v>
      </c>
      <c r="BU184" s="12" t="s">
        <v>877</v>
      </c>
      <c r="BV184" s="12" t="s">
        <v>877</v>
      </c>
      <c r="BW184" s="12" t="s">
        <v>841</v>
      </c>
      <c r="BX184" s="12" t="s">
        <v>878</v>
      </c>
      <c r="BY184" s="12" t="s">
        <v>841</v>
      </c>
      <c r="BZ184" s="12" t="s">
        <v>841</v>
      </c>
      <c r="CA184" s="12" t="s">
        <v>841</v>
      </c>
      <c r="CB184" s="12" t="s">
        <v>841</v>
      </c>
      <c r="CC184" s="12" t="s">
        <v>5494</v>
      </c>
      <c r="CD184" s="12" t="s">
        <v>5495</v>
      </c>
      <c r="CE184" s="12" t="s">
        <v>5496</v>
      </c>
      <c r="CF184" s="12" t="s">
        <v>5497</v>
      </c>
      <c r="CG184" s="12" t="s">
        <v>5498</v>
      </c>
      <c r="CH184" s="12" t="s">
        <v>5499</v>
      </c>
      <c r="CI184" s="12" t="s">
        <v>5500</v>
      </c>
      <c r="CJ184" s="12" t="s">
        <v>5501</v>
      </c>
      <c r="CK184" s="12" t="s">
        <v>5485</v>
      </c>
      <c r="CL184" s="12" t="s">
        <v>1496</v>
      </c>
      <c r="CM184" s="12" t="s">
        <v>888</v>
      </c>
      <c r="CN184" s="12" t="s">
        <v>841</v>
      </c>
      <c r="CO184" s="12" t="s">
        <v>847</v>
      </c>
      <c r="CP184" s="12" t="s">
        <v>889</v>
      </c>
      <c r="CQ184" s="12" t="s">
        <v>890</v>
      </c>
      <c r="CR184" s="12" t="s">
        <v>847</v>
      </c>
      <c r="CS184" s="12" t="s">
        <v>891</v>
      </c>
      <c r="CT184" s="12" t="s">
        <v>892</v>
      </c>
      <c r="CU184" s="12" t="s">
        <v>893</v>
      </c>
      <c r="CV184" s="12" t="s">
        <v>841</v>
      </c>
      <c r="CW184" s="12" t="s">
        <v>5484</v>
      </c>
      <c r="CX184" s="12" t="s">
        <v>894</v>
      </c>
      <c r="CY184" s="12" t="s">
        <v>895</v>
      </c>
      <c r="CZ184" s="12" t="s">
        <v>896</v>
      </c>
      <c r="DA184" s="12" t="s">
        <v>897</v>
      </c>
      <c r="DB184" s="12" t="s">
        <v>898</v>
      </c>
      <c r="DC184" s="12" t="s">
        <v>899</v>
      </c>
    </row>
    <row r="185">
      <c r="A185" s="12" t="s">
        <v>832</v>
      </c>
      <c r="B185" s="12" t="s">
        <v>550</v>
      </c>
      <c r="C185" s="12" t="s">
        <v>366</v>
      </c>
      <c r="D185" s="12" t="s">
        <v>833</v>
      </c>
      <c r="E185" s="12" t="s">
        <v>834</v>
      </c>
      <c r="F185" s="12"/>
      <c r="G185" s="12" t="s">
        <v>364</v>
      </c>
      <c r="H185" s="12" t="s">
        <v>549</v>
      </c>
      <c r="I185" s="12"/>
      <c r="J185" s="43">
        <f t="shared" si="1"/>
        <v>0.002191295585</v>
      </c>
      <c r="K185" s="43">
        <f t="shared" si="2"/>
        <v>2.90981592</v>
      </c>
      <c r="L185" s="43">
        <f t="shared" si="3"/>
        <v>0.002189646627</v>
      </c>
      <c r="M185" s="43">
        <f t="shared" si="4"/>
        <v>0.0858865145</v>
      </c>
      <c r="N185" s="12" t="s">
        <v>5502</v>
      </c>
      <c r="O185" s="12" t="s">
        <v>5503</v>
      </c>
      <c r="P185" s="43">
        <f t="shared" si="5"/>
        <v>4.631063372</v>
      </c>
      <c r="Q185" s="43">
        <f t="shared" si="6"/>
        <v>3.731540372</v>
      </c>
      <c r="R185" s="12" t="s">
        <v>5504</v>
      </c>
      <c r="S185" s="12" t="s">
        <v>5505</v>
      </c>
      <c r="T185" s="43">
        <f t="shared" si="7"/>
        <v>47.3040181</v>
      </c>
      <c r="U185" s="43">
        <f t="shared" si="8"/>
        <v>0.4417875</v>
      </c>
      <c r="V185" s="12" t="s">
        <v>839</v>
      </c>
      <c r="W185" s="12" t="s">
        <v>5506</v>
      </c>
      <c r="X185" s="12" t="s">
        <v>841</v>
      </c>
      <c r="Y185" s="12" t="s">
        <v>841</v>
      </c>
      <c r="Z185" s="12" t="s">
        <v>841</v>
      </c>
      <c r="AA185" s="12" t="s">
        <v>5507</v>
      </c>
      <c r="AB185" s="12" t="s">
        <v>5508</v>
      </c>
      <c r="AC185" s="12" t="s">
        <v>5509</v>
      </c>
      <c r="AD185" s="12" t="s">
        <v>845</v>
      </c>
      <c r="AE185" s="12" t="s">
        <v>846</v>
      </c>
      <c r="AF185" s="43">
        <f t="shared" si="9"/>
        <v>8.127368</v>
      </c>
      <c r="AG185" s="12" t="s">
        <v>847</v>
      </c>
      <c r="AH185" s="12" t="s">
        <v>5510</v>
      </c>
      <c r="AI185" s="12" t="s">
        <v>5167</v>
      </c>
      <c r="AJ185" s="12" t="s">
        <v>5511</v>
      </c>
      <c r="AK185" s="12" t="s">
        <v>5512</v>
      </c>
      <c r="AL185" s="43">
        <f t="shared" si="10"/>
        <v>31.46</v>
      </c>
      <c r="AM185" s="12" t="s">
        <v>5513</v>
      </c>
      <c r="AN185" s="12" t="s">
        <v>914</v>
      </c>
      <c r="AO185" s="12" t="s">
        <v>5514</v>
      </c>
      <c r="AP185" s="12" t="s">
        <v>2601</v>
      </c>
      <c r="AQ185" s="12" t="s">
        <v>372</v>
      </c>
      <c r="AR185" s="12" t="s">
        <v>5515</v>
      </c>
      <c r="AS185" s="12" t="s">
        <v>5516</v>
      </c>
      <c r="AT185" s="12" t="s">
        <v>366</v>
      </c>
      <c r="AU185" s="12" t="s">
        <v>5517</v>
      </c>
      <c r="AV185" s="12" t="s">
        <v>832</v>
      </c>
      <c r="AW185" s="12" t="s">
        <v>1164</v>
      </c>
      <c r="AX185" s="12" t="s">
        <v>919</v>
      </c>
      <c r="AY185" s="12" t="s">
        <v>1457</v>
      </c>
      <c r="AZ185" s="12" t="s">
        <v>5518</v>
      </c>
      <c r="BA185" s="12" t="s">
        <v>5519</v>
      </c>
      <c r="BB185" s="12" t="s">
        <v>5520</v>
      </c>
      <c r="BC185" s="12" t="s">
        <v>866</v>
      </c>
      <c r="BD185" s="12" t="s">
        <v>867</v>
      </c>
      <c r="BE185" s="12" t="s">
        <v>868</v>
      </c>
      <c r="BF185" s="12" t="s">
        <v>869</v>
      </c>
      <c r="BG185" s="12" t="s">
        <v>870</v>
      </c>
      <c r="BH185" s="12" t="s">
        <v>841</v>
      </c>
      <c r="BI185" s="12" t="s">
        <v>871</v>
      </c>
      <c r="BJ185" s="12" t="s">
        <v>841</v>
      </c>
      <c r="BK185" s="12" t="s">
        <v>841</v>
      </c>
      <c r="BL185" s="12" t="s">
        <v>872</v>
      </c>
      <c r="BM185" s="12" t="s">
        <v>873</v>
      </c>
      <c r="BN185" s="12" t="s">
        <v>866</v>
      </c>
      <c r="BO185" s="12" t="s">
        <v>874</v>
      </c>
      <c r="BP185" s="12" t="s">
        <v>875</v>
      </c>
      <c r="BQ185" s="12" t="s">
        <v>876</v>
      </c>
      <c r="BR185" s="12" t="s">
        <v>869</v>
      </c>
      <c r="BS185" s="12" t="s">
        <v>869</v>
      </c>
      <c r="BT185" s="12" t="s">
        <v>877</v>
      </c>
      <c r="BU185" s="12" t="s">
        <v>877</v>
      </c>
      <c r="BV185" s="12" t="s">
        <v>877</v>
      </c>
      <c r="BW185" s="12" t="s">
        <v>841</v>
      </c>
      <c r="BX185" s="12" t="s">
        <v>878</v>
      </c>
      <c r="BY185" s="12" t="s">
        <v>841</v>
      </c>
      <c r="BZ185" s="12" t="s">
        <v>841</v>
      </c>
      <c r="CA185" s="12" t="s">
        <v>841</v>
      </c>
      <c r="CB185" s="12" t="s">
        <v>841</v>
      </c>
      <c r="CC185" s="12" t="s">
        <v>5521</v>
      </c>
      <c r="CD185" s="12" t="s">
        <v>5522</v>
      </c>
      <c r="CE185" s="12" t="s">
        <v>5523</v>
      </c>
      <c r="CF185" s="12" t="s">
        <v>5524</v>
      </c>
      <c r="CG185" s="12" t="s">
        <v>5525</v>
      </c>
      <c r="CH185" s="12" t="s">
        <v>5526</v>
      </c>
      <c r="CI185" s="12" t="s">
        <v>5527</v>
      </c>
      <c r="CJ185" s="12" t="s">
        <v>5528</v>
      </c>
      <c r="CK185" s="12" t="s">
        <v>5529</v>
      </c>
      <c r="CL185" s="12" t="s">
        <v>1093</v>
      </c>
      <c r="CM185" s="12" t="s">
        <v>888</v>
      </c>
      <c r="CN185" s="12" t="s">
        <v>841</v>
      </c>
      <c r="CO185" s="12" t="s">
        <v>847</v>
      </c>
      <c r="CP185" s="12" t="s">
        <v>889</v>
      </c>
      <c r="CQ185" s="12" t="s">
        <v>890</v>
      </c>
      <c r="CR185" s="12" t="s">
        <v>847</v>
      </c>
      <c r="CS185" s="12" t="s">
        <v>891</v>
      </c>
      <c r="CT185" s="12" t="s">
        <v>892</v>
      </c>
      <c r="CU185" s="12" t="s">
        <v>893</v>
      </c>
      <c r="CV185" s="12" t="s">
        <v>841</v>
      </c>
      <c r="CW185" s="12" t="s">
        <v>5506</v>
      </c>
      <c r="CX185" s="12" t="s">
        <v>894</v>
      </c>
      <c r="CY185" s="12" t="s">
        <v>895</v>
      </c>
      <c r="CZ185" s="12" t="s">
        <v>896</v>
      </c>
      <c r="DA185" s="12" t="s">
        <v>897</v>
      </c>
      <c r="DB185" s="12" t="s">
        <v>898</v>
      </c>
      <c r="DC185" s="12" t="s">
        <v>899</v>
      </c>
    </row>
    <row r="186">
      <c r="A186" s="12" t="s">
        <v>900</v>
      </c>
      <c r="B186" s="12" t="s">
        <v>552</v>
      </c>
      <c r="C186" s="12" t="s">
        <v>366</v>
      </c>
      <c r="D186" s="12" t="s">
        <v>833</v>
      </c>
      <c r="E186" s="12" t="s">
        <v>834</v>
      </c>
      <c r="F186" s="12"/>
      <c r="G186" s="12" t="s">
        <v>364</v>
      </c>
      <c r="H186" s="12" t="s">
        <v>549</v>
      </c>
      <c r="I186" s="12"/>
      <c r="J186" s="43">
        <f t="shared" si="1"/>
        <v>-0.0130233632</v>
      </c>
      <c r="K186" s="43">
        <f t="shared" si="2"/>
        <v>2.909022</v>
      </c>
      <c r="L186" s="43">
        <f t="shared" si="3"/>
        <v>-0.01308192952</v>
      </c>
      <c r="M186" s="43">
        <f t="shared" si="4"/>
        <v>-0.4983613465</v>
      </c>
      <c r="N186" s="12" t="s">
        <v>5530</v>
      </c>
      <c r="O186" s="12" t="s">
        <v>5531</v>
      </c>
      <c r="P186" s="43">
        <f t="shared" si="5"/>
        <v>4.581297215</v>
      </c>
      <c r="Q186" s="43">
        <f t="shared" si="6"/>
        <v>3.624048215</v>
      </c>
      <c r="R186" s="12" t="s">
        <v>5532</v>
      </c>
      <c r="S186" s="12" t="s">
        <v>5533</v>
      </c>
      <c r="T186" s="43">
        <f t="shared" si="7"/>
        <v>46.79568146</v>
      </c>
      <c r="U186" s="43">
        <f t="shared" si="8"/>
        <v>0.4417875</v>
      </c>
      <c r="V186" s="12" t="s">
        <v>839</v>
      </c>
      <c r="W186" s="12" t="s">
        <v>5534</v>
      </c>
      <c r="X186" s="12" t="s">
        <v>841</v>
      </c>
      <c r="Y186" s="12" t="s">
        <v>841</v>
      </c>
      <c r="Z186" s="12" t="s">
        <v>841</v>
      </c>
      <c r="AA186" s="12" t="s">
        <v>5535</v>
      </c>
      <c r="AB186" s="12" t="s">
        <v>5536</v>
      </c>
      <c r="AC186" s="12" t="s">
        <v>5537</v>
      </c>
      <c r="AD186" s="12" t="s">
        <v>845</v>
      </c>
      <c r="AE186" s="12" t="s">
        <v>846</v>
      </c>
      <c r="AF186" s="43">
        <f t="shared" si="9"/>
        <v>69.4047016</v>
      </c>
      <c r="AG186" s="12" t="s">
        <v>847</v>
      </c>
      <c r="AH186" s="12" t="s">
        <v>5538</v>
      </c>
      <c r="AI186" s="12" t="s">
        <v>3977</v>
      </c>
      <c r="AJ186" s="12" t="s">
        <v>5539</v>
      </c>
      <c r="AK186" s="12" t="s">
        <v>5540</v>
      </c>
      <c r="AL186" s="43">
        <f t="shared" si="10"/>
        <v>31.27</v>
      </c>
      <c r="AM186" s="12" t="s">
        <v>5513</v>
      </c>
      <c r="AN186" s="12" t="s">
        <v>1072</v>
      </c>
      <c r="AO186" s="12" t="s">
        <v>5541</v>
      </c>
      <c r="AP186" s="12" t="s">
        <v>5542</v>
      </c>
      <c r="AQ186" s="12" t="s">
        <v>290</v>
      </c>
      <c r="AR186" s="12" t="s">
        <v>5543</v>
      </c>
      <c r="AS186" s="12" t="s">
        <v>5516</v>
      </c>
      <c r="AT186" s="12" t="s">
        <v>366</v>
      </c>
      <c r="AU186" s="12" t="s">
        <v>5517</v>
      </c>
      <c r="AV186" s="12" t="s">
        <v>832</v>
      </c>
      <c r="AW186" s="12" t="s">
        <v>1403</v>
      </c>
      <c r="AX186" s="12" t="s">
        <v>1598</v>
      </c>
      <c r="AY186" s="12" t="s">
        <v>1598</v>
      </c>
      <c r="AZ186" s="12" t="s">
        <v>5544</v>
      </c>
      <c r="BA186" s="12" t="s">
        <v>5545</v>
      </c>
      <c r="BB186" s="12" t="s">
        <v>5546</v>
      </c>
      <c r="BC186" s="12" t="s">
        <v>866</v>
      </c>
      <c r="BD186" s="12" t="s">
        <v>867</v>
      </c>
      <c r="BE186" s="12" t="s">
        <v>868</v>
      </c>
      <c r="BF186" s="12" t="s">
        <v>869</v>
      </c>
      <c r="BG186" s="12" t="s">
        <v>870</v>
      </c>
      <c r="BH186" s="12" t="s">
        <v>841</v>
      </c>
      <c r="BI186" s="12" t="s">
        <v>871</v>
      </c>
      <c r="BJ186" s="12" t="s">
        <v>841</v>
      </c>
      <c r="BK186" s="12" t="s">
        <v>841</v>
      </c>
      <c r="BL186" s="12" t="s">
        <v>872</v>
      </c>
      <c r="BM186" s="12" t="s">
        <v>873</v>
      </c>
      <c r="BN186" s="12" t="s">
        <v>866</v>
      </c>
      <c r="BO186" s="12" t="s">
        <v>874</v>
      </c>
      <c r="BP186" s="12" t="s">
        <v>875</v>
      </c>
      <c r="BQ186" s="12" t="s">
        <v>876</v>
      </c>
      <c r="BR186" s="12" t="s">
        <v>869</v>
      </c>
      <c r="BS186" s="12" t="s">
        <v>869</v>
      </c>
      <c r="BT186" s="12" t="s">
        <v>877</v>
      </c>
      <c r="BU186" s="12" t="s">
        <v>877</v>
      </c>
      <c r="BV186" s="12" t="s">
        <v>877</v>
      </c>
      <c r="BW186" s="12" t="s">
        <v>841</v>
      </c>
      <c r="BX186" s="12" t="s">
        <v>878</v>
      </c>
      <c r="BY186" s="12" t="s">
        <v>841</v>
      </c>
      <c r="BZ186" s="12" t="s">
        <v>841</v>
      </c>
      <c r="CA186" s="12" t="s">
        <v>841</v>
      </c>
      <c r="CB186" s="12" t="s">
        <v>841</v>
      </c>
      <c r="CC186" s="12" t="s">
        <v>5547</v>
      </c>
      <c r="CD186" s="12" t="s">
        <v>5548</v>
      </c>
      <c r="CE186" s="12" t="s">
        <v>5549</v>
      </c>
      <c r="CF186" s="12" t="s">
        <v>5550</v>
      </c>
      <c r="CG186" s="12" t="s">
        <v>5551</v>
      </c>
      <c r="CH186" s="12" t="s">
        <v>5552</v>
      </c>
      <c r="CI186" s="12" t="s">
        <v>5553</v>
      </c>
      <c r="CJ186" s="12" t="s">
        <v>5554</v>
      </c>
      <c r="CK186" s="12" t="s">
        <v>5535</v>
      </c>
      <c r="CL186" s="12" t="s">
        <v>1496</v>
      </c>
      <c r="CM186" s="12" t="s">
        <v>888</v>
      </c>
      <c r="CN186" s="12" t="s">
        <v>841</v>
      </c>
      <c r="CO186" s="12" t="s">
        <v>847</v>
      </c>
      <c r="CP186" s="12" t="s">
        <v>889</v>
      </c>
      <c r="CQ186" s="12" t="s">
        <v>890</v>
      </c>
      <c r="CR186" s="12" t="s">
        <v>847</v>
      </c>
      <c r="CS186" s="12" t="s">
        <v>891</v>
      </c>
      <c r="CT186" s="12" t="s">
        <v>892</v>
      </c>
      <c r="CU186" s="12" t="s">
        <v>893</v>
      </c>
      <c r="CV186" s="12" t="s">
        <v>841</v>
      </c>
      <c r="CW186" s="12" t="s">
        <v>5534</v>
      </c>
      <c r="CX186" s="12" t="s">
        <v>894</v>
      </c>
      <c r="CY186" s="12" t="s">
        <v>895</v>
      </c>
      <c r="CZ186" s="12" t="s">
        <v>896</v>
      </c>
      <c r="DA186" s="12" t="s">
        <v>897</v>
      </c>
      <c r="DB186" s="12" t="s">
        <v>898</v>
      </c>
      <c r="DC186" s="12" t="s">
        <v>899</v>
      </c>
    </row>
    <row r="187">
      <c r="A187" s="12" t="s">
        <v>934</v>
      </c>
      <c r="B187" s="12" t="s">
        <v>553</v>
      </c>
      <c r="C187" s="12" t="s">
        <v>366</v>
      </c>
      <c r="D187" s="12" t="s">
        <v>833</v>
      </c>
      <c r="E187" s="12" t="s">
        <v>834</v>
      </c>
      <c r="F187" s="12"/>
      <c r="G187" s="12" t="s">
        <v>364</v>
      </c>
      <c r="H187" s="12" t="s">
        <v>549</v>
      </c>
      <c r="I187" s="12"/>
      <c r="J187" s="43">
        <f t="shared" si="1"/>
        <v>-0.0131371529</v>
      </c>
      <c r="K187" s="43">
        <f t="shared" si="2"/>
        <v>2.90981592</v>
      </c>
      <c r="L187" s="43">
        <f t="shared" si="3"/>
        <v>-0.01319673313</v>
      </c>
      <c r="M187" s="43">
        <f t="shared" si="4"/>
        <v>-0.5182406425</v>
      </c>
      <c r="N187" s="12" t="s">
        <v>5555</v>
      </c>
      <c r="O187" s="12" t="s">
        <v>5556</v>
      </c>
      <c r="P187" s="43">
        <f t="shared" si="5"/>
        <v>4.641600235</v>
      </c>
      <c r="Q187" s="43">
        <f t="shared" si="6"/>
        <v>3.735630235</v>
      </c>
      <c r="R187" s="12" t="s">
        <v>5557</v>
      </c>
      <c r="S187" s="12" t="s">
        <v>5558</v>
      </c>
      <c r="T187" s="43">
        <f t="shared" si="7"/>
        <v>47.41164694</v>
      </c>
      <c r="U187" s="43">
        <f t="shared" si="8"/>
        <v>0.4417875</v>
      </c>
      <c r="V187" s="12" t="s">
        <v>839</v>
      </c>
      <c r="W187" s="12" t="s">
        <v>5559</v>
      </c>
      <c r="X187" s="12" t="s">
        <v>841</v>
      </c>
      <c r="Y187" s="12" t="s">
        <v>841</v>
      </c>
      <c r="Z187" s="12" t="s">
        <v>841</v>
      </c>
      <c r="AA187" s="12" t="s">
        <v>5560</v>
      </c>
      <c r="AB187" s="12" t="s">
        <v>5561</v>
      </c>
      <c r="AC187" s="12" t="s">
        <v>5562</v>
      </c>
      <c r="AD187" s="12" t="s">
        <v>845</v>
      </c>
      <c r="AE187" s="12" t="s">
        <v>846</v>
      </c>
      <c r="AF187" s="43">
        <f t="shared" si="9"/>
        <v>23.3088216</v>
      </c>
      <c r="AG187" s="12" t="s">
        <v>847</v>
      </c>
      <c r="AH187" s="12" t="s">
        <v>5563</v>
      </c>
      <c r="AI187" s="12" t="s">
        <v>5510</v>
      </c>
      <c r="AJ187" s="12" t="s">
        <v>4033</v>
      </c>
      <c r="AK187" s="12" t="s">
        <v>5564</v>
      </c>
      <c r="AL187" s="43">
        <f t="shared" si="10"/>
        <v>31.5</v>
      </c>
      <c r="AM187" s="12" t="s">
        <v>5513</v>
      </c>
      <c r="AN187" s="12" t="s">
        <v>914</v>
      </c>
      <c r="AO187" s="12" t="s">
        <v>5565</v>
      </c>
      <c r="AP187" s="12" t="s">
        <v>5566</v>
      </c>
      <c r="AQ187" s="12" t="s">
        <v>5567</v>
      </c>
      <c r="AR187" s="12" t="s">
        <v>5568</v>
      </c>
      <c r="AS187" s="12" t="s">
        <v>5516</v>
      </c>
      <c r="AT187" s="12" t="s">
        <v>366</v>
      </c>
      <c r="AU187" s="12" t="s">
        <v>5517</v>
      </c>
      <c r="AV187" s="12" t="s">
        <v>832</v>
      </c>
      <c r="AW187" s="12" t="s">
        <v>1226</v>
      </c>
      <c r="AX187" s="12" t="s">
        <v>1598</v>
      </c>
      <c r="AY187" s="12" t="s">
        <v>4859</v>
      </c>
      <c r="AZ187" s="12" t="s">
        <v>5569</v>
      </c>
      <c r="BA187" s="12" t="s">
        <v>1570</v>
      </c>
      <c r="BB187" s="12" t="s">
        <v>5570</v>
      </c>
      <c r="BC187" s="12" t="s">
        <v>866</v>
      </c>
      <c r="BD187" s="12" t="s">
        <v>867</v>
      </c>
      <c r="BE187" s="12" t="s">
        <v>868</v>
      </c>
      <c r="BF187" s="12" t="s">
        <v>869</v>
      </c>
      <c r="BG187" s="12" t="s">
        <v>870</v>
      </c>
      <c r="BH187" s="12" t="s">
        <v>841</v>
      </c>
      <c r="BI187" s="12" t="s">
        <v>871</v>
      </c>
      <c r="BJ187" s="12" t="s">
        <v>841</v>
      </c>
      <c r="BK187" s="12" t="s">
        <v>841</v>
      </c>
      <c r="BL187" s="12" t="s">
        <v>872</v>
      </c>
      <c r="BM187" s="12" t="s">
        <v>873</v>
      </c>
      <c r="BN187" s="12" t="s">
        <v>866</v>
      </c>
      <c r="BO187" s="12" t="s">
        <v>874</v>
      </c>
      <c r="BP187" s="12" t="s">
        <v>875</v>
      </c>
      <c r="BQ187" s="12" t="s">
        <v>876</v>
      </c>
      <c r="BR187" s="12" t="s">
        <v>869</v>
      </c>
      <c r="BS187" s="12" t="s">
        <v>869</v>
      </c>
      <c r="BT187" s="12" t="s">
        <v>877</v>
      </c>
      <c r="BU187" s="12" t="s">
        <v>877</v>
      </c>
      <c r="BV187" s="12" t="s">
        <v>877</v>
      </c>
      <c r="BW187" s="12" t="s">
        <v>841</v>
      </c>
      <c r="BX187" s="12" t="s">
        <v>878</v>
      </c>
      <c r="BY187" s="12" t="s">
        <v>841</v>
      </c>
      <c r="BZ187" s="12" t="s">
        <v>841</v>
      </c>
      <c r="CA187" s="12" t="s">
        <v>841</v>
      </c>
      <c r="CB187" s="12" t="s">
        <v>841</v>
      </c>
      <c r="CC187" s="12" t="s">
        <v>5571</v>
      </c>
      <c r="CD187" s="12" t="s">
        <v>5572</v>
      </c>
      <c r="CE187" s="12" t="s">
        <v>5573</v>
      </c>
      <c r="CF187" s="12" t="s">
        <v>5574</v>
      </c>
      <c r="CG187" s="12" t="s">
        <v>5575</v>
      </c>
      <c r="CH187" s="12" t="s">
        <v>5576</v>
      </c>
      <c r="CI187" s="12" t="s">
        <v>5577</v>
      </c>
      <c r="CJ187" s="12" t="s">
        <v>5578</v>
      </c>
      <c r="CK187" s="12" t="s">
        <v>5560</v>
      </c>
      <c r="CL187" s="12" t="s">
        <v>1893</v>
      </c>
      <c r="CM187" s="12" t="s">
        <v>888</v>
      </c>
      <c r="CN187" s="12" t="s">
        <v>841</v>
      </c>
      <c r="CO187" s="12" t="s">
        <v>847</v>
      </c>
      <c r="CP187" s="12" t="s">
        <v>889</v>
      </c>
      <c r="CQ187" s="12" t="s">
        <v>890</v>
      </c>
      <c r="CR187" s="12" t="s">
        <v>847</v>
      </c>
      <c r="CS187" s="12" t="s">
        <v>891</v>
      </c>
      <c r="CT187" s="12" t="s">
        <v>892</v>
      </c>
      <c r="CU187" s="12" t="s">
        <v>893</v>
      </c>
      <c r="CV187" s="12" t="s">
        <v>841</v>
      </c>
      <c r="CW187" s="12" t="s">
        <v>5559</v>
      </c>
      <c r="CX187" s="12" t="s">
        <v>894</v>
      </c>
      <c r="CY187" s="12" t="s">
        <v>895</v>
      </c>
      <c r="CZ187" s="12" t="s">
        <v>896</v>
      </c>
      <c r="DA187" s="12" t="s">
        <v>897</v>
      </c>
      <c r="DB187" s="12" t="s">
        <v>898</v>
      </c>
      <c r="DC187" s="12" t="s">
        <v>899</v>
      </c>
    </row>
    <row r="188">
      <c r="A188" s="12" t="s">
        <v>968</v>
      </c>
      <c r="B188" s="12" t="s">
        <v>556</v>
      </c>
      <c r="C188" s="12" t="s">
        <v>366</v>
      </c>
      <c r="D188" s="12" t="s">
        <v>833</v>
      </c>
      <c r="E188" s="12" t="s">
        <v>834</v>
      </c>
      <c r="F188" s="12"/>
      <c r="G188" s="12" t="s">
        <v>364</v>
      </c>
      <c r="H188" s="12" t="s">
        <v>555</v>
      </c>
      <c r="I188" s="12"/>
      <c r="J188" s="43">
        <f t="shared" si="1"/>
        <v>-0.0162431575</v>
      </c>
      <c r="K188" s="43">
        <f t="shared" si="2"/>
        <v>2.91139968</v>
      </c>
      <c r="L188" s="43">
        <f t="shared" si="3"/>
        <v>-0.01633428907</v>
      </c>
      <c r="M188" s="43">
        <f t="shared" si="4"/>
        <v>-0.619356885</v>
      </c>
      <c r="N188" s="12" t="s">
        <v>5579</v>
      </c>
      <c r="O188" s="12" t="s">
        <v>5580</v>
      </c>
      <c r="P188" s="43">
        <f t="shared" si="5"/>
        <v>4.424655763</v>
      </c>
      <c r="Q188" s="43">
        <f t="shared" si="6"/>
        <v>3.613241763</v>
      </c>
      <c r="R188" s="12" t="s">
        <v>5581</v>
      </c>
      <c r="S188" s="12" t="s">
        <v>5582</v>
      </c>
      <c r="T188" s="43">
        <f t="shared" si="7"/>
        <v>45.19105058</v>
      </c>
      <c r="U188" s="43">
        <f t="shared" si="8"/>
        <v>0.4417875</v>
      </c>
      <c r="V188" s="12" t="s">
        <v>839</v>
      </c>
      <c r="W188" s="12" t="s">
        <v>5583</v>
      </c>
      <c r="X188" s="12" t="s">
        <v>841</v>
      </c>
      <c r="Y188" s="12" t="s">
        <v>841</v>
      </c>
      <c r="Z188" s="12" t="s">
        <v>841</v>
      </c>
      <c r="AA188" s="12" t="s">
        <v>5584</v>
      </c>
      <c r="AB188" s="12" t="s">
        <v>5585</v>
      </c>
      <c r="AC188" s="12" t="s">
        <v>5586</v>
      </c>
      <c r="AD188" s="12" t="s">
        <v>845</v>
      </c>
      <c r="AE188" s="12" t="s">
        <v>846</v>
      </c>
      <c r="AF188" s="43">
        <f t="shared" si="9"/>
        <v>12.55758</v>
      </c>
      <c r="AG188" s="12" t="s">
        <v>847</v>
      </c>
      <c r="AH188" s="12" t="s">
        <v>5587</v>
      </c>
      <c r="AI188" s="12" t="s">
        <v>5588</v>
      </c>
      <c r="AJ188" s="12" t="s">
        <v>5589</v>
      </c>
      <c r="AK188" s="12" t="s">
        <v>5590</v>
      </c>
      <c r="AL188" s="43">
        <f t="shared" si="10"/>
        <v>30.66</v>
      </c>
      <c r="AM188" s="12" t="s">
        <v>5591</v>
      </c>
      <c r="AN188" s="12" t="s">
        <v>1337</v>
      </c>
      <c r="AO188" s="12" t="s">
        <v>5592</v>
      </c>
      <c r="AP188" s="12" t="s">
        <v>5593</v>
      </c>
      <c r="AQ188" s="12" t="s">
        <v>2218</v>
      </c>
      <c r="AR188" s="12" t="s">
        <v>5594</v>
      </c>
      <c r="AS188" s="12" t="s">
        <v>5595</v>
      </c>
      <c r="AT188" s="12" t="s">
        <v>366</v>
      </c>
      <c r="AU188" s="12" t="s">
        <v>5596</v>
      </c>
      <c r="AV188" s="12" t="s">
        <v>832</v>
      </c>
      <c r="AW188" s="12" t="s">
        <v>860</v>
      </c>
      <c r="AX188" s="12" t="s">
        <v>860</v>
      </c>
      <c r="AY188" s="12" t="s">
        <v>1164</v>
      </c>
      <c r="AZ188" s="12" t="s">
        <v>5597</v>
      </c>
      <c r="BA188" s="12" t="s">
        <v>5598</v>
      </c>
      <c r="BB188" s="12" t="s">
        <v>5599</v>
      </c>
      <c r="BC188" s="12" t="s">
        <v>866</v>
      </c>
      <c r="BD188" s="12" t="s">
        <v>867</v>
      </c>
      <c r="BE188" s="12" t="s">
        <v>868</v>
      </c>
      <c r="BF188" s="12" t="s">
        <v>869</v>
      </c>
      <c r="BG188" s="12" t="s">
        <v>870</v>
      </c>
      <c r="BH188" s="12" t="s">
        <v>841</v>
      </c>
      <c r="BI188" s="12" t="s">
        <v>871</v>
      </c>
      <c r="BJ188" s="12" t="s">
        <v>841</v>
      </c>
      <c r="BK188" s="12" t="s">
        <v>841</v>
      </c>
      <c r="BL188" s="12" t="s">
        <v>872</v>
      </c>
      <c r="BM188" s="12" t="s">
        <v>873</v>
      </c>
      <c r="BN188" s="12" t="s">
        <v>866</v>
      </c>
      <c r="BO188" s="12" t="s">
        <v>874</v>
      </c>
      <c r="BP188" s="12" t="s">
        <v>875</v>
      </c>
      <c r="BQ188" s="12" t="s">
        <v>876</v>
      </c>
      <c r="BR188" s="12" t="s">
        <v>869</v>
      </c>
      <c r="BS188" s="12" t="s">
        <v>869</v>
      </c>
      <c r="BT188" s="12" t="s">
        <v>877</v>
      </c>
      <c r="BU188" s="12" t="s">
        <v>877</v>
      </c>
      <c r="BV188" s="12" t="s">
        <v>877</v>
      </c>
      <c r="BW188" s="12" t="s">
        <v>841</v>
      </c>
      <c r="BX188" s="12" t="s">
        <v>878</v>
      </c>
      <c r="BY188" s="12" t="s">
        <v>841</v>
      </c>
      <c r="BZ188" s="12" t="s">
        <v>841</v>
      </c>
      <c r="CA188" s="12" t="s">
        <v>841</v>
      </c>
      <c r="CB188" s="12" t="s">
        <v>841</v>
      </c>
      <c r="CC188" s="12" t="s">
        <v>5600</v>
      </c>
      <c r="CD188" s="12" t="s">
        <v>5601</v>
      </c>
      <c r="CE188" s="12" t="s">
        <v>5602</v>
      </c>
      <c r="CF188" s="12" t="s">
        <v>5603</v>
      </c>
      <c r="CG188" s="12" t="s">
        <v>5604</v>
      </c>
      <c r="CH188" s="12" t="s">
        <v>5605</v>
      </c>
      <c r="CI188" s="12" t="s">
        <v>5606</v>
      </c>
      <c r="CJ188" s="12" t="s">
        <v>5607</v>
      </c>
      <c r="CK188" s="12" t="s">
        <v>5584</v>
      </c>
      <c r="CL188" s="12" t="s">
        <v>2231</v>
      </c>
      <c r="CM188" s="12" t="s">
        <v>888</v>
      </c>
      <c r="CN188" s="12" t="s">
        <v>841</v>
      </c>
      <c r="CO188" s="12" t="s">
        <v>847</v>
      </c>
      <c r="CP188" s="12" t="s">
        <v>889</v>
      </c>
      <c r="CQ188" s="12" t="s">
        <v>890</v>
      </c>
      <c r="CR188" s="12" t="s">
        <v>847</v>
      </c>
      <c r="CS188" s="12" t="s">
        <v>891</v>
      </c>
      <c r="CT188" s="12" t="s">
        <v>892</v>
      </c>
      <c r="CU188" s="12" t="s">
        <v>893</v>
      </c>
      <c r="CV188" s="12" t="s">
        <v>841</v>
      </c>
      <c r="CW188" s="12" t="s">
        <v>5583</v>
      </c>
      <c r="CX188" s="12" t="s">
        <v>894</v>
      </c>
      <c r="CY188" s="12" t="s">
        <v>895</v>
      </c>
      <c r="CZ188" s="12" t="s">
        <v>896</v>
      </c>
      <c r="DA188" s="12" t="s">
        <v>897</v>
      </c>
      <c r="DB188" s="12" t="s">
        <v>898</v>
      </c>
      <c r="DC188" s="12" t="s">
        <v>899</v>
      </c>
    </row>
    <row r="189">
      <c r="A189" s="12" t="s">
        <v>997</v>
      </c>
      <c r="B189" s="12" t="s">
        <v>557</v>
      </c>
      <c r="C189" s="12" t="s">
        <v>366</v>
      </c>
      <c r="D189" s="12" t="s">
        <v>833</v>
      </c>
      <c r="E189" s="12" t="s">
        <v>834</v>
      </c>
      <c r="F189" s="12"/>
      <c r="G189" s="12" t="s">
        <v>364</v>
      </c>
      <c r="H189" s="12" t="s">
        <v>555</v>
      </c>
      <c r="I189" s="12"/>
      <c r="J189" s="43">
        <f t="shared" si="1"/>
        <v>-0.00619671519</v>
      </c>
      <c r="K189" s="43">
        <f t="shared" si="2"/>
        <v>2.909022</v>
      </c>
      <c r="L189" s="43">
        <f t="shared" si="3"/>
        <v>-0.006209943433</v>
      </c>
      <c r="M189" s="43">
        <f t="shared" si="4"/>
        <v>-0.2454858591</v>
      </c>
      <c r="N189" s="12" t="s">
        <v>5608</v>
      </c>
      <c r="O189" s="12" t="s">
        <v>5609</v>
      </c>
      <c r="P189" s="43">
        <f t="shared" si="5"/>
        <v>4.599577656</v>
      </c>
      <c r="Q189" s="43">
        <f t="shared" si="6"/>
        <v>3.762273656</v>
      </c>
      <c r="R189" s="12" t="s">
        <v>5610</v>
      </c>
      <c r="S189" s="12" t="s">
        <v>5611</v>
      </c>
      <c r="T189" s="43">
        <f t="shared" si="7"/>
        <v>46.98720662</v>
      </c>
      <c r="U189" s="43">
        <f t="shared" si="8"/>
        <v>0.4417875</v>
      </c>
      <c r="V189" s="12" t="s">
        <v>839</v>
      </c>
      <c r="W189" s="12" t="s">
        <v>5612</v>
      </c>
      <c r="X189" s="12" t="s">
        <v>841</v>
      </c>
      <c r="Y189" s="12" t="s">
        <v>841</v>
      </c>
      <c r="Z189" s="12" t="s">
        <v>841</v>
      </c>
      <c r="AA189" s="12" t="s">
        <v>5613</v>
      </c>
      <c r="AB189" s="12" t="s">
        <v>5614</v>
      </c>
      <c r="AC189" s="12" t="s">
        <v>5615</v>
      </c>
      <c r="AD189" s="12" t="s">
        <v>845</v>
      </c>
      <c r="AE189" s="12" t="s">
        <v>846</v>
      </c>
      <c r="AF189" s="43">
        <f t="shared" si="9"/>
        <v>13.896584</v>
      </c>
      <c r="AG189" s="12" t="s">
        <v>847</v>
      </c>
      <c r="AH189" s="12" t="s">
        <v>5327</v>
      </c>
      <c r="AI189" s="12" t="s">
        <v>4998</v>
      </c>
      <c r="AJ189" s="12" t="s">
        <v>5616</v>
      </c>
      <c r="AK189" s="12" t="s">
        <v>5399</v>
      </c>
      <c r="AL189" s="43">
        <f t="shared" si="10"/>
        <v>31.34</v>
      </c>
      <c r="AM189" s="12" t="s">
        <v>5617</v>
      </c>
      <c r="AN189" s="12" t="s">
        <v>1072</v>
      </c>
      <c r="AO189" s="12" t="s">
        <v>3310</v>
      </c>
      <c r="AP189" s="12" t="s">
        <v>3311</v>
      </c>
      <c r="AQ189" s="12" t="s">
        <v>4858</v>
      </c>
      <c r="AR189" s="12" t="s">
        <v>5594</v>
      </c>
      <c r="AS189" s="12" t="s">
        <v>5595</v>
      </c>
      <c r="AT189" s="12" t="s">
        <v>366</v>
      </c>
      <c r="AU189" s="12" t="s">
        <v>5596</v>
      </c>
      <c r="AV189" s="12" t="s">
        <v>832</v>
      </c>
      <c r="AW189" s="12" t="s">
        <v>1164</v>
      </c>
      <c r="AX189" s="12" t="s">
        <v>919</v>
      </c>
      <c r="AY189" s="12" t="s">
        <v>1047</v>
      </c>
      <c r="AZ189" s="12" t="s">
        <v>5618</v>
      </c>
      <c r="BA189" s="12" t="s">
        <v>5619</v>
      </c>
      <c r="BB189" s="12" t="s">
        <v>5620</v>
      </c>
      <c r="BC189" s="12" t="s">
        <v>866</v>
      </c>
      <c r="BD189" s="12" t="s">
        <v>867</v>
      </c>
      <c r="BE189" s="12" t="s">
        <v>868</v>
      </c>
      <c r="BF189" s="12" t="s">
        <v>869</v>
      </c>
      <c r="BG189" s="12" t="s">
        <v>870</v>
      </c>
      <c r="BH189" s="12" t="s">
        <v>841</v>
      </c>
      <c r="BI189" s="12" t="s">
        <v>871</v>
      </c>
      <c r="BJ189" s="12" t="s">
        <v>841</v>
      </c>
      <c r="BK189" s="12" t="s">
        <v>841</v>
      </c>
      <c r="BL189" s="12" t="s">
        <v>872</v>
      </c>
      <c r="BM189" s="12" t="s">
        <v>873</v>
      </c>
      <c r="BN189" s="12" t="s">
        <v>866</v>
      </c>
      <c r="BO189" s="12" t="s">
        <v>874</v>
      </c>
      <c r="BP189" s="12" t="s">
        <v>875</v>
      </c>
      <c r="BQ189" s="12" t="s">
        <v>876</v>
      </c>
      <c r="BR189" s="12" t="s">
        <v>869</v>
      </c>
      <c r="BS189" s="12" t="s">
        <v>869</v>
      </c>
      <c r="BT189" s="12" t="s">
        <v>877</v>
      </c>
      <c r="BU189" s="12" t="s">
        <v>877</v>
      </c>
      <c r="BV189" s="12" t="s">
        <v>877</v>
      </c>
      <c r="BW189" s="12" t="s">
        <v>841</v>
      </c>
      <c r="BX189" s="12" t="s">
        <v>878</v>
      </c>
      <c r="BY189" s="12" t="s">
        <v>841</v>
      </c>
      <c r="BZ189" s="12" t="s">
        <v>841</v>
      </c>
      <c r="CA189" s="12" t="s">
        <v>841</v>
      </c>
      <c r="CB189" s="12" t="s">
        <v>841</v>
      </c>
      <c r="CC189" s="12" t="s">
        <v>5621</v>
      </c>
      <c r="CD189" s="12" t="s">
        <v>5622</v>
      </c>
      <c r="CE189" s="12" t="s">
        <v>5623</v>
      </c>
      <c r="CF189" s="12" t="s">
        <v>5624</v>
      </c>
      <c r="CG189" s="12" t="s">
        <v>5625</v>
      </c>
      <c r="CH189" s="12" t="s">
        <v>5626</v>
      </c>
      <c r="CI189" s="12" t="s">
        <v>5627</v>
      </c>
      <c r="CJ189" s="12" t="s">
        <v>5628</v>
      </c>
      <c r="CK189" s="12" t="s">
        <v>5629</v>
      </c>
      <c r="CL189" s="12" t="s">
        <v>1093</v>
      </c>
      <c r="CM189" s="12" t="s">
        <v>888</v>
      </c>
      <c r="CN189" s="12" t="s">
        <v>841</v>
      </c>
      <c r="CO189" s="12" t="s">
        <v>847</v>
      </c>
      <c r="CP189" s="12" t="s">
        <v>889</v>
      </c>
      <c r="CQ189" s="12" t="s">
        <v>890</v>
      </c>
      <c r="CR189" s="12" t="s">
        <v>847</v>
      </c>
      <c r="CS189" s="12" t="s">
        <v>891</v>
      </c>
      <c r="CT189" s="12" t="s">
        <v>892</v>
      </c>
      <c r="CU189" s="12" t="s">
        <v>893</v>
      </c>
      <c r="CV189" s="12" t="s">
        <v>841</v>
      </c>
      <c r="CW189" s="12" t="s">
        <v>5612</v>
      </c>
      <c r="CX189" s="12" t="s">
        <v>894</v>
      </c>
      <c r="CY189" s="12" t="s">
        <v>895</v>
      </c>
      <c r="CZ189" s="12" t="s">
        <v>896</v>
      </c>
      <c r="DA189" s="12" t="s">
        <v>897</v>
      </c>
      <c r="DB189" s="12" t="s">
        <v>898</v>
      </c>
      <c r="DC189" s="12" t="s">
        <v>899</v>
      </c>
    </row>
    <row r="190">
      <c r="A190" s="12" t="s">
        <v>1029</v>
      </c>
      <c r="B190" s="12" t="s">
        <v>558</v>
      </c>
      <c r="C190" s="12" t="s">
        <v>366</v>
      </c>
      <c r="D190" s="12" t="s">
        <v>833</v>
      </c>
      <c r="E190" s="12" t="s">
        <v>834</v>
      </c>
      <c r="F190" s="12"/>
      <c r="G190" s="12" t="s">
        <v>364</v>
      </c>
      <c r="H190" s="12" t="s">
        <v>555</v>
      </c>
      <c r="I190" s="12"/>
      <c r="J190" s="43">
        <f t="shared" si="1"/>
        <v>-0.001926816525</v>
      </c>
      <c r="K190" s="43">
        <f t="shared" si="2"/>
        <v>2.90981592</v>
      </c>
      <c r="L190" s="43">
        <f t="shared" si="3"/>
        <v>-0.001928093266</v>
      </c>
      <c r="M190" s="43">
        <f t="shared" si="4"/>
        <v>-0.07862988035</v>
      </c>
      <c r="N190" s="12" t="s">
        <v>5630</v>
      </c>
      <c r="O190" s="12" t="s">
        <v>5631</v>
      </c>
      <c r="P190" s="43">
        <f t="shared" si="5"/>
        <v>4.718618813</v>
      </c>
      <c r="Q190" s="43">
        <f t="shared" si="6"/>
        <v>3.878292813</v>
      </c>
      <c r="R190" s="12" t="s">
        <v>5632</v>
      </c>
      <c r="S190" s="12" t="s">
        <v>5633</v>
      </c>
      <c r="T190" s="43">
        <f t="shared" si="7"/>
        <v>48.20820202</v>
      </c>
      <c r="U190" s="43">
        <f t="shared" si="8"/>
        <v>0.4417875</v>
      </c>
      <c r="V190" s="12" t="s">
        <v>839</v>
      </c>
      <c r="W190" s="12" t="s">
        <v>5634</v>
      </c>
      <c r="X190" s="12" t="s">
        <v>841</v>
      </c>
      <c r="Y190" s="12" t="s">
        <v>841</v>
      </c>
      <c r="Z190" s="12" t="s">
        <v>841</v>
      </c>
      <c r="AA190" s="12" t="s">
        <v>5635</v>
      </c>
      <c r="AB190" s="12" t="s">
        <v>5636</v>
      </c>
      <c r="AC190" s="12" t="s">
        <v>5637</v>
      </c>
      <c r="AD190" s="12" t="s">
        <v>845</v>
      </c>
      <c r="AE190" s="12" t="s">
        <v>846</v>
      </c>
      <c r="AF190" s="43">
        <f t="shared" si="9"/>
        <v>13.6500016</v>
      </c>
      <c r="AG190" s="12" t="s">
        <v>847</v>
      </c>
      <c r="AH190" s="12" t="s">
        <v>5099</v>
      </c>
      <c r="AI190" s="12" t="s">
        <v>4998</v>
      </c>
      <c r="AJ190" s="12" t="s">
        <v>5638</v>
      </c>
      <c r="AK190" s="12" t="s">
        <v>4368</v>
      </c>
      <c r="AL190" s="43">
        <f t="shared" si="10"/>
        <v>31.79</v>
      </c>
      <c r="AM190" s="12" t="s">
        <v>5639</v>
      </c>
      <c r="AN190" s="12" t="s">
        <v>914</v>
      </c>
      <c r="AO190" s="12" t="s">
        <v>5640</v>
      </c>
      <c r="AP190" s="12" t="s">
        <v>5641</v>
      </c>
      <c r="AQ190" s="12" t="s">
        <v>1370</v>
      </c>
      <c r="AR190" s="12" t="s">
        <v>5642</v>
      </c>
      <c r="AS190" s="12" t="s">
        <v>5595</v>
      </c>
      <c r="AT190" s="12" t="s">
        <v>366</v>
      </c>
      <c r="AU190" s="12" t="s">
        <v>5596</v>
      </c>
      <c r="AV190" s="12" t="s">
        <v>832</v>
      </c>
      <c r="AW190" s="12" t="s">
        <v>1286</v>
      </c>
      <c r="AX190" s="12" t="s">
        <v>1164</v>
      </c>
      <c r="AY190" s="12" t="s">
        <v>868</v>
      </c>
      <c r="AZ190" s="12" t="s">
        <v>5643</v>
      </c>
      <c r="BA190" s="12" t="s">
        <v>5644</v>
      </c>
      <c r="BB190" s="12" t="s">
        <v>868</v>
      </c>
      <c r="BC190" s="12" t="s">
        <v>866</v>
      </c>
      <c r="BD190" s="12" t="s">
        <v>867</v>
      </c>
      <c r="BE190" s="12" t="s">
        <v>868</v>
      </c>
      <c r="BF190" s="12" t="s">
        <v>869</v>
      </c>
      <c r="BG190" s="12" t="s">
        <v>870</v>
      </c>
      <c r="BH190" s="12" t="s">
        <v>841</v>
      </c>
      <c r="BI190" s="12" t="s">
        <v>871</v>
      </c>
      <c r="BJ190" s="12" t="s">
        <v>841</v>
      </c>
      <c r="BK190" s="12" t="s">
        <v>841</v>
      </c>
      <c r="BL190" s="12" t="s">
        <v>872</v>
      </c>
      <c r="BM190" s="12" t="s">
        <v>873</v>
      </c>
      <c r="BN190" s="12" t="s">
        <v>866</v>
      </c>
      <c r="BO190" s="12" t="s">
        <v>874</v>
      </c>
      <c r="BP190" s="12" t="s">
        <v>875</v>
      </c>
      <c r="BQ190" s="12" t="s">
        <v>876</v>
      </c>
      <c r="BR190" s="12" t="s">
        <v>869</v>
      </c>
      <c r="BS190" s="12" t="s">
        <v>869</v>
      </c>
      <c r="BT190" s="12" t="s">
        <v>877</v>
      </c>
      <c r="BU190" s="12" t="s">
        <v>877</v>
      </c>
      <c r="BV190" s="12" t="s">
        <v>877</v>
      </c>
      <c r="BW190" s="12" t="s">
        <v>841</v>
      </c>
      <c r="BX190" s="12" t="s">
        <v>878</v>
      </c>
      <c r="BY190" s="12" t="s">
        <v>841</v>
      </c>
      <c r="BZ190" s="12" t="s">
        <v>841</v>
      </c>
      <c r="CA190" s="12" t="s">
        <v>841</v>
      </c>
      <c r="CB190" s="12" t="s">
        <v>841</v>
      </c>
      <c r="CC190" s="12" t="s">
        <v>5645</v>
      </c>
      <c r="CD190" s="12" t="s">
        <v>5646</v>
      </c>
      <c r="CE190" s="12" t="s">
        <v>5647</v>
      </c>
      <c r="CF190" s="12" t="s">
        <v>5648</v>
      </c>
      <c r="CG190" s="12" t="s">
        <v>5649</v>
      </c>
      <c r="CH190" s="12" t="s">
        <v>5650</v>
      </c>
      <c r="CI190" s="12" t="s">
        <v>5651</v>
      </c>
      <c r="CJ190" s="12" t="s">
        <v>5652</v>
      </c>
      <c r="CK190" s="12" t="s">
        <v>5635</v>
      </c>
      <c r="CL190" s="12" t="s">
        <v>1093</v>
      </c>
      <c r="CM190" s="12" t="s">
        <v>888</v>
      </c>
      <c r="CN190" s="12" t="s">
        <v>841</v>
      </c>
      <c r="CO190" s="12" t="s">
        <v>847</v>
      </c>
      <c r="CP190" s="12" t="s">
        <v>889</v>
      </c>
      <c r="CQ190" s="12" t="s">
        <v>890</v>
      </c>
      <c r="CR190" s="12" t="s">
        <v>847</v>
      </c>
      <c r="CS190" s="12" t="s">
        <v>891</v>
      </c>
      <c r="CT190" s="12" t="s">
        <v>892</v>
      </c>
      <c r="CU190" s="12" t="s">
        <v>893</v>
      </c>
      <c r="CV190" s="12" t="s">
        <v>841</v>
      </c>
      <c r="CW190" s="12" t="s">
        <v>5634</v>
      </c>
      <c r="CX190" s="12" t="s">
        <v>894</v>
      </c>
      <c r="CY190" s="12" t="s">
        <v>895</v>
      </c>
      <c r="CZ190" s="12" t="s">
        <v>896</v>
      </c>
      <c r="DA190" s="12" t="s">
        <v>897</v>
      </c>
      <c r="DB190" s="12" t="s">
        <v>898</v>
      </c>
      <c r="DC190" s="12" t="s">
        <v>899</v>
      </c>
    </row>
    <row r="191">
      <c r="A191" s="12" t="s">
        <v>1058</v>
      </c>
      <c r="B191" s="12" t="s">
        <v>560</v>
      </c>
      <c r="C191" s="12" t="s">
        <v>366</v>
      </c>
      <c r="D191" s="12" t="s">
        <v>833</v>
      </c>
      <c r="E191" s="12" t="s">
        <v>834</v>
      </c>
      <c r="F191" s="12"/>
      <c r="G191" s="12" t="s">
        <v>364</v>
      </c>
      <c r="H191" s="12" t="s">
        <v>559</v>
      </c>
      <c r="I191" s="12"/>
      <c r="J191" s="43">
        <f t="shared" si="1"/>
        <v>-0.02994581351</v>
      </c>
      <c r="K191" s="43">
        <f t="shared" si="2"/>
        <v>2.909022</v>
      </c>
      <c r="L191" s="43">
        <f t="shared" si="3"/>
        <v>-0.03025728556</v>
      </c>
      <c r="M191" s="43">
        <f t="shared" si="4"/>
        <v>-0.465692511</v>
      </c>
      <c r="N191" s="12" t="s">
        <v>5653</v>
      </c>
      <c r="O191" s="12" t="s">
        <v>5654</v>
      </c>
      <c r="P191" s="43">
        <f t="shared" si="5"/>
        <v>2.319145122</v>
      </c>
      <c r="Q191" s="43">
        <f t="shared" si="6"/>
        <v>1.482058122</v>
      </c>
      <c r="R191" s="12" t="s">
        <v>5655</v>
      </c>
      <c r="S191" s="12" t="s">
        <v>5656</v>
      </c>
      <c r="T191" s="43">
        <f t="shared" si="7"/>
        <v>23.69617985</v>
      </c>
      <c r="U191" s="43">
        <f t="shared" si="8"/>
        <v>0.4417875</v>
      </c>
      <c r="V191" s="12" t="s">
        <v>839</v>
      </c>
      <c r="W191" s="12" t="s">
        <v>5657</v>
      </c>
      <c r="X191" s="12" t="s">
        <v>841</v>
      </c>
      <c r="Y191" s="12" t="s">
        <v>841</v>
      </c>
      <c r="Z191" s="12" t="s">
        <v>841</v>
      </c>
      <c r="AA191" s="12" t="s">
        <v>5658</v>
      </c>
      <c r="AB191" s="12" t="s">
        <v>5659</v>
      </c>
      <c r="AC191" s="12" t="s">
        <v>5660</v>
      </c>
      <c r="AD191" s="12" t="s">
        <v>845</v>
      </c>
      <c r="AE191" s="12" t="s">
        <v>846</v>
      </c>
      <c r="AF191" s="43">
        <f t="shared" si="9"/>
        <v>17.5607824</v>
      </c>
      <c r="AG191" s="12" t="s">
        <v>847</v>
      </c>
      <c r="AH191" s="12" t="s">
        <v>4879</v>
      </c>
      <c r="AI191" s="12" t="s">
        <v>5661</v>
      </c>
      <c r="AJ191" s="12" t="s">
        <v>5662</v>
      </c>
      <c r="AK191" s="12" t="s">
        <v>5663</v>
      </c>
      <c r="AL191" s="43">
        <f t="shared" si="10"/>
        <v>19.81</v>
      </c>
      <c r="AM191" s="12" t="s">
        <v>5664</v>
      </c>
      <c r="AN191" s="12" t="s">
        <v>1072</v>
      </c>
      <c r="AO191" s="12" t="s">
        <v>5665</v>
      </c>
      <c r="AP191" s="12" t="s">
        <v>5666</v>
      </c>
      <c r="AQ191" s="12" t="s">
        <v>5667</v>
      </c>
      <c r="AR191" s="12" t="s">
        <v>5668</v>
      </c>
      <c r="AS191" s="12" t="s">
        <v>5595</v>
      </c>
      <c r="AT191" s="12" t="s">
        <v>366</v>
      </c>
      <c r="AU191" s="12" t="s">
        <v>5596</v>
      </c>
      <c r="AV191" s="12" t="s">
        <v>832</v>
      </c>
      <c r="AW191" s="12" t="s">
        <v>1342</v>
      </c>
      <c r="AX191" s="12" t="s">
        <v>1226</v>
      </c>
      <c r="AY191" s="12" t="s">
        <v>4807</v>
      </c>
      <c r="AZ191" s="12" t="s">
        <v>5669</v>
      </c>
      <c r="BA191" s="12" t="s">
        <v>5670</v>
      </c>
      <c r="BB191" s="12" t="s">
        <v>5671</v>
      </c>
      <c r="BC191" s="12" t="s">
        <v>866</v>
      </c>
      <c r="BD191" s="12" t="s">
        <v>867</v>
      </c>
      <c r="BE191" s="12" t="s">
        <v>868</v>
      </c>
      <c r="BF191" s="12" t="s">
        <v>869</v>
      </c>
      <c r="BG191" s="12" t="s">
        <v>870</v>
      </c>
      <c r="BH191" s="12" t="s">
        <v>841</v>
      </c>
      <c r="BI191" s="12" t="s">
        <v>871</v>
      </c>
      <c r="BJ191" s="12" t="s">
        <v>841</v>
      </c>
      <c r="BK191" s="12" t="s">
        <v>841</v>
      </c>
      <c r="BL191" s="12" t="s">
        <v>872</v>
      </c>
      <c r="BM191" s="12" t="s">
        <v>873</v>
      </c>
      <c r="BN191" s="12" t="s">
        <v>866</v>
      </c>
      <c r="BO191" s="12" t="s">
        <v>874</v>
      </c>
      <c r="BP191" s="12" t="s">
        <v>875</v>
      </c>
      <c r="BQ191" s="12" t="s">
        <v>876</v>
      </c>
      <c r="BR191" s="12" t="s">
        <v>869</v>
      </c>
      <c r="BS191" s="12" t="s">
        <v>869</v>
      </c>
      <c r="BT191" s="12" t="s">
        <v>877</v>
      </c>
      <c r="BU191" s="12" t="s">
        <v>877</v>
      </c>
      <c r="BV191" s="12" t="s">
        <v>877</v>
      </c>
      <c r="BW191" s="12" t="s">
        <v>841</v>
      </c>
      <c r="BX191" s="12" t="s">
        <v>878</v>
      </c>
      <c r="BY191" s="12" t="s">
        <v>841</v>
      </c>
      <c r="BZ191" s="12" t="s">
        <v>841</v>
      </c>
      <c r="CA191" s="12" t="s">
        <v>841</v>
      </c>
      <c r="CB191" s="12" t="s">
        <v>841</v>
      </c>
      <c r="CC191" s="12" t="s">
        <v>5672</v>
      </c>
      <c r="CD191" s="12" t="s">
        <v>5673</v>
      </c>
      <c r="CE191" s="12" t="s">
        <v>5674</v>
      </c>
      <c r="CF191" s="12" t="s">
        <v>5675</v>
      </c>
      <c r="CG191" s="12" t="s">
        <v>5676</v>
      </c>
      <c r="CH191" s="12" t="s">
        <v>5677</v>
      </c>
      <c r="CI191" s="12" t="s">
        <v>5678</v>
      </c>
      <c r="CJ191" s="12" t="s">
        <v>5679</v>
      </c>
      <c r="CK191" s="12" t="s">
        <v>5658</v>
      </c>
      <c r="CL191" s="12" t="s">
        <v>1299</v>
      </c>
      <c r="CM191" s="12" t="s">
        <v>888</v>
      </c>
      <c r="CN191" s="12" t="s">
        <v>841</v>
      </c>
      <c r="CO191" s="12" t="s">
        <v>847</v>
      </c>
      <c r="CP191" s="12" t="s">
        <v>889</v>
      </c>
      <c r="CQ191" s="12" t="s">
        <v>890</v>
      </c>
      <c r="CR191" s="12" t="s">
        <v>847</v>
      </c>
      <c r="CS191" s="12" t="s">
        <v>891</v>
      </c>
      <c r="CT191" s="12" t="s">
        <v>892</v>
      </c>
      <c r="CU191" s="12" t="s">
        <v>893</v>
      </c>
      <c r="CV191" s="12" t="s">
        <v>841</v>
      </c>
      <c r="CW191" s="12" t="s">
        <v>5657</v>
      </c>
      <c r="CX191" s="12" t="s">
        <v>894</v>
      </c>
      <c r="CY191" s="12" t="s">
        <v>895</v>
      </c>
      <c r="CZ191" s="12" t="s">
        <v>896</v>
      </c>
      <c r="DA191" s="12" t="s">
        <v>897</v>
      </c>
      <c r="DB191" s="12" t="s">
        <v>898</v>
      </c>
      <c r="DC191" s="12" t="s">
        <v>899</v>
      </c>
    </row>
    <row r="192">
      <c r="A192" s="12" t="s">
        <v>1094</v>
      </c>
      <c r="B192" s="12" t="s">
        <v>561</v>
      </c>
      <c r="C192" s="12" t="s">
        <v>366</v>
      </c>
      <c r="D192" s="12" t="s">
        <v>833</v>
      </c>
      <c r="E192" s="12" t="s">
        <v>834</v>
      </c>
      <c r="F192" s="12"/>
      <c r="G192" s="12" t="s">
        <v>364</v>
      </c>
      <c r="H192" s="12" t="s">
        <v>559</v>
      </c>
      <c r="I192" s="12"/>
      <c r="J192" s="43">
        <f t="shared" si="1"/>
        <v>0.009877001662</v>
      </c>
      <c r="K192" s="43">
        <f t="shared" si="2"/>
        <v>2.909022</v>
      </c>
      <c r="L192" s="43">
        <f t="shared" si="3"/>
        <v>0.009843579758</v>
      </c>
      <c r="M192" s="43">
        <f t="shared" si="4"/>
        <v>0.3834462441</v>
      </c>
      <c r="N192" s="12" t="s">
        <v>5680</v>
      </c>
      <c r="O192" s="12" t="s">
        <v>5681</v>
      </c>
      <c r="P192" s="43">
        <f t="shared" si="5"/>
        <v>4.599577656</v>
      </c>
      <c r="Q192" s="43">
        <f t="shared" si="6"/>
        <v>3.705416656</v>
      </c>
      <c r="R192" s="12" t="s">
        <v>5682</v>
      </c>
      <c r="S192" s="12" t="s">
        <v>5683</v>
      </c>
      <c r="T192" s="43">
        <f t="shared" si="7"/>
        <v>46.99680859</v>
      </c>
      <c r="U192" s="43">
        <f t="shared" si="8"/>
        <v>0.4417875</v>
      </c>
      <c r="V192" s="12" t="s">
        <v>839</v>
      </c>
      <c r="W192" s="12" t="s">
        <v>5684</v>
      </c>
      <c r="X192" s="12" t="s">
        <v>841</v>
      </c>
      <c r="Y192" s="12" t="s">
        <v>841</v>
      </c>
      <c r="Z192" s="12" t="s">
        <v>841</v>
      </c>
      <c r="AA192" s="12" t="s">
        <v>5685</v>
      </c>
      <c r="AB192" s="12" t="s">
        <v>5686</v>
      </c>
      <c r="AC192" s="12" t="s">
        <v>5687</v>
      </c>
      <c r="AD192" s="12" t="s">
        <v>845</v>
      </c>
      <c r="AE192" s="12" t="s">
        <v>846</v>
      </c>
      <c r="AF192" s="43">
        <f t="shared" si="9"/>
        <v>20.232388</v>
      </c>
      <c r="AG192" s="12" t="s">
        <v>847</v>
      </c>
      <c r="AH192" s="12" t="s">
        <v>5688</v>
      </c>
      <c r="AI192" s="12" t="s">
        <v>5689</v>
      </c>
      <c r="AJ192" s="12" t="s">
        <v>5662</v>
      </c>
      <c r="AK192" s="12" t="s">
        <v>5399</v>
      </c>
      <c r="AL192" s="43">
        <f t="shared" si="10"/>
        <v>31.34</v>
      </c>
      <c r="AM192" s="12" t="s">
        <v>5664</v>
      </c>
      <c r="AN192" s="12" t="s">
        <v>1072</v>
      </c>
      <c r="AO192" s="12" t="s">
        <v>5690</v>
      </c>
      <c r="AP192" s="12" t="s">
        <v>2272</v>
      </c>
      <c r="AQ192" s="12" t="s">
        <v>5691</v>
      </c>
      <c r="AR192" s="12" t="s">
        <v>5692</v>
      </c>
      <c r="AS192" s="12" t="s">
        <v>5595</v>
      </c>
      <c r="AT192" s="12" t="s">
        <v>366</v>
      </c>
      <c r="AU192" s="12" t="s">
        <v>5596</v>
      </c>
      <c r="AV192" s="12" t="s">
        <v>832</v>
      </c>
      <c r="AW192" s="12" t="s">
        <v>1164</v>
      </c>
      <c r="AX192" s="12" t="s">
        <v>860</v>
      </c>
      <c r="AY192" s="12" t="s">
        <v>860</v>
      </c>
      <c r="AZ192" s="12" t="s">
        <v>5693</v>
      </c>
      <c r="BA192" s="12" t="s">
        <v>5694</v>
      </c>
      <c r="BB192" s="12" t="s">
        <v>5695</v>
      </c>
      <c r="BC192" s="12" t="s">
        <v>866</v>
      </c>
      <c r="BD192" s="12" t="s">
        <v>867</v>
      </c>
      <c r="BE192" s="12" t="s">
        <v>868</v>
      </c>
      <c r="BF192" s="12" t="s">
        <v>869</v>
      </c>
      <c r="BG192" s="12" t="s">
        <v>870</v>
      </c>
      <c r="BH192" s="12" t="s">
        <v>841</v>
      </c>
      <c r="BI192" s="12" t="s">
        <v>871</v>
      </c>
      <c r="BJ192" s="12" t="s">
        <v>841</v>
      </c>
      <c r="BK192" s="12" t="s">
        <v>841</v>
      </c>
      <c r="BL192" s="12" t="s">
        <v>872</v>
      </c>
      <c r="BM192" s="12" t="s">
        <v>873</v>
      </c>
      <c r="BN192" s="12" t="s">
        <v>866</v>
      </c>
      <c r="BO192" s="12" t="s">
        <v>874</v>
      </c>
      <c r="BP192" s="12" t="s">
        <v>875</v>
      </c>
      <c r="BQ192" s="12" t="s">
        <v>876</v>
      </c>
      <c r="BR192" s="12" t="s">
        <v>869</v>
      </c>
      <c r="BS192" s="12" t="s">
        <v>869</v>
      </c>
      <c r="BT192" s="12" t="s">
        <v>877</v>
      </c>
      <c r="BU192" s="12" t="s">
        <v>877</v>
      </c>
      <c r="BV192" s="12" t="s">
        <v>877</v>
      </c>
      <c r="BW192" s="12" t="s">
        <v>841</v>
      </c>
      <c r="BX192" s="12" t="s">
        <v>878</v>
      </c>
      <c r="BY192" s="12" t="s">
        <v>841</v>
      </c>
      <c r="BZ192" s="12" t="s">
        <v>841</v>
      </c>
      <c r="CA192" s="12" t="s">
        <v>841</v>
      </c>
      <c r="CB192" s="12" t="s">
        <v>841</v>
      </c>
      <c r="CC192" s="12" t="s">
        <v>5696</v>
      </c>
      <c r="CD192" s="12" t="s">
        <v>5697</v>
      </c>
      <c r="CE192" s="12" t="s">
        <v>5698</v>
      </c>
      <c r="CF192" s="12" t="s">
        <v>5699</v>
      </c>
      <c r="CG192" s="12" t="s">
        <v>5700</v>
      </c>
      <c r="CH192" s="12" t="s">
        <v>5701</v>
      </c>
      <c r="CI192" s="12" t="s">
        <v>5702</v>
      </c>
      <c r="CJ192" s="12" t="s">
        <v>5703</v>
      </c>
      <c r="CK192" s="12" t="s">
        <v>5685</v>
      </c>
      <c r="CL192" s="12" t="s">
        <v>1299</v>
      </c>
      <c r="CM192" s="12" t="s">
        <v>888</v>
      </c>
      <c r="CN192" s="12" t="s">
        <v>841</v>
      </c>
      <c r="CO192" s="12" t="s">
        <v>847</v>
      </c>
      <c r="CP192" s="12" t="s">
        <v>889</v>
      </c>
      <c r="CQ192" s="12" t="s">
        <v>890</v>
      </c>
      <c r="CR192" s="12" t="s">
        <v>847</v>
      </c>
      <c r="CS192" s="12" t="s">
        <v>891</v>
      </c>
      <c r="CT192" s="12" t="s">
        <v>892</v>
      </c>
      <c r="CU192" s="12" t="s">
        <v>893</v>
      </c>
      <c r="CV192" s="12" t="s">
        <v>841</v>
      </c>
      <c r="CW192" s="12" t="s">
        <v>5684</v>
      </c>
      <c r="CX192" s="12" t="s">
        <v>894</v>
      </c>
      <c r="CY192" s="12" t="s">
        <v>895</v>
      </c>
      <c r="CZ192" s="12" t="s">
        <v>896</v>
      </c>
      <c r="DA192" s="12" t="s">
        <v>897</v>
      </c>
      <c r="DB192" s="12" t="s">
        <v>898</v>
      </c>
      <c r="DC192" s="12" t="s">
        <v>899</v>
      </c>
    </row>
    <row r="193">
      <c r="A193" s="12" t="s">
        <v>1120</v>
      </c>
      <c r="B193" s="12" t="s">
        <v>563</v>
      </c>
      <c r="C193" s="12" t="s">
        <v>366</v>
      </c>
      <c r="D193" s="12" t="s">
        <v>833</v>
      </c>
      <c r="E193" s="12" t="s">
        <v>834</v>
      </c>
      <c r="F193" s="12"/>
      <c r="G193" s="12" t="s">
        <v>364</v>
      </c>
      <c r="H193" s="12" t="s">
        <v>559</v>
      </c>
      <c r="I193" s="12"/>
      <c r="J193" s="43">
        <f t="shared" si="1"/>
        <v>0.001883804364</v>
      </c>
      <c r="K193" s="43">
        <f t="shared" si="2"/>
        <v>2.91060848</v>
      </c>
      <c r="L193" s="43">
        <f t="shared" si="3"/>
        <v>0.001882585916</v>
      </c>
      <c r="M193" s="43">
        <f t="shared" si="4"/>
        <v>0.06987523802</v>
      </c>
      <c r="N193" s="12" t="s">
        <v>5704</v>
      </c>
      <c r="O193" s="12" t="s">
        <v>5705</v>
      </c>
      <c r="P193" s="43">
        <f t="shared" si="5"/>
        <v>4.404462816</v>
      </c>
      <c r="Q193" s="43">
        <f t="shared" si="6"/>
        <v>3.534745816</v>
      </c>
      <c r="R193" s="12" t="s">
        <v>5706</v>
      </c>
      <c r="S193" s="12" t="s">
        <v>5707</v>
      </c>
      <c r="T193" s="43">
        <f t="shared" si="7"/>
        <v>45.00319624</v>
      </c>
      <c r="U193" s="43">
        <f t="shared" si="8"/>
        <v>0.4417875</v>
      </c>
      <c r="V193" s="12" t="s">
        <v>839</v>
      </c>
      <c r="W193" s="12" t="s">
        <v>5708</v>
      </c>
      <c r="X193" s="12" t="s">
        <v>841</v>
      </c>
      <c r="Y193" s="12" t="s">
        <v>841</v>
      </c>
      <c r="Z193" s="12" t="s">
        <v>841</v>
      </c>
      <c r="AA193" s="12" t="s">
        <v>5709</v>
      </c>
      <c r="AB193" s="12" t="s">
        <v>5710</v>
      </c>
      <c r="AC193" s="12" t="s">
        <v>5711</v>
      </c>
      <c r="AD193" s="12" t="s">
        <v>845</v>
      </c>
      <c r="AE193" s="12" t="s">
        <v>846</v>
      </c>
      <c r="AF193" s="43">
        <f t="shared" si="9"/>
        <v>4.06893</v>
      </c>
      <c r="AG193" s="12" t="s">
        <v>847</v>
      </c>
      <c r="AH193" s="12" t="s">
        <v>5712</v>
      </c>
      <c r="AI193" s="12" t="s">
        <v>5713</v>
      </c>
      <c r="AJ193" s="12" t="s">
        <v>5662</v>
      </c>
      <c r="AK193" s="12" t="s">
        <v>5714</v>
      </c>
      <c r="AL193" s="43">
        <f t="shared" si="10"/>
        <v>30.58</v>
      </c>
      <c r="AM193" s="12" t="s">
        <v>5664</v>
      </c>
      <c r="AN193" s="12" t="s">
        <v>1159</v>
      </c>
      <c r="AO193" s="12" t="s">
        <v>5715</v>
      </c>
      <c r="AP193" s="12" t="s">
        <v>5716</v>
      </c>
      <c r="AQ193" s="12" t="s">
        <v>1661</v>
      </c>
      <c r="AR193" s="12" t="s">
        <v>5692</v>
      </c>
      <c r="AS193" s="12" t="s">
        <v>5595</v>
      </c>
      <c r="AT193" s="12" t="s">
        <v>366</v>
      </c>
      <c r="AU193" s="12" t="s">
        <v>5596</v>
      </c>
      <c r="AV193" s="12" t="s">
        <v>832</v>
      </c>
      <c r="AW193" s="12" t="s">
        <v>1286</v>
      </c>
      <c r="AX193" s="12" t="s">
        <v>1342</v>
      </c>
      <c r="AY193" s="12" t="s">
        <v>1403</v>
      </c>
      <c r="AZ193" s="12" t="s">
        <v>5717</v>
      </c>
      <c r="BA193" s="12" t="s">
        <v>5718</v>
      </c>
      <c r="BB193" s="12" t="s">
        <v>5719</v>
      </c>
      <c r="BC193" s="12" t="s">
        <v>866</v>
      </c>
      <c r="BD193" s="12" t="s">
        <v>867</v>
      </c>
      <c r="BE193" s="12" t="s">
        <v>868</v>
      </c>
      <c r="BF193" s="12" t="s">
        <v>869</v>
      </c>
      <c r="BG193" s="12" t="s">
        <v>870</v>
      </c>
      <c r="BH193" s="12" t="s">
        <v>841</v>
      </c>
      <c r="BI193" s="12" t="s">
        <v>871</v>
      </c>
      <c r="BJ193" s="12" t="s">
        <v>841</v>
      </c>
      <c r="BK193" s="12" t="s">
        <v>841</v>
      </c>
      <c r="BL193" s="12" t="s">
        <v>872</v>
      </c>
      <c r="BM193" s="12" t="s">
        <v>873</v>
      </c>
      <c r="BN193" s="12" t="s">
        <v>866</v>
      </c>
      <c r="BO193" s="12" t="s">
        <v>874</v>
      </c>
      <c r="BP193" s="12" t="s">
        <v>875</v>
      </c>
      <c r="BQ193" s="12" t="s">
        <v>876</v>
      </c>
      <c r="BR193" s="12" t="s">
        <v>869</v>
      </c>
      <c r="BS193" s="12" t="s">
        <v>869</v>
      </c>
      <c r="BT193" s="12" t="s">
        <v>877</v>
      </c>
      <c r="BU193" s="12" t="s">
        <v>877</v>
      </c>
      <c r="BV193" s="12" t="s">
        <v>877</v>
      </c>
      <c r="BW193" s="12" t="s">
        <v>841</v>
      </c>
      <c r="BX193" s="12" t="s">
        <v>878</v>
      </c>
      <c r="BY193" s="12" t="s">
        <v>841</v>
      </c>
      <c r="BZ193" s="12" t="s">
        <v>841</v>
      </c>
      <c r="CA193" s="12" t="s">
        <v>841</v>
      </c>
      <c r="CB193" s="12" t="s">
        <v>841</v>
      </c>
      <c r="CC193" s="12" t="s">
        <v>5720</v>
      </c>
      <c r="CD193" s="12" t="s">
        <v>5721</v>
      </c>
      <c r="CE193" s="12" t="s">
        <v>5722</v>
      </c>
      <c r="CF193" s="12" t="s">
        <v>5723</v>
      </c>
      <c r="CG193" s="12" t="s">
        <v>5724</v>
      </c>
      <c r="CH193" s="12" t="s">
        <v>5725</v>
      </c>
      <c r="CI193" s="12" t="s">
        <v>5726</v>
      </c>
      <c r="CJ193" s="12" t="s">
        <v>5727</v>
      </c>
      <c r="CK193" s="12" t="s">
        <v>5709</v>
      </c>
      <c r="CL193" s="12" t="s">
        <v>1415</v>
      </c>
      <c r="CM193" s="12" t="s">
        <v>888</v>
      </c>
      <c r="CN193" s="12" t="s">
        <v>841</v>
      </c>
      <c r="CO193" s="12" t="s">
        <v>847</v>
      </c>
      <c r="CP193" s="12" t="s">
        <v>889</v>
      </c>
      <c r="CQ193" s="12" t="s">
        <v>890</v>
      </c>
      <c r="CR193" s="12" t="s">
        <v>847</v>
      </c>
      <c r="CS193" s="12" t="s">
        <v>891</v>
      </c>
      <c r="CT193" s="12" t="s">
        <v>892</v>
      </c>
      <c r="CU193" s="12" t="s">
        <v>893</v>
      </c>
      <c r="CV193" s="12" t="s">
        <v>841</v>
      </c>
      <c r="CW193" s="12" t="s">
        <v>5708</v>
      </c>
      <c r="CX193" s="12" t="s">
        <v>894</v>
      </c>
      <c r="CY193" s="12" t="s">
        <v>895</v>
      </c>
      <c r="CZ193" s="12" t="s">
        <v>896</v>
      </c>
      <c r="DA193" s="12" t="s">
        <v>897</v>
      </c>
      <c r="DB193" s="12" t="s">
        <v>898</v>
      </c>
      <c r="DC193" s="12" t="s">
        <v>899</v>
      </c>
    </row>
    <row r="194">
      <c r="A194" s="12" t="s">
        <v>1146</v>
      </c>
      <c r="B194" s="12" t="s">
        <v>565</v>
      </c>
      <c r="C194" s="12" t="s">
        <v>366</v>
      </c>
      <c r="D194" s="12" t="s">
        <v>833</v>
      </c>
      <c r="E194" s="12" t="s">
        <v>834</v>
      </c>
      <c r="F194" s="12"/>
      <c r="G194" s="12" t="s">
        <v>364</v>
      </c>
      <c r="H194" s="12" t="s">
        <v>564</v>
      </c>
      <c r="I194" s="12"/>
      <c r="J194" s="43">
        <f t="shared" si="1"/>
        <v>0.04354832959</v>
      </c>
      <c r="K194" s="43">
        <f t="shared" si="2"/>
        <v>2.90981592</v>
      </c>
      <c r="L194" s="43">
        <f t="shared" si="3"/>
        <v>0.04290619511</v>
      </c>
      <c r="M194" s="43">
        <f t="shared" si="4"/>
        <v>1.42241903</v>
      </c>
      <c r="N194" s="12" t="s">
        <v>5728</v>
      </c>
      <c r="O194" s="12" t="s">
        <v>5729</v>
      </c>
      <c r="P194" s="43">
        <f t="shared" si="5"/>
        <v>4.125314176</v>
      </c>
      <c r="Q194" s="43">
        <f t="shared" si="6"/>
        <v>3.160892176</v>
      </c>
      <c r="R194" s="12" t="s">
        <v>5730</v>
      </c>
      <c r="S194" s="12" t="s">
        <v>5731</v>
      </c>
      <c r="T194" s="43">
        <f t="shared" si="7"/>
        <v>42.14234524</v>
      </c>
      <c r="U194" s="43">
        <f t="shared" si="8"/>
        <v>0.4417875</v>
      </c>
      <c r="V194" s="12" t="s">
        <v>839</v>
      </c>
      <c r="W194" s="12" t="s">
        <v>5732</v>
      </c>
      <c r="X194" s="12" t="s">
        <v>841</v>
      </c>
      <c r="Y194" s="12" t="s">
        <v>841</v>
      </c>
      <c r="Z194" s="12" t="s">
        <v>841</v>
      </c>
      <c r="AA194" s="12" t="s">
        <v>5733</v>
      </c>
      <c r="AB194" s="12" t="s">
        <v>5734</v>
      </c>
      <c r="AC194" s="12" t="s">
        <v>5735</v>
      </c>
      <c r="AD194" s="12" t="s">
        <v>845</v>
      </c>
      <c r="AE194" s="12" t="s">
        <v>846</v>
      </c>
      <c r="AF194" s="43">
        <f t="shared" si="9"/>
        <v>16.9020048</v>
      </c>
      <c r="AG194" s="12" t="s">
        <v>847</v>
      </c>
      <c r="AH194" s="12" t="s">
        <v>5736</v>
      </c>
      <c r="AI194" s="12" t="s">
        <v>5737</v>
      </c>
      <c r="AJ194" s="12" t="s">
        <v>4189</v>
      </c>
      <c r="AK194" s="12" t="s">
        <v>5738</v>
      </c>
      <c r="AL194" s="43">
        <f t="shared" si="10"/>
        <v>29.44</v>
      </c>
      <c r="AM194" s="12" t="s">
        <v>5617</v>
      </c>
      <c r="AN194" s="12" t="s">
        <v>914</v>
      </c>
      <c r="AO194" s="12" t="s">
        <v>5739</v>
      </c>
      <c r="AP194" s="12" t="s">
        <v>5740</v>
      </c>
      <c r="AQ194" s="12" t="s">
        <v>1596</v>
      </c>
      <c r="AR194" s="12" t="s">
        <v>5741</v>
      </c>
      <c r="AS194" s="12" t="s">
        <v>5595</v>
      </c>
      <c r="AT194" s="12" t="s">
        <v>366</v>
      </c>
      <c r="AU194" s="12" t="s">
        <v>5596</v>
      </c>
      <c r="AV194" s="12" t="s">
        <v>832</v>
      </c>
      <c r="AW194" s="12" t="s">
        <v>1342</v>
      </c>
      <c r="AX194" s="12" t="s">
        <v>919</v>
      </c>
      <c r="AY194" s="12" t="s">
        <v>1047</v>
      </c>
      <c r="AZ194" s="12" t="s">
        <v>5742</v>
      </c>
      <c r="BA194" s="12" t="s">
        <v>5743</v>
      </c>
      <c r="BB194" s="12" t="s">
        <v>5744</v>
      </c>
      <c r="BC194" s="12" t="s">
        <v>866</v>
      </c>
      <c r="BD194" s="12" t="s">
        <v>867</v>
      </c>
      <c r="BE194" s="12" t="s">
        <v>868</v>
      </c>
      <c r="BF194" s="12" t="s">
        <v>869</v>
      </c>
      <c r="BG194" s="12" t="s">
        <v>870</v>
      </c>
      <c r="BH194" s="12" t="s">
        <v>841</v>
      </c>
      <c r="BI194" s="12" t="s">
        <v>871</v>
      </c>
      <c r="BJ194" s="12" t="s">
        <v>841</v>
      </c>
      <c r="BK194" s="12" t="s">
        <v>841</v>
      </c>
      <c r="BL194" s="12" t="s">
        <v>872</v>
      </c>
      <c r="BM194" s="12" t="s">
        <v>873</v>
      </c>
      <c r="BN194" s="12" t="s">
        <v>866</v>
      </c>
      <c r="BO194" s="12" t="s">
        <v>874</v>
      </c>
      <c r="BP194" s="12" t="s">
        <v>875</v>
      </c>
      <c r="BQ194" s="12" t="s">
        <v>876</v>
      </c>
      <c r="BR194" s="12" t="s">
        <v>869</v>
      </c>
      <c r="BS194" s="12" t="s">
        <v>869</v>
      </c>
      <c r="BT194" s="12" t="s">
        <v>877</v>
      </c>
      <c r="BU194" s="12" t="s">
        <v>877</v>
      </c>
      <c r="BV194" s="12" t="s">
        <v>877</v>
      </c>
      <c r="BW194" s="12" t="s">
        <v>841</v>
      </c>
      <c r="BX194" s="12" t="s">
        <v>878</v>
      </c>
      <c r="BY194" s="12" t="s">
        <v>841</v>
      </c>
      <c r="BZ194" s="12" t="s">
        <v>841</v>
      </c>
      <c r="CA194" s="12" t="s">
        <v>841</v>
      </c>
      <c r="CB194" s="12" t="s">
        <v>841</v>
      </c>
      <c r="CC194" s="12" t="s">
        <v>5745</v>
      </c>
      <c r="CD194" s="12" t="s">
        <v>5746</v>
      </c>
      <c r="CE194" s="12" t="s">
        <v>5747</v>
      </c>
      <c r="CF194" s="12" t="s">
        <v>5748</v>
      </c>
      <c r="CG194" s="12" t="s">
        <v>5749</v>
      </c>
      <c r="CH194" s="12" t="s">
        <v>5750</v>
      </c>
      <c r="CI194" s="12" t="s">
        <v>5751</v>
      </c>
      <c r="CJ194" s="12" t="s">
        <v>5752</v>
      </c>
      <c r="CK194" s="12" t="s">
        <v>5733</v>
      </c>
      <c r="CL194" s="12" t="s">
        <v>1997</v>
      </c>
      <c r="CM194" s="12" t="s">
        <v>888</v>
      </c>
      <c r="CN194" s="12" t="s">
        <v>841</v>
      </c>
      <c r="CO194" s="12" t="s">
        <v>847</v>
      </c>
      <c r="CP194" s="12" t="s">
        <v>889</v>
      </c>
      <c r="CQ194" s="12" t="s">
        <v>890</v>
      </c>
      <c r="CR194" s="12" t="s">
        <v>847</v>
      </c>
      <c r="CS194" s="12" t="s">
        <v>891</v>
      </c>
      <c r="CT194" s="12" t="s">
        <v>892</v>
      </c>
      <c r="CU194" s="12" t="s">
        <v>893</v>
      </c>
      <c r="CV194" s="12" t="s">
        <v>841</v>
      </c>
      <c r="CW194" s="12" t="s">
        <v>5732</v>
      </c>
      <c r="CX194" s="12" t="s">
        <v>894</v>
      </c>
      <c r="CY194" s="12" t="s">
        <v>895</v>
      </c>
      <c r="CZ194" s="12" t="s">
        <v>896</v>
      </c>
      <c r="DA194" s="12" t="s">
        <v>897</v>
      </c>
      <c r="DB194" s="12" t="s">
        <v>898</v>
      </c>
      <c r="DC194" s="12" t="s">
        <v>899</v>
      </c>
    </row>
    <row r="195">
      <c r="A195" s="12" t="s">
        <v>1177</v>
      </c>
      <c r="B195" s="12" t="s">
        <v>567</v>
      </c>
      <c r="C195" s="12" t="s">
        <v>366</v>
      </c>
      <c r="D195" s="12" t="s">
        <v>833</v>
      </c>
      <c r="E195" s="12" t="s">
        <v>834</v>
      </c>
      <c r="F195" s="12"/>
      <c r="G195" s="12" t="s">
        <v>364</v>
      </c>
      <c r="H195" s="12" t="s">
        <v>564</v>
      </c>
      <c r="I195" s="12"/>
      <c r="J195" s="43">
        <f t="shared" si="1"/>
        <v>0.01993595014</v>
      </c>
      <c r="K195" s="43">
        <f t="shared" si="2"/>
        <v>2.90981592</v>
      </c>
      <c r="L195" s="43">
        <f t="shared" si="3"/>
        <v>0.01980029289</v>
      </c>
      <c r="M195" s="43">
        <f t="shared" si="4"/>
        <v>0.6866745269</v>
      </c>
      <c r="N195" s="12" t="s">
        <v>5753</v>
      </c>
      <c r="O195" s="12" t="s">
        <v>5754</v>
      </c>
      <c r="P195" s="43">
        <f t="shared" si="5"/>
        <v>4.209328576</v>
      </c>
      <c r="Q195" s="43">
        <f t="shared" si="6"/>
        <v>3.305784576</v>
      </c>
      <c r="R195" s="12" t="s">
        <v>5755</v>
      </c>
      <c r="S195" s="12" t="s">
        <v>5756</v>
      </c>
      <c r="T195" s="43">
        <f t="shared" si="7"/>
        <v>43.00499158</v>
      </c>
      <c r="U195" s="43">
        <f t="shared" si="8"/>
        <v>0.4417875</v>
      </c>
      <c r="V195" s="12" t="s">
        <v>839</v>
      </c>
      <c r="W195" s="12" t="s">
        <v>5757</v>
      </c>
      <c r="X195" s="12" t="s">
        <v>841</v>
      </c>
      <c r="Y195" s="12" t="s">
        <v>841</v>
      </c>
      <c r="Z195" s="12" t="s">
        <v>841</v>
      </c>
      <c r="AA195" s="12" t="s">
        <v>5758</v>
      </c>
      <c r="AB195" s="12" t="s">
        <v>5759</v>
      </c>
      <c r="AC195" s="12" t="s">
        <v>5760</v>
      </c>
      <c r="AD195" s="12" t="s">
        <v>845</v>
      </c>
      <c r="AE195" s="12" t="s">
        <v>846</v>
      </c>
      <c r="AF195" s="43">
        <f t="shared" si="9"/>
        <v>11.6832612</v>
      </c>
      <c r="AG195" s="12" t="s">
        <v>847</v>
      </c>
      <c r="AH195" s="12" t="s">
        <v>5761</v>
      </c>
      <c r="AI195" s="12" t="s">
        <v>5762</v>
      </c>
      <c r="AJ195" s="12" t="s">
        <v>2324</v>
      </c>
      <c r="AK195" s="12" t="s">
        <v>5376</v>
      </c>
      <c r="AL195" s="43">
        <f t="shared" si="10"/>
        <v>29.79</v>
      </c>
      <c r="AM195" s="12" t="s">
        <v>5639</v>
      </c>
      <c r="AN195" s="12" t="s">
        <v>914</v>
      </c>
      <c r="AO195" s="12" t="s">
        <v>5763</v>
      </c>
      <c r="AP195" s="12" t="s">
        <v>4724</v>
      </c>
      <c r="AQ195" s="12" t="s">
        <v>2285</v>
      </c>
      <c r="AR195" s="12" t="s">
        <v>5741</v>
      </c>
      <c r="AS195" s="12" t="s">
        <v>5595</v>
      </c>
      <c r="AT195" s="12" t="s">
        <v>366</v>
      </c>
      <c r="AU195" s="12" t="s">
        <v>5596</v>
      </c>
      <c r="AV195" s="12" t="s">
        <v>832</v>
      </c>
      <c r="AW195" s="12" t="s">
        <v>1286</v>
      </c>
      <c r="AX195" s="12" t="s">
        <v>1286</v>
      </c>
      <c r="AY195" s="12" t="s">
        <v>860</v>
      </c>
      <c r="AZ195" s="12" t="s">
        <v>5764</v>
      </c>
      <c r="BA195" s="12" t="s">
        <v>5765</v>
      </c>
      <c r="BB195" s="12" t="s">
        <v>5766</v>
      </c>
      <c r="BC195" s="12" t="s">
        <v>866</v>
      </c>
      <c r="BD195" s="12" t="s">
        <v>867</v>
      </c>
      <c r="BE195" s="12" t="s">
        <v>868</v>
      </c>
      <c r="BF195" s="12" t="s">
        <v>869</v>
      </c>
      <c r="BG195" s="12" t="s">
        <v>870</v>
      </c>
      <c r="BH195" s="12" t="s">
        <v>841</v>
      </c>
      <c r="BI195" s="12" t="s">
        <v>871</v>
      </c>
      <c r="BJ195" s="12" t="s">
        <v>841</v>
      </c>
      <c r="BK195" s="12" t="s">
        <v>841</v>
      </c>
      <c r="BL195" s="12" t="s">
        <v>872</v>
      </c>
      <c r="BM195" s="12" t="s">
        <v>873</v>
      </c>
      <c r="BN195" s="12" t="s">
        <v>866</v>
      </c>
      <c r="BO195" s="12" t="s">
        <v>874</v>
      </c>
      <c r="BP195" s="12" t="s">
        <v>875</v>
      </c>
      <c r="BQ195" s="12" t="s">
        <v>876</v>
      </c>
      <c r="BR195" s="12" t="s">
        <v>869</v>
      </c>
      <c r="BS195" s="12" t="s">
        <v>869</v>
      </c>
      <c r="BT195" s="12" t="s">
        <v>877</v>
      </c>
      <c r="BU195" s="12" t="s">
        <v>877</v>
      </c>
      <c r="BV195" s="12" t="s">
        <v>877</v>
      </c>
      <c r="BW195" s="12" t="s">
        <v>841</v>
      </c>
      <c r="BX195" s="12" t="s">
        <v>878</v>
      </c>
      <c r="BY195" s="12" t="s">
        <v>841</v>
      </c>
      <c r="BZ195" s="12" t="s">
        <v>841</v>
      </c>
      <c r="CA195" s="12" t="s">
        <v>841</v>
      </c>
      <c r="CB195" s="12" t="s">
        <v>841</v>
      </c>
      <c r="CC195" s="12" t="s">
        <v>5767</v>
      </c>
      <c r="CD195" s="12" t="s">
        <v>5768</v>
      </c>
      <c r="CE195" s="12" t="s">
        <v>5769</v>
      </c>
      <c r="CF195" s="12" t="s">
        <v>5770</v>
      </c>
      <c r="CG195" s="12" t="s">
        <v>5771</v>
      </c>
      <c r="CH195" s="12" t="s">
        <v>5772</v>
      </c>
      <c r="CI195" s="12" t="s">
        <v>5773</v>
      </c>
      <c r="CJ195" s="12" t="s">
        <v>5774</v>
      </c>
      <c r="CK195" s="12" t="s">
        <v>5758</v>
      </c>
      <c r="CL195" s="12" t="s">
        <v>2762</v>
      </c>
      <c r="CM195" s="12" t="s">
        <v>888</v>
      </c>
      <c r="CN195" s="12" t="s">
        <v>841</v>
      </c>
      <c r="CO195" s="12" t="s">
        <v>847</v>
      </c>
      <c r="CP195" s="12" t="s">
        <v>889</v>
      </c>
      <c r="CQ195" s="12" t="s">
        <v>890</v>
      </c>
      <c r="CR195" s="12" t="s">
        <v>847</v>
      </c>
      <c r="CS195" s="12" t="s">
        <v>891</v>
      </c>
      <c r="CT195" s="12" t="s">
        <v>892</v>
      </c>
      <c r="CU195" s="12" t="s">
        <v>893</v>
      </c>
      <c r="CV195" s="12" t="s">
        <v>841</v>
      </c>
      <c r="CW195" s="12" t="s">
        <v>5757</v>
      </c>
      <c r="CX195" s="12" t="s">
        <v>894</v>
      </c>
      <c r="CY195" s="12" t="s">
        <v>895</v>
      </c>
      <c r="CZ195" s="12" t="s">
        <v>896</v>
      </c>
      <c r="DA195" s="12" t="s">
        <v>897</v>
      </c>
      <c r="DB195" s="12" t="s">
        <v>898</v>
      </c>
      <c r="DC195" s="12" t="s">
        <v>899</v>
      </c>
    </row>
    <row r="196">
      <c r="A196" s="12" t="s">
        <v>1209</v>
      </c>
      <c r="B196" s="12" t="s">
        <v>568</v>
      </c>
      <c r="C196" s="12" t="s">
        <v>366</v>
      </c>
      <c r="D196" s="12" t="s">
        <v>833</v>
      </c>
      <c r="E196" s="12" t="s">
        <v>834</v>
      </c>
      <c r="F196" s="12"/>
      <c r="G196" s="12" t="s">
        <v>364</v>
      </c>
      <c r="H196" s="12" t="s">
        <v>564</v>
      </c>
      <c r="I196" s="12"/>
      <c r="J196" s="43">
        <f t="shared" si="1"/>
        <v>-0.0005636593147</v>
      </c>
      <c r="K196" s="43">
        <f t="shared" si="2"/>
        <v>2.91060848</v>
      </c>
      <c r="L196" s="43">
        <f t="shared" si="3"/>
        <v>-0.0005637684923</v>
      </c>
      <c r="M196" s="43">
        <f t="shared" si="4"/>
        <v>-0.0204746467</v>
      </c>
      <c r="N196" s="12" t="s">
        <v>5775</v>
      </c>
      <c r="O196" s="12" t="s">
        <v>5776</v>
      </c>
      <c r="P196" s="43">
        <f t="shared" si="5"/>
        <v>4.381841763</v>
      </c>
      <c r="Q196" s="43">
        <f t="shared" si="6"/>
        <v>3.458445763</v>
      </c>
      <c r="R196" s="12" t="s">
        <v>5777</v>
      </c>
      <c r="S196" s="12" t="s">
        <v>5778</v>
      </c>
      <c r="T196" s="43">
        <f t="shared" si="7"/>
        <v>44.76748839</v>
      </c>
      <c r="U196" s="43">
        <f t="shared" si="8"/>
        <v>0.4417875</v>
      </c>
      <c r="V196" s="12" t="s">
        <v>839</v>
      </c>
      <c r="W196" s="12" t="s">
        <v>5779</v>
      </c>
      <c r="X196" s="12" t="s">
        <v>841</v>
      </c>
      <c r="Y196" s="12" t="s">
        <v>841</v>
      </c>
      <c r="Z196" s="12" t="s">
        <v>841</v>
      </c>
      <c r="AA196" s="12" t="s">
        <v>5780</v>
      </c>
      <c r="AB196" s="12" t="s">
        <v>5781</v>
      </c>
      <c r="AC196" s="12" t="s">
        <v>5782</v>
      </c>
      <c r="AD196" s="12" t="s">
        <v>845</v>
      </c>
      <c r="AE196" s="12" t="s">
        <v>846</v>
      </c>
      <c r="AF196" s="43">
        <f t="shared" si="9"/>
        <v>36.79425</v>
      </c>
      <c r="AG196" s="12" t="s">
        <v>847</v>
      </c>
      <c r="AH196" s="12" t="s">
        <v>5783</v>
      </c>
      <c r="AI196" s="12" t="s">
        <v>5784</v>
      </c>
      <c r="AJ196" s="12" t="s">
        <v>5785</v>
      </c>
      <c r="AK196" s="12" t="s">
        <v>5786</v>
      </c>
      <c r="AL196" s="43">
        <f t="shared" si="10"/>
        <v>30.49</v>
      </c>
      <c r="AM196" s="12" t="s">
        <v>5639</v>
      </c>
      <c r="AN196" s="12" t="s">
        <v>1159</v>
      </c>
      <c r="AO196" s="12" t="s">
        <v>5787</v>
      </c>
      <c r="AP196" s="12" t="s">
        <v>5788</v>
      </c>
      <c r="AQ196" s="12" t="s">
        <v>4980</v>
      </c>
      <c r="AR196" s="12" t="s">
        <v>5741</v>
      </c>
      <c r="AS196" s="12" t="s">
        <v>5595</v>
      </c>
      <c r="AT196" s="12" t="s">
        <v>366</v>
      </c>
      <c r="AU196" s="12" t="s">
        <v>5596</v>
      </c>
      <c r="AV196" s="12" t="s">
        <v>832</v>
      </c>
      <c r="AW196" s="12" t="s">
        <v>1403</v>
      </c>
      <c r="AX196" s="12" t="s">
        <v>1287</v>
      </c>
      <c r="AY196" s="12" t="s">
        <v>2037</v>
      </c>
      <c r="AZ196" s="12" t="s">
        <v>5789</v>
      </c>
      <c r="BA196" s="12" t="s">
        <v>5790</v>
      </c>
      <c r="BB196" s="12" t="s">
        <v>5791</v>
      </c>
      <c r="BC196" s="12" t="s">
        <v>866</v>
      </c>
      <c r="BD196" s="12" t="s">
        <v>867</v>
      </c>
      <c r="BE196" s="12" t="s">
        <v>868</v>
      </c>
      <c r="BF196" s="12" t="s">
        <v>869</v>
      </c>
      <c r="BG196" s="12" t="s">
        <v>870</v>
      </c>
      <c r="BH196" s="12" t="s">
        <v>841</v>
      </c>
      <c r="BI196" s="12" t="s">
        <v>871</v>
      </c>
      <c r="BJ196" s="12" t="s">
        <v>841</v>
      </c>
      <c r="BK196" s="12" t="s">
        <v>841</v>
      </c>
      <c r="BL196" s="12" t="s">
        <v>872</v>
      </c>
      <c r="BM196" s="12" t="s">
        <v>873</v>
      </c>
      <c r="BN196" s="12" t="s">
        <v>866</v>
      </c>
      <c r="BO196" s="12" t="s">
        <v>874</v>
      </c>
      <c r="BP196" s="12" t="s">
        <v>875</v>
      </c>
      <c r="BQ196" s="12" t="s">
        <v>876</v>
      </c>
      <c r="BR196" s="12" t="s">
        <v>869</v>
      </c>
      <c r="BS196" s="12" t="s">
        <v>869</v>
      </c>
      <c r="BT196" s="12" t="s">
        <v>877</v>
      </c>
      <c r="BU196" s="12" t="s">
        <v>877</v>
      </c>
      <c r="BV196" s="12" t="s">
        <v>877</v>
      </c>
      <c r="BW196" s="12" t="s">
        <v>841</v>
      </c>
      <c r="BX196" s="12" t="s">
        <v>878</v>
      </c>
      <c r="BY196" s="12" t="s">
        <v>841</v>
      </c>
      <c r="BZ196" s="12" t="s">
        <v>841</v>
      </c>
      <c r="CA196" s="12" t="s">
        <v>841</v>
      </c>
      <c r="CB196" s="12" t="s">
        <v>841</v>
      </c>
      <c r="CC196" s="12" t="s">
        <v>5473</v>
      </c>
      <c r="CD196" s="12" t="s">
        <v>5792</v>
      </c>
      <c r="CE196" s="12" t="s">
        <v>5793</v>
      </c>
      <c r="CF196" s="12" t="s">
        <v>5794</v>
      </c>
      <c r="CG196" s="12" t="s">
        <v>5795</v>
      </c>
      <c r="CH196" s="12" t="s">
        <v>5796</v>
      </c>
      <c r="CI196" s="12" t="s">
        <v>5797</v>
      </c>
      <c r="CJ196" s="12" t="s">
        <v>5798</v>
      </c>
      <c r="CK196" s="12" t="s">
        <v>5780</v>
      </c>
      <c r="CL196" s="12" t="s">
        <v>1581</v>
      </c>
      <c r="CM196" s="12" t="s">
        <v>888</v>
      </c>
      <c r="CN196" s="12" t="s">
        <v>841</v>
      </c>
      <c r="CO196" s="12" t="s">
        <v>847</v>
      </c>
      <c r="CP196" s="12" t="s">
        <v>889</v>
      </c>
      <c r="CQ196" s="12" t="s">
        <v>890</v>
      </c>
      <c r="CR196" s="12" t="s">
        <v>847</v>
      </c>
      <c r="CS196" s="12" t="s">
        <v>891</v>
      </c>
      <c r="CT196" s="12" t="s">
        <v>892</v>
      </c>
      <c r="CU196" s="12" t="s">
        <v>893</v>
      </c>
      <c r="CV196" s="12" t="s">
        <v>841</v>
      </c>
      <c r="CW196" s="12" t="s">
        <v>5779</v>
      </c>
      <c r="CX196" s="12" t="s">
        <v>894</v>
      </c>
      <c r="CY196" s="12" t="s">
        <v>895</v>
      </c>
      <c r="CZ196" s="12" t="s">
        <v>896</v>
      </c>
      <c r="DA196" s="12" t="s">
        <v>897</v>
      </c>
      <c r="DB196" s="12" t="s">
        <v>898</v>
      </c>
      <c r="DC196" s="12" t="s">
        <v>899</v>
      </c>
    </row>
    <row r="197">
      <c r="A197" s="12" t="s">
        <v>1237</v>
      </c>
      <c r="B197" s="12" t="s">
        <v>571</v>
      </c>
      <c r="C197" s="12" t="s">
        <v>366</v>
      </c>
      <c r="D197" s="12" t="s">
        <v>833</v>
      </c>
      <c r="E197" s="12" t="s">
        <v>834</v>
      </c>
      <c r="F197" s="12" t="s">
        <v>1441</v>
      </c>
      <c r="G197" s="12" t="s">
        <v>364</v>
      </c>
      <c r="H197" s="12" t="s">
        <v>570</v>
      </c>
      <c r="I197" s="12"/>
      <c r="J197" s="43">
        <f t="shared" si="1"/>
        <v>-0.003498457412</v>
      </c>
      <c r="K197" s="43">
        <f t="shared" si="2"/>
        <v>2.909022</v>
      </c>
      <c r="L197" s="43">
        <f t="shared" si="3"/>
        <v>-0.003502669804</v>
      </c>
      <c r="M197" s="43">
        <f t="shared" si="4"/>
        <v>-0.05778376094</v>
      </c>
      <c r="N197" s="12" t="s">
        <v>5799</v>
      </c>
      <c r="O197" s="12" t="s">
        <v>5800</v>
      </c>
      <c r="P197" s="43">
        <f t="shared" si="5"/>
        <v>2.433733943</v>
      </c>
      <c r="Q197" s="43">
        <f t="shared" si="6"/>
        <v>1.587976943</v>
      </c>
      <c r="R197" s="12" t="s">
        <v>5801</v>
      </c>
      <c r="S197" s="12" t="s">
        <v>5802</v>
      </c>
      <c r="T197" s="43">
        <f t="shared" si="7"/>
        <v>24.85938654</v>
      </c>
      <c r="U197" s="43">
        <f t="shared" si="8"/>
        <v>0.4417875</v>
      </c>
      <c r="V197" s="12" t="s">
        <v>839</v>
      </c>
      <c r="W197" s="12" t="s">
        <v>5803</v>
      </c>
      <c r="X197" s="12" t="s">
        <v>841</v>
      </c>
      <c r="Y197" s="12" t="s">
        <v>841</v>
      </c>
      <c r="Z197" s="12" t="s">
        <v>841</v>
      </c>
      <c r="AA197" s="12" t="s">
        <v>5804</v>
      </c>
      <c r="AB197" s="12" t="s">
        <v>5805</v>
      </c>
      <c r="AC197" s="12" t="s">
        <v>5806</v>
      </c>
      <c r="AD197" s="12" t="s">
        <v>845</v>
      </c>
      <c r="AE197" s="12" t="s">
        <v>846</v>
      </c>
      <c r="AF197" s="43">
        <f t="shared" si="9"/>
        <v>3.0874832</v>
      </c>
      <c r="AG197" s="12" t="s">
        <v>847</v>
      </c>
      <c r="AH197" s="12" t="s">
        <v>5807</v>
      </c>
      <c r="AI197" s="12" t="s">
        <v>5808</v>
      </c>
      <c r="AJ197" s="12" t="s">
        <v>4239</v>
      </c>
      <c r="AK197" s="12" t="s">
        <v>5809</v>
      </c>
      <c r="AL197" s="43">
        <f t="shared" si="10"/>
        <v>20.59</v>
      </c>
      <c r="AM197" s="12" t="s">
        <v>5513</v>
      </c>
      <c r="AN197" s="12" t="s">
        <v>1072</v>
      </c>
      <c r="AO197" s="12" t="s">
        <v>5810</v>
      </c>
      <c r="AP197" s="12" t="s">
        <v>5193</v>
      </c>
      <c r="AQ197" s="12" t="s">
        <v>1370</v>
      </c>
      <c r="AR197" s="12" t="s">
        <v>5811</v>
      </c>
      <c r="AS197" s="12" t="s">
        <v>5812</v>
      </c>
      <c r="AT197" s="12" t="s">
        <v>366</v>
      </c>
      <c r="AU197" s="12" t="s">
        <v>5813</v>
      </c>
      <c r="AV197" s="12" t="s">
        <v>832</v>
      </c>
      <c r="AW197" s="12" t="s">
        <v>1542</v>
      </c>
      <c r="AX197" s="12" t="s">
        <v>1286</v>
      </c>
      <c r="AY197" s="12" t="s">
        <v>919</v>
      </c>
      <c r="AZ197" s="12" t="s">
        <v>1079</v>
      </c>
      <c r="BA197" s="12" t="s">
        <v>5814</v>
      </c>
      <c r="BB197" s="12" t="s">
        <v>2037</v>
      </c>
      <c r="BC197" s="12" t="s">
        <v>866</v>
      </c>
      <c r="BD197" s="12" t="s">
        <v>867</v>
      </c>
      <c r="BE197" s="12" t="s">
        <v>868</v>
      </c>
      <c r="BF197" s="12" t="s">
        <v>869</v>
      </c>
      <c r="BG197" s="12" t="s">
        <v>870</v>
      </c>
      <c r="BH197" s="12" t="s">
        <v>841</v>
      </c>
      <c r="BI197" s="12" t="s">
        <v>871</v>
      </c>
      <c r="BJ197" s="12" t="s">
        <v>841</v>
      </c>
      <c r="BK197" s="12" t="s">
        <v>841</v>
      </c>
      <c r="BL197" s="12" t="s">
        <v>872</v>
      </c>
      <c r="BM197" s="12" t="s">
        <v>873</v>
      </c>
      <c r="BN197" s="12" t="s">
        <v>866</v>
      </c>
      <c r="BO197" s="12" t="s">
        <v>874</v>
      </c>
      <c r="BP197" s="12" t="s">
        <v>875</v>
      </c>
      <c r="BQ197" s="12" t="s">
        <v>876</v>
      </c>
      <c r="BR197" s="12" t="s">
        <v>869</v>
      </c>
      <c r="BS197" s="12" t="s">
        <v>869</v>
      </c>
      <c r="BT197" s="12" t="s">
        <v>877</v>
      </c>
      <c r="BU197" s="12" t="s">
        <v>877</v>
      </c>
      <c r="BV197" s="12" t="s">
        <v>877</v>
      </c>
      <c r="BW197" s="12" t="s">
        <v>841</v>
      </c>
      <c r="BX197" s="12" t="s">
        <v>878</v>
      </c>
      <c r="BY197" s="12" t="s">
        <v>841</v>
      </c>
      <c r="BZ197" s="12" t="s">
        <v>841</v>
      </c>
      <c r="CA197" s="12" t="s">
        <v>841</v>
      </c>
      <c r="CB197" s="12" t="s">
        <v>841</v>
      </c>
      <c r="CC197" s="12" t="s">
        <v>5815</v>
      </c>
      <c r="CD197" s="12" t="s">
        <v>5816</v>
      </c>
      <c r="CE197" s="12" t="s">
        <v>5817</v>
      </c>
      <c r="CF197" s="12" t="s">
        <v>5818</v>
      </c>
      <c r="CG197" s="12" t="s">
        <v>5819</v>
      </c>
      <c r="CH197" s="12" t="s">
        <v>5820</v>
      </c>
      <c r="CI197" s="12" t="s">
        <v>5821</v>
      </c>
      <c r="CJ197" s="12" t="s">
        <v>5822</v>
      </c>
      <c r="CK197" s="12" t="s">
        <v>5823</v>
      </c>
      <c r="CL197" s="12" t="s">
        <v>1093</v>
      </c>
      <c r="CM197" s="12" t="s">
        <v>888</v>
      </c>
      <c r="CN197" s="12" t="s">
        <v>841</v>
      </c>
      <c r="CO197" s="12" t="s">
        <v>847</v>
      </c>
      <c r="CP197" s="12" t="s">
        <v>889</v>
      </c>
      <c r="CQ197" s="12" t="s">
        <v>890</v>
      </c>
      <c r="CR197" s="12" t="s">
        <v>847</v>
      </c>
      <c r="CS197" s="12" t="s">
        <v>891</v>
      </c>
      <c r="CT197" s="12" t="s">
        <v>892</v>
      </c>
      <c r="CU197" s="12" t="s">
        <v>893</v>
      </c>
      <c r="CV197" s="12" t="s">
        <v>841</v>
      </c>
      <c r="CW197" s="12" t="s">
        <v>5803</v>
      </c>
      <c r="CX197" s="12" t="s">
        <v>894</v>
      </c>
      <c r="CY197" s="12" t="s">
        <v>895</v>
      </c>
      <c r="CZ197" s="12" t="s">
        <v>896</v>
      </c>
      <c r="DA197" s="12" t="s">
        <v>897</v>
      </c>
      <c r="DB197" s="12" t="s">
        <v>898</v>
      </c>
      <c r="DC197" s="12" t="s">
        <v>899</v>
      </c>
    </row>
    <row r="198">
      <c r="A198" s="12" t="s">
        <v>1636</v>
      </c>
      <c r="B198" s="12" t="s">
        <v>573</v>
      </c>
      <c r="C198" s="12" t="s">
        <v>366</v>
      </c>
      <c r="D198" s="12" t="s">
        <v>833</v>
      </c>
      <c r="E198" s="12" t="s">
        <v>834</v>
      </c>
      <c r="F198" s="12"/>
      <c r="G198" s="12" t="s">
        <v>364</v>
      </c>
      <c r="H198" s="12" t="s">
        <v>570</v>
      </c>
      <c r="I198" s="12"/>
      <c r="J198" s="43">
        <f t="shared" si="1"/>
        <v>-0.01280584094</v>
      </c>
      <c r="K198" s="43">
        <f t="shared" si="2"/>
        <v>2.90822672</v>
      </c>
      <c r="L198" s="43">
        <f t="shared" si="3"/>
        <v>-0.0128624785</v>
      </c>
      <c r="M198" s="43">
        <f t="shared" si="4"/>
        <v>-0.4415644741</v>
      </c>
      <c r="N198" s="12" t="s">
        <v>5824</v>
      </c>
      <c r="O198" s="12" t="s">
        <v>5825</v>
      </c>
      <c r="P198" s="43">
        <f t="shared" si="5"/>
        <v>4.080321491</v>
      </c>
      <c r="Q198" s="43">
        <f t="shared" si="6"/>
        <v>3.276700491</v>
      </c>
      <c r="R198" s="12" t="s">
        <v>5826</v>
      </c>
      <c r="S198" s="12" t="s">
        <v>5827</v>
      </c>
      <c r="T198" s="43">
        <f t="shared" si="7"/>
        <v>41.68272031</v>
      </c>
      <c r="U198" s="43">
        <f t="shared" si="8"/>
        <v>0.4417875</v>
      </c>
      <c r="V198" s="12" t="s">
        <v>839</v>
      </c>
      <c r="W198" s="12" t="s">
        <v>5828</v>
      </c>
      <c r="X198" s="12" t="s">
        <v>841</v>
      </c>
      <c r="Y198" s="12" t="s">
        <v>841</v>
      </c>
      <c r="Z198" s="12" t="s">
        <v>841</v>
      </c>
      <c r="AA198" s="12" t="s">
        <v>5829</v>
      </c>
      <c r="AB198" s="12" t="s">
        <v>5830</v>
      </c>
      <c r="AC198" s="12" t="s">
        <v>5831</v>
      </c>
      <c r="AD198" s="12" t="s">
        <v>845</v>
      </c>
      <c r="AE198" s="12" t="s">
        <v>846</v>
      </c>
      <c r="AF198" s="43">
        <f t="shared" si="9"/>
        <v>8.5801256</v>
      </c>
      <c r="AG198" s="12" t="s">
        <v>847</v>
      </c>
      <c r="AH198" s="12" t="s">
        <v>5832</v>
      </c>
      <c r="AI198" s="12" t="s">
        <v>5833</v>
      </c>
      <c r="AJ198" s="12" t="s">
        <v>5834</v>
      </c>
      <c r="AK198" s="12" t="s">
        <v>5835</v>
      </c>
      <c r="AL198" s="43">
        <f t="shared" si="10"/>
        <v>29.25</v>
      </c>
      <c r="AM198" s="12" t="s">
        <v>5617</v>
      </c>
      <c r="AN198" s="12" t="s">
        <v>853</v>
      </c>
      <c r="AO198" s="12" t="s">
        <v>5836</v>
      </c>
      <c r="AP198" s="12" t="s">
        <v>5837</v>
      </c>
      <c r="AQ198" s="12" t="s">
        <v>2022</v>
      </c>
      <c r="AR198" s="12" t="s">
        <v>5811</v>
      </c>
      <c r="AS198" s="12" t="s">
        <v>5812</v>
      </c>
      <c r="AT198" s="12" t="s">
        <v>366</v>
      </c>
      <c r="AU198" s="12" t="s">
        <v>5813</v>
      </c>
      <c r="AV198" s="12" t="s">
        <v>832</v>
      </c>
      <c r="AW198" s="12" t="s">
        <v>1542</v>
      </c>
      <c r="AX198" s="12" t="s">
        <v>1342</v>
      </c>
      <c r="AY198" s="12" t="s">
        <v>1226</v>
      </c>
      <c r="AZ198" s="12" t="s">
        <v>5838</v>
      </c>
      <c r="BA198" s="12" t="s">
        <v>5839</v>
      </c>
      <c r="BB198" s="12" t="s">
        <v>5840</v>
      </c>
      <c r="BC198" s="12" t="s">
        <v>866</v>
      </c>
      <c r="BD198" s="12" t="s">
        <v>867</v>
      </c>
      <c r="BE198" s="12" t="s">
        <v>868</v>
      </c>
      <c r="BF198" s="12" t="s">
        <v>869</v>
      </c>
      <c r="BG198" s="12" t="s">
        <v>870</v>
      </c>
      <c r="BH198" s="12" t="s">
        <v>841</v>
      </c>
      <c r="BI198" s="12" t="s">
        <v>871</v>
      </c>
      <c r="BJ198" s="12" t="s">
        <v>841</v>
      </c>
      <c r="BK198" s="12" t="s">
        <v>841</v>
      </c>
      <c r="BL198" s="12" t="s">
        <v>872</v>
      </c>
      <c r="BM198" s="12" t="s">
        <v>873</v>
      </c>
      <c r="BN198" s="12" t="s">
        <v>866</v>
      </c>
      <c r="BO198" s="12" t="s">
        <v>874</v>
      </c>
      <c r="BP198" s="12" t="s">
        <v>875</v>
      </c>
      <c r="BQ198" s="12" t="s">
        <v>876</v>
      </c>
      <c r="BR198" s="12" t="s">
        <v>869</v>
      </c>
      <c r="BS198" s="12" t="s">
        <v>869</v>
      </c>
      <c r="BT198" s="12" t="s">
        <v>877</v>
      </c>
      <c r="BU198" s="12" t="s">
        <v>877</v>
      </c>
      <c r="BV198" s="12" t="s">
        <v>877</v>
      </c>
      <c r="BW198" s="12" t="s">
        <v>841</v>
      </c>
      <c r="BX198" s="12" t="s">
        <v>878</v>
      </c>
      <c r="BY198" s="12" t="s">
        <v>841</v>
      </c>
      <c r="BZ198" s="12" t="s">
        <v>841</v>
      </c>
      <c r="CA198" s="12" t="s">
        <v>841</v>
      </c>
      <c r="CB198" s="12" t="s">
        <v>841</v>
      </c>
      <c r="CC198" s="12" t="s">
        <v>5841</v>
      </c>
      <c r="CD198" s="12" t="s">
        <v>5842</v>
      </c>
      <c r="CE198" s="12" t="s">
        <v>5843</v>
      </c>
      <c r="CF198" s="12" t="s">
        <v>5844</v>
      </c>
      <c r="CG198" s="12" t="s">
        <v>5845</v>
      </c>
      <c r="CH198" s="12" t="s">
        <v>5846</v>
      </c>
      <c r="CI198" s="12" t="s">
        <v>5847</v>
      </c>
      <c r="CJ198" s="12" t="s">
        <v>5848</v>
      </c>
      <c r="CK198" s="12" t="s">
        <v>5829</v>
      </c>
      <c r="CL198" s="12" t="s">
        <v>1324</v>
      </c>
      <c r="CM198" s="12" t="s">
        <v>888</v>
      </c>
      <c r="CN198" s="12" t="s">
        <v>841</v>
      </c>
      <c r="CO198" s="12" t="s">
        <v>847</v>
      </c>
      <c r="CP198" s="12" t="s">
        <v>889</v>
      </c>
      <c r="CQ198" s="12" t="s">
        <v>890</v>
      </c>
      <c r="CR198" s="12" t="s">
        <v>847</v>
      </c>
      <c r="CS198" s="12" t="s">
        <v>891</v>
      </c>
      <c r="CT198" s="12" t="s">
        <v>892</v>
      </c>
      <c r="CU198" s="12" t="s">
        <v>893</v>
      </c>
      <c r="CV198" s="12" t="s">
        <v>841</v>
      </c>
      <c r="CW198" s="12" t="s">
        <v>5828</v>
      </c>
      <c r="CX198" s="12" t="s">
        <v>894</v>
      </c>
      <c r="CY198" s="12" t="s">
        <v>895</v>
      </c>
      <c r="CZ198" s="12" t="s">
        <v>896</v>
      </c>
      <c r="DA198" s="12" t="s">
        <v>897</v>
      </c>
      <c r="DB198" s="12" t="s">
        <v>898</v>
      </c>
      <c r="DC198" s="12" t="s">
        <v>899</v>
      </c>
    </row>
    <row r="199">
      <c r="A199" s="12" t="s">
        <v>1661</v>
      </c>
      <c r="B199" s="12" t="s">
        <v>574</v>
      </c>
      <c r="C199" s="12" t="s">
        <v>366</v>
      </c>
      <c r="D199" s="12" t="s">
        <v>833</v>
      </c>
      <c r="E199" s="12" t="s">
        <v>834</v>
      </c>
      <c r="F199" s="12"/>
      <c r="G199" s="12" t="s">
        <v>364</v>
      </c>
      <c r="H199" s="12" t="s">
        <v>570</v>
      </c>
      <c r="I199" s="12"/>
      <c r="J199" s="43">
        <f t="shared" si="1"/>
        <v>-0.001670438034</v>
      </c>
      <c r="K199" s="43">
        <f t="shared" si="2"/>
        <v>2.90981592</v>
      </c>
      <c r="L199" s="43">
        <f t="shared" si="3"/>
        <v>-0.001671397533</v>
      </c>
      <c r="M199" s="43">
        <f t="shared" si="4"/>
        <v>-0.05671292618</v>
      </c>
      <c r="N199" s="12" t="s">
        <v>5849</v>
      </c>
      <c r="O199" s="12" t="s">
        <v>5850</v>
      </c>
      <c r="P199" s="43">
        <f t="shared" si="5"/>
        <v>4.073256636</v>
      </c>
      <c r="Q199" s="43">
        <f t="shared" si="6"/>
        <v>3.238579636</v>
      </c>
      <c r="R199" s="12" t="s">
        <v>5851</v>
      </c>
      <c r="S199" s="12" t="s">
        <v>5852</v>
      </c>
      <c r="T199" s="43">
        <f t="shared" si="7"/>
        <v>41.60629863</v>
      </c>
      <c r="U199" s="43">
        <f t="shared" si="8"/>
        <v>0.4417875</v>
      </c>
      <c r="V199" s="12" t="s">
        <v>839</v>
      </c>
      <c r="W199" s="12" t="s">
        <v>5853</v>
      </c>
      <c r="X199" s="12" t="s">
        <v>841</v>
      </c>
      <c r="Y199" s="12" t="s">
        <v>841</v>
      </c>
      <c r="Z199" s="12" t="s">
        <v>841</v>
      </c>
      <c r="AA199" s="12" t="s">
        <v>5854</v>
      </c>
      <c r="AB199" s="12" t="s">
        <v>5855</v>
      </c>
      <c r="AC199" s="12" t="s">
        <v>5856</v>
      </c>
      <c r="AD199" s="12" t="s">
        <v>845</v>
      </c>
      <c r="AE199" s="12" t="s">
        <v>846</v>
      </c>
      <c r="AF199" s="43">
        <f t="shared" si="9"/>
        <v>8.1975132</v>
      </c>
      <c r="AG199" s="12" t="s">
        <v>847</v>
      </c>
      <c r="AH199" s="12" t="s">
        <v>5857</v>
      </c>
      <c r="AI199" s="12" t="s">
        <v>5858</v>
      </c>
      <c r="AJ199" s="12" t="s">
        <v>5859</v>
      </c>
      <c r="AK199" s="12" t="s">
        <v>5860</v>
      </c>
      <c r="AL199" s="43">
        <f t="shared" si="10"/>
        <v>29.22</v>
      </c>
      <c r="AM199" s="12" t="s">
        <v>5513</v>
      </c>
      <c r="AN199" s="12" t="s">
        <v>914</v>
      </c>
      <c r="AO199" s="12" t="s">
        <v>1133</v>
      </c>
      <c r="AP199" s="12" t="s">
        <v>1956</v>
      </c>
      <c r="AQ199" s="12" t="s">
        <v>1970</v>
      </c>
      <c r="AR199" s="12" t="s">
        <v>5861</v>
      </c>
      <c r="AS199" s="12" t="s">
        <v>5812</v>
      </c>
      <c r="AT199" s="12" t="s">
        <v>366</v>
      </c>
      <c r="AU199" s="12" t="s">
        <v>5813</v>
      </c>
      <c r="AV199" s="12" t="s">
        <v>832</v>
      </c>
      <c r="AW199" s="12" t="s">
        <v>1543</v>
      </c>
      <c r="AX199" s="12" t="s">
        <v>1543</v>
      </c>
      <c r="AY199" s="12" t="s">
        <v>1226</v>
      </c>
      <c r="AZ199" s="12" t="s">
        <v>5862</v>
      </c>
      <c r="BA199" s="12" t="s">
        <v>5863</v>
      </c>
      <c r="BB199" s="12" t="s">
        <v>5864</v>
      </c>
      <c r="BC199" s="12" t="s">
        <v>866</v>
      </c>
      <c r="BD199" s="12" t="s">
        <v>867</v>
      </c>
      <c r="BE199" s="12" t="s">
        <v>868</v>
      </c>
      <c r="BF199" s="12" t="s">
        <v>869</v>
      </c>
      <c r="BG199" s="12" t="s">
        <v>870</v>
      </c>
      <c r="BH199" s="12" t="s">
        <v>841</v>
      </c>
      <c r="BI199" s="12" t="s">
        <v>871</v>
      </c>
      <c r="BJ199" s="12" t="s">
        <v>841</v>
      </c>
      <c r="BK199" s="12" t="s">
        <v>841</v>
      </c>
      <c r="BL199" s="12" t="s">
        <v>872</v>
      </c>
      <c r="BM199" s="12" t="s">
        <v>873</v>
      </c>
      <c r="BN199" s="12" t="s">
        <v>866</v>
      </c>
      <c r="BO199" s="12" t="s">
        <v>874</v>
      </c>
      <c r="BP199" s="12" t="s">
        <v>875</v>
      </c>
      <c r="BQ199" s="12" t="s">
        <v>876</v>
      </c>
      <c r="BR199" s="12" t="s">
        <v>869</v>
      </c>
      <c r="BS199" s="12" t="s">
        <v>869</v>
      </c>
      <c r="BT199" s="12" t="s">
        <v>877</v>
      </c>
      <c r="BU199" s="12" t="s">
        <v>877</v>
      </c>
      <c r="BV199" s="12" t="s">
        <v>877</v>
      </c>
      <c r="BW199" s="12" t="s">
        <v>841</v>
      </c>
      <c r="BX199" s="12" t="s">
        <v>878</v>
      </c>
      <c r="BY199" s="12" t="s">
        <v>841</v>
      </c>
      <c r="BZ199" s="12" t="s">
        <v>841</v>
      </c>
      <c r="CA199" s="12" t="s">
        <v>841</v>
      </c>
      <c r="CB199" s="12" t="s">
        <v>841</v>
      </c>
      <c r="CC199" s="12" t="s">
        <v>5865</v>
      </c>
      <c r="CD199" s="12" t="s">
        <v>5866</v>
      </c>
      <c r="CE199" s="12" t="s">
        <v>5867</v>
      </c>
      <c r="CF199" s="12" t="s">
        <v>5868</v>
      </c>
      <c r="CG199" s="12" t="s">
        <v>5869</v>
      </c>
      <c r="CH199" s="12" t="s">
        <v>5870</v>
      </c>
      <c r="CI199" s="12" t="s">
        <v>5871</v>
      </c>
      <c r="CJ199" s="12" t="s">
        <v>5872</v>
      </c>
      <c r="CK199" s="12" t="s">
        <v>5854</v>
      </c>
      <c r="CL199" s="12" t="s">
        <v>933</v>
      </c>
      <c r="CM199" s="12" t="s">
        <v>888</v>
      </c>
      <c r="CN199" s="12" t="s">
        <v>841</v>
      </c>
      <c r="CO199" s="12" t="s">
        <v>847</v>
      </c>
      <c r="CP199" s="12" t="s">
        <v>889</v>
      </c>
      <c r="CQ199" s="12" t="s">
        <v>890</v>
      </c>
      <c r="CR199" s="12" t="s">
        <v>847</v>
      </c>
      <c r="CS199" s="12" t="s">
        <v>891</v>
      </c>
      <c r="CT199" s="12" t="s">
        <v>892</v>
      </c>
      <c r="CU199" s="12" t="s">
        <v>893</v>
      </c>
      <c r="CV199" s="12" t="s">
        <v>841</v>
      </c>
      <c r="CW199" s="12" t="s">
        <v>5853</v>
      </c>
      <c r="CX199" s="12" t="s">
        <v>894</v>
      </c>
      <c r="CY199" s="12" t="s">
        <v>895</v>
      </c>
      <c r="CZ199" s="12" t="s">
        <v>896</v>
      </c>
      <c r="DA199" s="12" t="s">
        <v>897</v>
      </c>
      <c r="DB199" s="12" t="s">
        <v>898</v>
      </c>
      <c r="DC199" s="12" t="s">
        <v>899</v>
      </c>
    </row>
    <row r="200">
      <c r="A200" s="12" t="s">
        <v>1687</v>
      </c>
      <c r="B200" s="12" t="s">
        <v>575</v>
      </c>
      <c r="C200" s="12" t="s">
        <v>366</v>
      </c>
      <c r="D200" s="12" t="s">
        <v>833</v>
      </c>
      <c r="E200" s="12" t="s">
        <v>834</v>
      </c>
      <c r="F200" s="12"/>
      <c r="G200" s="12" t="s">
        <v>364</v>
      </c>
      <c r="H200" s="12" t="s">
        <v>570</v>
      </c>
      <c r="I200" s="12"/>
      <c r="J200" s="43">
        <f t="shared" si="1"/>
        <v>0.0121512781</v>
      </c>
      <c r="K200" s="43">
        <f t="shared" si="2"/>
        <v>2.90981592</v>
      </c>
      <c r="L200" s="43">
        <f t="shared" si="3"/>
        <v>0.01210074586</v>
      </c>
      <c r="M200" s="43">
        <f t="shared" si="4"/>
        <v>0.3871958486</v>
      </c>
      <c r="N200" s="12" t="s">
        <v>5873</v>
      </c>
      <c r="O200" s="12" t="s">
        <v>5874</v>
      </c>
      <c r="P200" s="43">
        <f t="shared" si="5"/>
        <v>3.902333347</v>
      </c>
      <c r="Q200" s="43">
        <f t="shared" si="6"/>
        <v>3.056584347</v>
      </c>
      <c r="R200" s="12" t="s">
        <v>5875</v>
      </c>
      <c r="S200" s="12" t="s">
        <v>5876</v>
      </c>
      <c r="T200" s="43">
        <f t="shared" si="7"/>
        <v>39.86040191</v>
      </c>
      <c r="U200" s="43">
        <f t="shared" si="8"/>
        <v>0.4417875</v>
      </c>
      <c r="V200" s="12" t="s">
        <v>839</v>
      </c>
      <c r="W200" s="12" t="s">
        <v>5877</v>
      </c>
      <c r="X200" s="12" t="s">
        <v>841</v>
      </c>
      <c r="Y200" s="12" t="s">
        <v>841</v>
      </c>
      <c r="Z200" s="12" t="s">
        <v>841</v>
      </c>
      <c r="AA200" s="12" t="s">
        <v>5878</v>
      </c>
      <c r="AB200" s="12" t="s">
        <v>5879</v>
      </c>
      <c r="AC200" s="12" t="s">
        <v>5880</v>
      </c>
      <c r="AD200" s="12" t="s">
        <v>845</v>
      </c>
      <c r="AE200" s="12" t="s">
        <v>846</v>
      </c>
      <c r="AF200" s="43">
        <f t="shared" si="9"/>
        <v>9.8325744</v>
      </c>
      <c r="AG200" s="12" t="s">
        <v>847</v>
      </c>
      <c r="AH200" s="12" t="s">
        <v>5881</v>
      </c>
      <c r="AI200" s="12" t="s">
        <v>5882</v>
      </c>
      <c r="AJ200" s="12" t="s">
        <v>5398</v>
      </c>
      <c r="AK200" s="12" t="s">
        <v>3583</v>
      </c>
      <c r="AL200" s="43">
        <f t="shared" si="10"/>
        <v>28.48</v>
      </c>
      <c r="AM200" s="12" t="s">
        <v>5513</v>
      </c>
      <c r="AN200" s="12" t="s">
        <v>914</v>
      </c>
      <c r="AO200" s="12" t="s">
        <v>5883</v>
      </c>
      <c r="AP200" s="12" t="s">
        <v>5884</v>
      </c>
      <c r="AQ200" s="12" t="s">
        <v>2129</v>
      </c>
      <c r="AR200" s="12" t="s">
        <v>5885</v>
      </c>
      <c r="AS200" s="12" t="s">
        <v>5812</v>
      </c>
      <c r="AT200" s="12" t="s">
        <v>366</v>
      </c>
      <c r="AU200" s="12" t="s">
        <v>5813</v>
      </c>
      <c r="AV200" s="12" t="s">
        <v>832</v>
      </c>
      <c r="AW200" s="12" t="s">
        <v>1342</v>
      </c>
      <c r="AX200" s="12" t="s">
        <v>1543</v>
      </c>
      <c r="AY200" s="12" t="s">
        <v>868</v>
      </c>
      <c r="AZ200" s="12" t="s">
        <v>5886</v>
      </c>
      <c r="BA200" s="12" t="s">
        <v>5887</v>
      </c>
      <c r="BB200" s="12" t="s">
        <v>868</v>
      </c>
      <c r="BC200" s="12" t="s">
        <v>866</v>
      </c>
      <c r="BD200" s="12" t="s">
        <v>867</v>
      </c>
      <c r="BE200" s="12" t="s">
        <v>868</v>
      </c>
      <c r="BF200" s="12" t="s">
        <v>869</v>
      </c>
      <c r="BG200" s="12" t="s">
        <v>870</v>
      </c>
      <c r="BH200" s="12" t="s">
        <v>841</v>
      </c>
      <c r="BI200" s="12" t="s">
        <v>871</v>
      </c>
      <c r="BJ200" s="12" t="s">
        <v>841</v>
      </c>
      <c r="BK200" s="12" t="s">
        <v>841</v>
      </c>
      <c r="BL200" s="12" t="s">
        <v>872</v>
      </c>
      <c r="BM200" s="12" t="s">
        <v>873</v>
      </c>
      <c r="BN200" s="12" t="s">
        <v>866</v>
      </c>
      <c r="BO200" s="12" t="s">
        <v>874</v>
      </c>
      <c r="BP200" s="12" t="s">
        <v>875</v>
      </c>
      <c r="BQ200" s="12" t="s">
        <v>876</v>
      </c>
      <c r="BR200" s="12" t="s">
        <v>869</v>
      </c>
      <c r="BS200" s="12" t="s">
        <v>869</v>
      </c>
      <c r="BT200" s="12" t="s">
        <v>877</v>
      </c>
      <c r="BU200" s="12" t="s">
        <v>877</v>
      </c>
      <c r="BV200" s="12" t="s">
        <v>877</v>
      </c>
      <c r="BW200" s="12" t="s">
        <v>841</v>
      </c>
      <c r="BX200" s="12" t="s">
        <v>878</v>
      </c>
      <c r="BY200" s="12" t="s">
        <v>841</v>
      </c>
      <c r="BZ200" s="12" t="s">
        <v>841</v>
      </c>
      <c r="CA200" s="12" t="s">
        <v>841</v>
      </c>
      <c r="CB200" s="12" t="s">
        <v>841</v>
      </c>
      <c r="CC200" s="12" t="s">
        <v>5888</v>
      </c>
      <c r="CD200" s="12" t="s">
        <v>5889</v>
      </c>
      <c r="CE200" s="12" t="s">
        <v>5890</v>
      </c>
      <c r="CF200" s="12" t="s">
        <v>5891</v>
      </c>
      <c r="CG200" s="12" t="s">
        <v>5892</v>
      </c>
      <c r="CH200" s="12" t="s">
        <v>5893</v>
      </c>
      <c r="CI200" s="12" t="s">
        <v>5894</v>
      </c>
      <c r="CJ200" s="12" t="s">
        <v>5895</v>
      </c>
      <c r="CK200" s="12" t="s">
        <v>5878</v>
      </c>
      <c r="CL200" s="12" t="s">
        <v>1028</v>
      </c>
      <c r="CM200" s="12" t="s">
        <v>888</v>
      </c>
      <c r="CN200" s="12" t="s">
        <v>841</v>
      </c>
      <c r="CO200" s="12" t="s">
        <v>847</v>
      </c>
      <c r="CP200" s="12" t="s">
        <v>889</v>
      </c>
      <c r="CQ200" s="12" t="s">
        <v>890</v>
      </c>
      <c r="CR200" s="12" t="s">
        <v>847</v>
      </c>
      <c r="CS200" s="12" t="s">
        <v>891</v>
      </c>
      <c r="CT200" s="12" t="s">
        <v>892</v>
      </c>
      <c r="CU200" s="12" t="s">
        <v>893</v>
      </c>
      <c r="CV200" s="12" t="s">
        <v>841</v>
      </c>
      <c r="CW200" s="12" t="s">
        <v>5877</v>
      </c>
      <c r="CX200" s="12" t="s">
        <v>894</v>
      </c>
      <c r="CY200" s="12" t="s">
        <v>895</v>
      </c>
      <c r="CZ200" s="12" t="s">
        <v>896</v>
      </c>
      <c r="DA200" s="12" t="s">
        <v>897</v>
      </c>
      <c r="DB200" s="12" t="s">
        <v>898</v>
      </c>
      <c r="DC200" s="12" t="s">
        <v>899</v>
      </c>
    </row>
    <row r="201">
      <c r="A201" s="12" t="s">
        <v>1713</v>
      </c>
      <c r="B201" s="12" t="s">
        <v>577</v>
      </c>
      <c r="C201" s="12" t="s">
        <v>366</v>
      </c>
      <c r="D201" s="12" t="s">
        <v>833</v>
      </c>
      <c r="E201" s="12" t="s">
        <v>834</v>
      </c>
      <c r="F201" s="12"/>
      <c r="G201" s="12" t="s">
        <v>364</v>
      </c>
      <c r="H201" s="12" t="s">
        <v>576</v>
      </c>
      <c r="I201" s="12"/>
      <c r="J201" s="43">
        <f t="shared" si="1"/>
        <v>0.0003176158473</v>
      </c>
      <c r="K201" s="43">
        <f t="shared" si="2"/>
        <v>2.91060848</v>
      </c>
      <c r="L201" s="43">
        <f t="shared" si="3"/>
        <v>0.0003175811917</v>
      </c>
      <c r="M201" s="43">
        <f t="shared" si="4"/>
        <v>0.01111701744</v>
      </c>
      <c r="N201" s="12" t="s">
        <v>5896</v>
      </c>
      <c r="O201" s="12" t="s">
        <v>5897</v>
      </c>
      <c r="P201" s="43">
        <f t="shared" si="5"/>
        <v>4.158742848</v>
      </c>
      <c r="Q201" s="43">
        <f t="shared" si="6"/>
        <v>3.339155848</v>
      </c>
      <c r="R201" s="12" t="s">
        <v>5898</v>
      </c>
      <c r="S201" s="12" t="s">
        <v>5899</v>
      </c>
      <c r="T201" s="43">
        <f t="shared" si="7"/>
        <v>42.48817785</v>
      </c>
      <c r="U201" s="43">
        <f t="shared" si="8"/>
        <v>0.4417875</v>
      </c>
      <c r="V201" s="12" t="s">
        <v>839</v>
      </c>
      <c r="W201" s="12" t="s">
        <v>5900</v>
      </c>
      <c r="X201" s="12" t="s">
        <v>841</v>
      </c>
      <c r="Y201" s="12" t="s">
        <v>841</v>
      </c>
      <c r="Z201" s="12" t="s">
        <v>841</v>
      </c>
      <c r="AA201" s="12" t="s">
        <v>5901</v>
      </c>
      <c r="AB201" s="12" t="s">
        <v>5902</v>
      </c>
      <c r="AC201" s="12" t="s">
        <v>5903</v>
      </c>
      <c r="AD201" s="12" t="s">
        <v>845</v>
      </c>
      <c r="AE201" s="12" t="s">
        <v>846</v>
      </c>
      <c r="AF201" s="43">
        <f t="shared" si="9"/>
        <v>12.0032</v>
      </c>
      <c r="AG201" s="12" t="s">
        <v>847</v>
      </c>
      <c r="AH201" s="12" t="s">
        <v>5441</v>
      </c>
      <c r="AI201" s="12" t="s">
        <v>5441</v>
      </c>
      <c r="AJ201" s="12" t="s">
        <v>5466</v>
      </c>
      <c r="AK201" s="12" t="s">
        <v>3931</v>
      </c>
      <c r="AL201" s="43">
        <f t="shared" si="10"/>
        <v>29.58</v>
      </c>
      <c r="AM201" s="12" t="s">
        <v>5639</v>
      </c>
      <c r="AN201" s="12" t="s">
        <v>1159</v>
      </c>
      <c r="AO201" s="12" t="s">
        <v>5904</v>
      </c>
      <c r="AP201" s="12" t="s">
        <v>5905</v>
      </c>
      <c r="AQ201" s="12" t="s">
        <v>2629</v>
      </c>
      <c r="AR201" s="12" t="s">
        <v>5906</v>
      </c>
      <c r="AS201" s="12" t="s">
        <v>5812</v>
      </c>
      <c r="AT201" s="12" t="s">
        <v>366</v>
      </c>
      <c r="AU201" s="12" t="s">
        <v>5813</v>
      </c>
      <c r="AV201" s="12" t="s">
        <v>832</v>
      </c>
      <c r="AW201" s="12" t="s">
        <v>1543</v>
      </c>
      <c r="AX201" s="12" t="s">
        <v>1542</v>
      </c>
      <c r="AY201" s="12" t="s">
        <v>1226</v>
      </c>
      <c r="AZ201" s="12" t="s">
        <v>5907</v>
      </c>
      <c r="BA201" s="12" t="s">
        <v>5908</v>
      </c>
      <c r="BB201" s="12" t="s">
        <v>5909</v>
      </c>
      <c r="BC201" s="12" t="s">
        <v>866</v>
      </c>
      <c r="BD201" s="12" t="s">
        <v>867</v>
      </c>
      <c r="BE201" s="12" t="s">
        <v>868</v>
      </c>
      <c r="BF201" s="12" t="s">
        <v>869</v>
      </c>
      <c r="BG201" s="12" t="s">
        <v>870</v>
      </c>
      <c r="BH201" s="12" t="s">
        <v>841</v>
      </c>
      <c r="BI201" s="12" t="s">
        <v>871</v>
      </c>
      <c r="BJ201" s="12" t="s">
        <v>841</v>
      </c>
      <c r="BK201" s="12" t="s">
        <v>841</v>
      </c>
      <c r="BL201" s="12" t="s">
        <v>872</v>
      </c>
      <c r="BM201" s="12" t="s">
        <v>873</v>
      </c>
      <c r="BN201" s="12" t="s">
        <v>866</v>
      </c>
      <c r="BO201" s="12" t="s">
        <v>874</v>
      </c>
      <c r="BP201" s="12" t="s">
        <v>875</v>
      </c>
      <c r="BQ201" s="12" t="s">
        <v>876</v>
      </c>
      <c r="BR201" s="12" t="s">
        <v>869</v>
      </c>
      <c r="BS201" s="12" t="s">
        <v>869</v>
      </c>
      <c r="BT201" s="12" t="s">
        <v>877</v>
      </c>
      <c r="BU201" s="12" t="s">
        <v>877</v>
      </c>
      <c r="BV201" s="12" t="s">
        <v>877</v>
      </c>
      <c r="BW201" s="12" t="s">
        <v>841</v>
      </c>
      <c r="BX201" s="12" t="s">
        <v>878</v>
      </c>
      <c r="BY201" s="12" t="s">
        <v>841</v>
      </c>
      <c r="BZ201" s="12" t="s">
        <v>841</v>
      </c>
      <c r="CA201" s="12" t="s">
        <v>841</v>
      </c>
      <c r="CB201" s="12" t="s">
        <v>841</v>
      </c>
      <c r="CC201" s="12" t="s">
        <v>5910</v>
      </c>
      <c r="CD201" s="12" t="s">
        <v>5911</v>
      </c>
      <c r="CE201" s="12" t="s">
        <v>5912</v>
      </c>
      <c r="CF201" s="12" t="s">
        <v>5913</v>
      </c>
      <c r="CG201" s="12" t="s">
        <v>5914</v>
      </c>
      <c r="CH201" s="12" t="s">
        <v>5915</v>
      </c>
      <c r="CI201" s="12" t="s">
        <v>5916</v>
      </c>
      <c r="CJ201" s="12" t="s">
        <v>5917</v>
      </c>
      <c r="CK201" s="12" t="s">
        <v>5901</v>
      </c>
      <c r="CL201" s="12" t="s">
        <v>1299</v>
      </c>
      <c r="CM201" s="12" t="s">
        <v>888</v>
      </c>
      <c r="CN201" s="12" t="s">
        <v>841</v>
      </c>
      <c r="CO201" s="12" t="s">
        <v>847</v>
      </c>
      <c r="CP201" s="12" t="s">
        <v>889</v>
      </c>
      <c r="CQ201" s="12" t="s">
        <v>890</v>
      </c>
      <c r="CR201" s="12" t="s">
        <v>847</v>
      </c>
      <c r="CS201" s="12" t="s">
        <v>891</v>
      </c>
      <c r="CT201" s="12" t="s">
        <v>892</v>
      </c>
      <c r="CU201" s="12" t="s">
        <v>893</v>
      </c>
      <c r="CV201" s="12" t="s">
        <v>841</v>
      </c>
      <c r="CW201" s="12" t="s">
        <v>5900</v>
      </c>
      <c r="CX201" s="12" t="s">
        <v>894</v>
      </c>
      <c r="CY201" s="12" t="s">
        <v>895</v>
      </c>
      <c r="CZ201" s="12" t="s">
        <v>896</v>
      </c>
      <c r="DA201" s="12" t="s">
        <v>897</v>
      </c>
      <c r="DB201" s="12" t="s">
        <v>898</v>
      </c>
      <c r="DC201" s="12" t="s">
        <v>899</v>
      </c>
    </row>
    <row r="202">
      <c r="A202" s="12" t="s">
        <v>1743</v>
      </c>
      <c r="B202" s="12" t="s">
        <v>578</v>
      </c>
      <c r="C202" s="12" t="s">
        <v>366</v>
      </c>
      <c r="D202" s="12" t="s">
        <v>833</v>
      </c>
      <c r="E202" s="12" t="s">
        <v>834</v>
      </c>
      <c r="F202" s="12"/>
      <c r="G202" s="12" t="s">
        <v>364</v>
      </c>
      <c r="H202" s="12" t="s">
        <v>576</v>
      </c>
      <c r="I202" s="12"/>
      <c r="J202" s="43">
        <f t="shared" si="1"/>
        <v>-0.004835035083</v>
      </c>
      <c r="K202" s="43">
        <f t="shared" si="2"/>
        <v>2.909022</v>
      </c>
      <c r="L202" s="43">
        <f t="shared" si="3"/>
        <v>-0.004843084691</v>
      </c>
      <c r="M202" s="43">
        <f t="shared" si="4"/>
        <v>-0.1686355823</v>
      </c>
      <c r="N202" s="12" t="s">
        <v>5918</v>
      </c>
      <c r="O202" s="12" t="s">
        <v>5919</v>
      </c>
      <c r="P202" s="43">
        <f t="shared" si="5"/>
        <v>4.122935403</v>
      </c>
      <c r="Q202" s="43">
        <f t="shared" si="6"/>
        <v>3.322061403</v>
      </c>
      <c r="R202" s="12" t="s">
        <v>5920</v>
      </c>
      <c r="S202" s="12" t="s">
        <v>5921</v>
      </c>
      <c r="T202" s="43">
        <f t="shared" si="7"/>
        <v>42.12665171</v>
      </c>
      <c r="U202" s="43">
        <f t="shared" si="8"/>
        <v>0.4417875</v>
      </c>
      <c r="V202" s="12" t="s">
        <v>839</v>
      </c>
      <c r="W202" s="12" t="s">
        <v>5922</v>
      </c>
      <c r="X202" s="12" t="s">
        <v>841</v>
      </c>
      <c r="Y202" s="12" t="s">
        <v>841</v>
      </c>
      <c r="Z202" s="12" t="s">
        <v>841</v>
      </c>
      <c r="AA202" s="12" t="s">
        <v>5923</v>
      </c>
      <c r="AB202" s="12" t="s">
        <v>5924</v>
      </c>
      <c r="AC202" s="12" t="s">
        <v>5925</v>
      </c>
      <c r="AD202" s="12" t="s">
        <v>845</v>
      </c>
      <c r="AE202" s="12" t="s">
        <v>846</v>
      </c>
      <c r="AF202" s="43">
        <f t="shared" si="9"/>
        <v>14.89514</v>
      </c>
      <c r="AG202" s="12" t="s">
        <v>847</v>
      </c>
      <c r="AH202" s="12" t="s">
        <v>5926</v>
      </c>
      <c r="AI202" s="12" t="s">
        <v>5927</v>
      </c>
      <c r="AJ202" s="12" t="s">
        <v>5928</v>
      </c>
      <c r="AK202" s="12" t="s">
        <v>5929</v>
      </c>
      <c r="AL202" s="43">
        <f t="shared" si="10"/>
        <v>29.43</v>
      </c>
      <c r="AM202" s="12" t="s">
        <v>5664</v>
      </c>
      <c r="AN202" s="12" t="s">
        <v>1072</v>
      </c>
      <c r="AO202" s="12" t="s">
        <v>1674</v>
      </c>
      <c r="AP202" s="12" t="s">
        <v>1675</v>
      </c>
      <c r="AQ202" s="12" t="s">
        <v>2218</v>
      </c>
      <c r="AR202" s="12" t="s">
        <v>5906</v>
      </c>
      <c r="AS202" s="12" t="s">
        <v>5812</v>
      </c>
      <c r="AT202" s="12" t="s">
        <v>366</v>
      </c>
      <c r="AU202" s="12" t="s">
        <v>5813</v>
      </c>
      <c r="AV202" s="12" t="s">
        <v>832</v>
      </c>
      <c r="AW202" s="12" t="s">
        <v>919</v>
      </c>
      <c r="AX202" s="12" t="s">
        <v>919</v>
      </c>
      <c r="AY202" s="12" t="s">
        <v>1164</v>
      </c>
      <c r="AZ202" s="12" t="s">
        <v>5930</v>
      </c>
      <c r="BA202" s="12" t="s">
        <v>5931</v>
      </c>
      <c r="BB202" s="12" t="s">
        <v>5932</v>
      </c>
      <c r="BC202" s="12" t="s">
        <v>866</v>
      </c>
      <c r="BD202" s="12" t="s">
        <v>867</v>
      </c>
      <c r="BE202" s="12" t="s">
        <v>868</v>
      </c>
      <c r="BF202" s="12" t="s">
        <v>869</v>
      </c>
      <c r="BG202" s="12" t="s">
        <v>870</v>
      </c>
      <c r="BH202" s="12" t="s">
        <v>841</v>
      </c>
      <c r="BI202" s="12" t="s">
        <v>871</v>
      </c>
      <c r="BJ202" s="12" t="s">
        <v>841</v>
      </c>
      <c r="BK202" s="12" t="s">
        <v>841</v>
      </c>
      <c r="BL202" s="12" t="s">
        <v>872</v>
      </c>
      <c r="BM202" s="12" t="s">
        <v>873</v>
      </c>
      <c r="BN202" s="12" t="s">
        <v>866</v>
      </c>
      <c r="BO202" s="12" t="s">
        <v>874</v>
      </c>
      <c r="BP202" s="12" t="s">
        <v>875</v>
      </c>
      <c r="BQ202" s="12" t="s">
        <v>876</v>
      </c>
      <c r="BR202" s="12" t="s">
        <v>869</v>
      </c>
      <c r="BS202" s="12" t="s">
        <v>869</v>
      </c>
      <c r="BT202" s="12" t="s">
        <v>877</v>
      </c>
      <c r="BU202" s="12" t="s">
        <v>877</v>
      </c>
      <c r="BV202" s="12" t="s">
        <v>877</v>
      </c>
      <c r="BW202" s="12" t="s">
        <v>841</v>
      </c>
      <c r="BX202" s="12" t="s">
        <v>878</v>
      </c>
      <c r="BY202" s="12" t="s">
        <v>841</v>
      </c>
      <c r="BZ202" s="12" t="s">
        <v>841</v>
      </c>
      <c r="CA202" s="12" t="s">
        <v>841</v>
      </c>
      <c r="CB202" s="12" t="s">
        <v>841</v>
      </c>
      <c r="CC202" s="12" t="s">
        <v>5933</v>
      </c>
      <c r="CD202" s="12" t="s">
        <v>5934</v>
      </c>
      <c r="CE202" s="12" t="s">
        <v>5935</v>
      </c>
      <c r="CF202" s="12" t="s">
        <v>5936</v>
      </c>
      <c r="CG202" s="12" t="s">
        <v>5937</v>
      </c>
      <c r="CH202" s="12" t="s">
        <v>5938</v>
      </c>
      <c r="CI202" s="12" t="s">
        <v>5939</v>
      </c>
      <c r="CJ202" s="12" t="s">
        <v>5940</v>
      </c>
      <c r="CK202" s="12" t="s">
        <v>5923</v>
      </c>
      <c r="CL202" s="12" t="s">
        <v>1093</v>
      </c>
      <c r="CM202" s="12" t="s">
        <v>888</v>
      </c>
      <c r="CN202" s="12" t="s">
        <v>841</v>
      </c>
      <c r="CO202" s="12" t="s">
        <v>847</v>
      </c>
      <c r="CP202" s="12" t="s">
        <v>889</v>
      </c>
      <c r="CQ202" s="12" t="s">
        <v>890</v>
      </c>
      <c r="CR202" s="12" t="s">
        <v>847</v>
      </c>
      <c r="CS202" s="12" t="s">
        <v>891</v>
      </c>
      <c r="CT202" s="12" t="s">
        <v>892</v>
      </c>
      <c r="CU202" s="12" t="s">
        <v>893</v>
      </c>
      <c r="CV202" s="12" t="s">
        <v>841</v>
      </c>
      <c r="CW202" s="12" t="s">
        <v>5922</v>
      </c>
      <c r="CX202" s="12" t="s">
        <v>894</v>
      </c>
      <c r="CY202" s="12" t="s">
        <v>895</v>
      </c>
      <c r="CZ202" s="12" t="s">
        <v>896</v>
      </c>
      <c r="DA202" s="12" t="s">
        <v>897</v>
      </c>
      <c r="DB202" s="12" t="s">
        <v>898</v>
      </c>
      <c r="DC202" s="12" t="s">
        <v>899</v>
      </c>
    </row>
    <row r="203">
      <c r="A203" s="12" t="s">
        <v>1767</v>
      </c>
      <c r="B203" s="12" t="s">
        <v>580</v>
      </c>
      <c r="C203" s="12" t="s">
        <v>366</v>
      </c>
      <c r="D203" s="12" t="s">
        <v>833</v>
      </c>
      <c r="E203" s="12" t="s">
        <v>834</v>
      </c>
      <c r="F203" s="12"/>
      <c r="G203" s="12" t="s">
        <v>364</v>
      </c>
      <c r="H203" s="12" t="s">
        <v>576</v>
      </c>
      <c r="I203" s="12"/>
      <c r="J203" s="43">
        <f t="shared" si="1"/>
        <v>-0.004666964507</v>
      </c>
      <c r="K203" s="43">
        <f t="shared" si="2"/>
        <v>2.90743008</v>
      </c>
      <c r="L203" s="43">
        <f t="shared" si="3"/>
        <v>-0.004674467895</v>
      </c>
      <c r="M203" s="43">
        <f t="shared" si="4"/>
        <v>-0.1700171601</v>
      </c>
      <c r="N203" s="12" t="s">
        <v>5941</v>
      </c>
      <c r="O203" s="12" t="s">
        <v>5942</v>
      </c>
      <c r="P203" s="43">
        <f t="shared" si="5"/>
        <v>4.277609987</v>
      </c>
      <c r="Q203" s="43">
        <f t="shared" si="6"/>
        <v>3.467136987</v>
      </c>
      <c r="R203" s="12" t="s">
        <v>5943</v>
      </c>
      <c r="S203" s="12" t="s">
        <v>5944</v>
      </c>
      <c r="T203" s="43">
        <f t="shared" si="7"/>
        <v>43.70706025</v>
      </c>
      <c r="U203" s="43">
        <f t="shared" si="8"/>
        <v>0.4417875</v>
      </c>
      <c r="V203" s="12" t="s">
        <v>839</v>
      </c>
      <c r="W203" s="12" t="s">
        <v>5945</v>
      </c>
      <c r="X203" s="12" t="s">
        <v>841</v>
      </c>
      <c r="Y203" s="12" t="s">
        <v>841</v>
      </c>
      <c r="Z203" s="12" t="s">
        <v>841</v>
      </c>
      <c r="AA203" s="12" t="s">
        <v>5946</v>
      </c>
      <c r="AB203" s="12" t="s">
        <v>5947</v>
      </c>
      <c r="AC203" s="12" t="s">
        <v>5948</v>
      </c>
      <c r="AD203" s="12" t="s">
        <v>845</v>
      </c>
      <c r="AE203" s="12" t="s">
        <v>846</v>
      </c>
      <c r="AF203" s="43">
        <f t="shared" si="9"/>
        <v>14.223264</v>
      </c>
      <c r="AG203" s="12" t="s">
        <v>847</v>
      </c>
      <c r="AH203" s="12" t="s">
        <v>5949</v>
      </c>
      <c r="AI203" s="12" t="s">
        <v>5441</v>
      </c>
      <c r="AJ203" s="12" t="s">
        <v>5950</v>
      </c>
      <c r="AK203" s="12" t="s">
        <v>5951</v>
      </c>
      <c r="AL203" s="43">
        <f t="shared" si="10"/>
        <v>30.07</v>
      </c>
      <c r="AM203" s="12" t="s">
        <v>5664</v>
      </c>
      <c r="AN203" s="12" t="s">
        <v>1009</v>
      </c>
      <c r="AO203" s="12" t="s">
        <v>5952</v>
      </c>
      <c r="AP203" s="12" t="s">
        <v>5125</v>
      </c>
      <c r="AQ203" s="12" t="s">
        <v>2195</v>
      </c>
      <c r="AR203" s="12" t="s">
        <v>5953</v>
      </c>
      <c r="AS203" s="12" t="s">
        <v>5812</v>
      </c>
      <c r="AT203" s="12" t="s">
        <v>366</v>
      </c>
      <c r="AU203" s="12" t="s">
        <v>5813</v>
      </c>
      <c r="AV203" s="12" t="s">
        <v>832</v>
      </c>
      <c r="AW203" s="12" t="s">
        <v>1342</v>
      </c>
      <c r="AX203" s="12" t="s">
        <v>1342</v>
      </c>
      <c r="AY203" s="12" t="s">
        <v>1342</v>
      </c>
      <c r="AZ203" s="12" t="s">
        <v>5954</v>
      </c>
      <c r="BA203" s="12" t="s">
        <v>5955</v>
      </c>
      <c r="BB203" s="12" t="s">
        <v>5956</v>
      </c>
      <c r="BC203" s="12" t="s">
        <v>866</v>
      </c>
      <c r="BD203" s="12" t="s">
        <v>867</v>
      </c>
      <c r="BE203" s="12" t="s">
        <v>868</v>
      </c>
      <c r="BF203" s="12" t="s">
        <v>869</v>
      </c>
      <c r="BG203" s="12" t="s">
        <v>870</v>
      </c>
      <c r="BH203" s="12" t="s">
        <v>841</v>
      </c>
      <c r="BI203" s="12" t="s">
        <v>871</v>
      </c>
      <c r="BJ203" s="12" t="s">
        <v>841</v>
      </c>
      <c r="BK203" s="12" t="s">
        <v>841</v>
      </c>
      <c r="BL203" s="12" t="s">
        <v>872</v>
      </c>
      <c r="BM203" s="12" t="s">
        <v>873</v>
      </c>
      <c r="BN203" s="12" t="s">
        <v>866</v>
      </c>
      <c r="BO203" s="12" t="s">
        <v>874</v>
      </c>
      <c r="BP203" s="12" t="s">
        <v>875</v>
      </c>
      <c r="BQ203" s="12" t="s">
        <v>876</v>
      </c>
      <c r="BR203" s="12" t="s">
        <v>869</v>
      </c>
      <c r="BS203" s="12" t="s">
        <v>869</v>
      </c>
      <c r="BT203" s="12" t="s">
        <v>877</v>
      </c>
      <c r="BU203" s="12" t="s">
        <v>877</v>
      </c>
      <c r="BV203" s="12" t="s">
        <v>877</v>
      </c>
      <c r="BW203" s="12" t="s">
        <v>841</v>
      </c>
      <c r="BX203" s="12" t="s">
        <v>878</v>
      </c>
      <c r="BY203" s="12" t="s">
        <v>841</v>
      </c>
      <c r="BZ203" s="12" t="s">
        <v>841</v>
      </c>
      <c r="CA203" s="12" t="s">
        <v>841</v>
      </c>
      <c r="CB203" s="12" t="s">
        <v>841</v>
      </c>
      <c r="CC203" s="12" t="s">
        <v>5957</v>
      </c>
      <c r="CD203" s="12" t="s">
        <v>5958</v>
      </c>
      <c r="CE203" s="12" t="s">
        <v>5959</v>
      </c>
      <c r="CF203" s="12" t="s">
        <v>5960</v>
      </c>
      <c r="CG203" s="12" t="s">
        <v>5961</v>
      </c>
      <c r="CH203" s="12" t="s">
        <v>5962</v>
      </c>
      <c r="CI203" s="12" t="s">
        <v>5963</v>
      </c>
      <c r="CJ203" s="12" t="s">
        <v>5964</v>
      </c>
      <c r="CK203" s="12" t="s">
        <v>5946</v>
      </c>
      <c r="CL203" s="12" t="s">
        <v>1028</v>
      </c>
      <c r="CM203" s="12" t="s">
        <v>888</v>
      </c>
      <c r="CN203" s="12" t="s">
        <v>841</v>
      </c>
      <c r="CO203" s="12" t="s">
        <v>847</v>
      </c>
      <c r="CP203" s="12" t="s">
        <v>889</v>
      </c>
      <c r="CQ203" s="12" t="s">
        <v>890</v>
      </c>
      <c r="CR203" s="12" t="s">
        <v>847</v>
      </c>
      <c r="CS203" s="12" t="s">
        <v>891</v>
      </c>
      <c r="CT203" s="12" t="s">
        <v>892</v>
      </c>
      <c r="CU203" s="12" t="s">
        <v>893</v>
      </c>
      <c r="CV203" s="12" t="s">
        <v>841</v>
      </c>
      <c r="CW203" s="12" t="s">
        <v>5945</v>
      </c>
      <c r="CX203" s="12" t="s">
        <v>894</v>
      </c>
      <c r="CY203" s="12" t="s">
        <v>895</v>
      </c>
      <c r="CZ203" s="12" t="s">
        <v>896</v>
      </c>
      <c r="DA203" s="12" t="s">
        <v>897</v>
      </c>
      <c r="DB203" s="12" t="s">
        <v>898</v>
      </c>
      <c r="DC203" s="12" t="s">
        <v>899</v>
      </c>
    </row>
    <row r="204">
      <c r="A204" s="12" t="s">
        <v>1727</v>
      </c>
      <c r="B204" s="12" t="s">
        <v>582</v>
      </c>
      <c r="C204" s="12" t="s">
        <v>366</v>
      </c>
      <c r="D204" s="12" t="s">
        <v>833</v>
      </c>
      <c r="E204" s="12" t="s">
        <v>834</v>
      </c>
      <c r="F204" s="12"/>
      <c r="G204" s="12" t="s">
        <v>364</v>
      </c>
      <c r="H204" s="12" t="s">
        <v>581</v>
      </c>
      <c r="I204" s="12"/>
      <c r="J204" s="43">
        <f t="shared" si="1"/>
        <v>0.003838080333</v>
      </c>
      <c r="K204" s="43">
        <f t="shared" si="2"/>
        <v>2.90981592</v>
      </c>
      <c r="L204" s="43">
        <f t="shared" si="3"/>
        <v>0.00383302453</v>
      </c>
      <c r="M204" s="43">
        <f t="shared" si="4"/>
        <v>0.132623859</v>
      </c>
      <c r="N204" s="12" t="s">
        <v>5965</v>
      </c>
      <c r="O204" s="12" t="s">
        <v>5966</v>
      </c>
      <c r="P204" s="43">
        <f t="shared" si="5"/>
        <v>4.144387472</v>
      </c>
      <c r="Q204" s="43">
        <f t="shared" si="6"/>
        <v>3.300003472</v>
      </c>
      <c r="R204" s="12" t="s">
        <v>5967</v>
      </c>
      <c r="S204" s="12" t="s">
        <v>5968</v>
      </c>
      <c r="T204" s="43">
        <f t="shared" si="7"/>
        <v>42.34584114</v>
      </c>
      <c r="U204" s="43">
        <f t="shared" si="8"/>
        <v>0.4417875</v>
      </c>
      <c r="V204" s="12" t="s">
        <v>839</v>
      </c>
      <c r="W204" s="12" t="s">
        <v>5969</v>
      </c>
      <c r="X204" s="12" t="s">
        <v>841</v>
      </c>
      <c r="Y204" s="12" t="s">
        <v>841</v>
      </c>
      <c r="Z204" s="12" t="s">
        <v>841</v>
      </c>
      <c r="AA204" s="12" t="s">
        <v>5970</v>
      </c>
      <c r="AB204" s="12" t="s">
        <v>5971</v>
      </c>
      <c r="AC204" s="12" t="s">
        <v>5972</v>
      </c>
      <c r="AD204" s="12" t="s">
        <v>845</v>
      </c>
      <c r="AE204" s="12" t="s">
        <v>846</v>
      </c>
      <c r="AF204" s="43">
        <f t="shared" si="9"/>
        <v>15.470994</v>
      </c>
      <c r="AG204" s="12" t="s">
        <v>847</v>
      </c>
      <c r="AH204" s="12" t="s">
        <v>5973</v>
      </c>
      <c r="AI204" s="12" t="s">
        <v>5974</v>
      </c>
      <c r="AJ204" s="12" t="s">
        <v>5975</v>
      </c>
      <c r="AK204" s="12" t="s">
        <v>5976</v>
      </c>
      <c r="AL204" s="43">
        <f t="shared" si="10"/>
        <v>29.52</v>
      </c>
      <c r="AM204" s="12" t="s">
        <v>5664</v>
      </c>
      <c r="AN204" s="12" t="s">
        <v>914</v>
      </c>
      <c r="AO204" s="12" t="s">
        <v>5977</v>
      </c>
      <c r="AP204" s="12" t="s">
        <v>5078</v>
      </c>
      <c r="AQ204" s="12" t="s">
        <v>5054</v>
      </c>
      <c r="AR204" s="12" t="s">
        <v>5953</v>
      </c>
      <c r="AS204" s="12" t="s">
        <v>5812</v>
      </c>
      <c r="AT204" s="12" t="s">
        <v>366</v>
      </c>
      <c r="AU204" s="12" t="s">
        <v>5813</v>
      </c>
      <c r="AV204" s="12" t="s">
        <v>832</v>
      </c>
      <c r="AW204" s="12" t="s">
        <v>1543</v>
      </c>
      <c r="AX204" s="12" t="s">
        <v>1543</v>
      </c>
      <c r="AY204" s="12" t="s">
        <v>1287</v>
      </c>
      <c r="AZ204" s="12" t="s">
        <v>5978</v>
      </c>
      <c r="BA204" s="12" t="s">
        <v>5979</v>
      </c>
      <c r="BB204" s="12" t="s">
        <v>5980</v>
      </c>
      <c r="BC204" s="12" t="s">
        <v>866</v>
      </c>
      <c r="BD204" s="12" t="s">
        <v>867</v>
      </c>
      <c r="BE204" s="12" t="s">
        <v>868</v>
      </c>
      <c r="BF204" s="12" t="s">
        <v>869</v>
      </c>
      <c r="BG204" s="12" t="s">
        <v>870</v>
      </c>
      <c r="BH204" s="12" t="s">
        <v>841</v>
      </c>
      <c r="BI204" s="12" t="s">
        <v>871</v>
      </c>
      <c r="BJ204" s="12" t="s">
        <v>841</v>
      </c>
      <c r="BK204" s="12" t="s">
        <v>841</v>
      </c>
      <c r="BL204" s="12" t="s">
        <v>872</v>
      </c>
      <c r="BM204" s="12" t="s">
        <v>873</v>
      </c>
      <c r="BN204" s="12" t="s">
        <v>866</v>
      </c>
      <c r="BO204" s="12" t="s">
        <v>874</v>
      </c>
      <c r="BP204" s="12" t="s">
        <v>875</v>
      </c>
      <c r="BQ204" s="12" t="s">
        <v>876</v>
      </c>
      <c r="BR204" s="12" t="s">
        <v>869</v>
      </c>
      <c r="BS204" s="12" t="s">
        <v>869</v>
      </c>
      <c r="BT204" s="12" t="s">
        <v>877</v>
      </c>
      <c r="BU204" s="12" t="s">
        <v>877</v>
      </c>
      <c r="BV204" s="12" t="s">
        <v>877</v>
      </c>
      <c r="BW204" s="12" t="s">
        <v>841</v>
      </c>
      <c r="BX204" s="12" t="s">
        <v>878</v>
      </c>
      <c r="BY204" s="12" t="s">
        <v>841</v>
      </c>
      <c r="BZ204" s="12" t="s">
        <v>841</v>
      </c>
      <c r="CA204" s="12" t="s">
        <v>841</v>
      </c>
      <c r="CB204" s="12" t="s">
        <v>841</v>
      </c>
      <c r="CC204" s="12" t="s">
        <v>5981</v>
      </c>
      <c r="CD204" s="12" t="s">
        <v>5982</v>
      </c>
      <c r="CE204" s="12" t="s">
        <v>5983</v>
      </c>
      <c r="CF204" s="12" t="s">
        <v>5984</v>
      </c>
      <c r="CG204" s="12" t="s">
        <v>5985</v>
      </c>
      <c r="CH204" s="12" t="s">
        <v>5986</v>
      </c>
      <c r="CI204" s="12" t="s">
        <v>5987</v>
      </c>
      <c r="CJ204" s="12" t="s">
        <v>5988</v>
      </c>
      <c r="CK204" s="12" t="s">
        <v>5970</v>
      </c>
      <c r="CL204" s="12" t="s">
        <v>1299</v>
      </c>
      <c r="CM204" s="12" t="s">
        <v>888</v>
      </c>
      <c r="CN204" s="12" t="s">
        <v>841</v>
      </c>
      <c r="CO204" s="12" t="s">
        <v>847</v>
      </c>
      <c r="CP204" s="12" t="s">
        <v>889</v>
      </c>
      <c r="CQ204" s="12" t="s">
        <v>890</v>
      </c>
      <c r="CR204" s="12" t="s">
        <v>847</v>
      </c>
      <c r="CS204" s="12" t="s">
        <v>891</v>
      </c>
      <c r="CT204" s="12" t="s">
        <v>892</v>
      </c>
      <c r="CU204" s="12" t="s">
        <v>893</v>
      </c>
      <c r="CV204" s="12" t="s">
        <v>841</v>
      </c>
      <c r="CW204" s="12" t="s">
        <v>5969</v>
      </c>
      <c r="CX204" s="12" t="s">
        <v>894</v>
      </c>
      <c r="CY204" s="12" t="s">
        <v>895</v>
      </c>
      <c r="CZ204" s="12" t="s">
        <v>896</v>
      </c>
      <c r="DA204" s="12" t="s">
        <v>897</v>
      </c>
      <c r="DB204" s="12" t="s">
        <v>898</v>
      </c>
      <c r="DC204" s="12" t="s">
        <v>899</v>
      </c>
    </row>
    <row r="205">
      <c r="A205" s="12" t="s">
        <v>1821</v>
      </c>
      <c r="B205" s="12" t="s">
        <v>584</v>
      </c>
      <c r="C205" s="12" t="s">
        <v>366</v>
      </c>
      <c r="D205" s="12" t="s">
        <v>833</v>
      </c>
      <c r="E205" s="12" t="s">
        <v>834</v>
      </c>
      <c r="F205" s="12"/>
      <c r="G205" s="12" t="s">
        <v>364</v>
      </c>
      <c r="H205" s="12" t="s">
        <v>581</v>
      </c>
      <c r="I205" s="12"/>
      <c r="J205" s="43">
        <f t="shared" si="1"/>
        <v>0.01599013296</v>
      </c>
      <c r="K205" s="43">
        <f t="shared" si="2"/>
        <v>2.91139968</v>
      </c>
      <c r="L205" s="43">
        <f t="shared" si="3"/>
        <v>0.01590279086</v>
      </c>
      <c r="M205" s="43">
        <f t="shared" si="4"/>
        <v>0.5560505672</v>
      </c>
      <c r="N205" s="12" t="s">
        <v>5989</v>
      </c>
      <c r="O205" s="12" t="s">
        <v>5990</v>
      </c>
      <c r="P205" s="43">
        <f t="shared" si="5"/>
        <v>4.185173643</v>
      </c>
      <c r="Q205" s="43">
        <f t="shared" si="6"/>
        <v>3.334009643</v>
      </c>
      <c r="R205" s="12" t="s">
        <v>5991</v>
      </c>
      <c r="S205" s="12" t="s">
        <v>5992</v>
      </c>
      <c r="T205" s="43">
        <f t="shared" si="7"/>
        <v>42.76257937</v>
      </c>
      <c r="U205" s="43">
        <f t="shared" si="8"/>
        <v>0.4417875</v>
      </c>
      <c r="V205" s="12" t="s">
        <v>839</v>
      </c>
      <c r="W205" s="12" t="s">
        <v>5993</v>
      </c>
      <c r="X205" s="12" t="s">
        <v>841</v>
      </c>
      <c r="Y205" s="12" t="s">
        <v>841</v>
      </c>
      <c r="Z205" s="12" t="s">
        <v>841</v>
      </c>
      <c r="AA205" s="12" t="s">
        <v>5994</v>
      </c>
      <c r="AB205" s="12" t="s">
        <v>5995</v>
      </c>
      <c r="AC205" s="12" t="s">
        <v>5996</v>
      </c>
      <c r="AD205" s="12" t="s">
        <v>845</v>
      </c>
      <c r="AE205" s="12" t="s">
        <v>846</v>
      </c>
      <c r="AF205" s="43">
        <f t="shared" si="9"/>
        <v>15.0548328</v>
      </c>
      <c r="AG205" s="12" t="s">
        <v>847</v>
      </c>
      <c r="AH205" s="12" t="s">
        <v>5326</v>
      </c>
      <c r="AI205" s="12" t="s">
        <v>5997</v>
      </c>
      <c r="AJ205" s="12" t="s">
        <v>4034</v>
      </c>
      <c r="AK205" s="12" t="s">
        <v>5998</v>
      </c>
      <c r="AL205" s="43">
        <f t="shared" si="10"/>
        <v>29.69</v>
      </c>
      <c r="AM205" s="12" t="s">
        <v>5664</v>
      </c>
      <c r="AN205" s="12" t="s">
        <v>1337</v>
      </c>
      <c r="AO205" s="12" t="s">
        <v>5999</v>
      </c>
      <c r="AP205" s="12" t="s">
        <v>6000</v>
      </c>
      <c r="AQ205" s="12" t="s">
        <v>6001</v>
      </c>
      <c r="AR205" s="12" t="s">
        <v>6002</v>
      </c>
      <c r="AS205" s="12" t="s">
        <v>5812</v>
      </c>
      <c r="AT205" s="12" t="s">
        <v>366</v>
      </c>
      <c r="AU205" s="12" t="s">
        <v>5813</v>
      </c>
      <c r="AV205" s="12" t="s">
        <v>832</v>
      </c>
      <c r="AW205" s="12" t="s">
        <v>1286</v>
      </c>
      <c r="AX205" s="12" t="s">
        <v>1286</v>
      </c>
      <c r="AY205" s="12" t="s">
        <v>1226</v>
      </c>
      <c r="AZ205" s="12" t="s">
        <v>6003</v>
      </c>
      <c r="BA205" s="12" t="s">
        <v>6004</v>
      </c>
      <c r="BB205" s="12" t="s">
        <v>6005</v>
      </c>
      <c r="BC205" s="12" t="s">
        <v>866</v>
      </c>
      <c r="BD205" s="12" t="s">
        <v>867</v>
      </c>
      <c r="BE205" s="12" t="s">
        <v>868</v>
      </c>
      <c r="BF205" s="12" t="s">
        <v>869</v>
      </c>
      <c r="BG205" s="12" t="s">
        <v>870</v>
      </c>
      <c r="BH205" s="12" t="s">
        <v>841</v>
      </c>
      <c r="BI205" s="12" t="s">
        <v>871</v>
      </c>
      <c r="BJ205" s="12" t="s">
        <v>841</v>
      </c>
      <c r="BK205" s="12" t="s">
        <v>841</v>
      </c>
      <c r="BL205" s="12" t="s">
        <v>872</v>
      </c>
      <c r="BM205" s="12" t="s">
        <v>873</v>
      </c>
      <c r="BN205" s="12" t="s">
        <v>866</v>
      </c>
      <c r="BO205" s="12" t="s">
        <v>874</v>
      </c>
      <c r="BP205" s="12" t="s">
        <v>875</v>
      </c>
      <c r="BQ205" s="12" t="s">
        <v>876</v>
      </c>
      <c r="BR205" s="12" t="s">
        <v>869</v>
      </c>
      <c r="BS205" s="12" t="s">
        <v>869</v>
      </c>
      <c r="BT205" s="12" t="s">
        <v>877</v>
      </c>
      <c r="BU205" s="12" t="s">
        <v>877</v>
      </c>
      <c r="BV205" s="12" t="s">
        <v>877</v>
      </c>
      <c r="BW205" s="12" t="s">
        <v>841</v>
      </c>
      <c r="BX205" s="12" t="s">
        <v>878</v>
      </c>
      <c r="BY205" s="12" t="s">
        <v>841</v>
      </c>
      <c r="BZ205" s="12" t="s">
        <v>841</v>
      </c>
      <c r="CA205" s="12" t="s">
        <v>841</v>
      </c>
      <c r="CB205" s="12" t="s">
        <v>841</v>
      </c>
      <c r="CC205" s="12" t="s">
        <v>6006</v>
      </c>
      <c r="CD205" s="12" t="s">
        <v>6007</v>
      </c>
      <c r="CE205" s="12" t="s">
        <v>1348</v>
      </c>
      <c r="CF205" s="12" t="s">
        <v>6008</v>
      </c>
      <c r="CG205" s="12" t="s">
        <v>6009</v>
      </c>
      <c r="CH205" s="12" t="s">
        <v>6010</v>
      </c>
      <c r="CI205" s="12" t="s">
        <v>6011</v>
      </c>
      <c r="CJ205" s="12" t="s">
        <v>6012</v>
      </c>
      <c r="CK205" s="12" t="s">
        <v>5994</v>
      </c>
      <c r="CL205" s="12" t="s">
        <v>1415</v>
      </c>
      <c r="CM205" s="12" t="s">
        <v>888</v>
      </c>
      <c r="CN205" s="12" t="s">
        <v>841</v>
      </c>
      <c r="CO205" s="12" t="s">
        <v>847</v>
      </c>
      <c r="CP205" s="12" t="s">
        <v>889</v>
      </c>
      <c r="CQ205" s="12" t="s">
        <v>890</v>
      </c>
      <c r="CR205" s="12" t="s">
        <v>847</v>
      </c>
      <c r="CS205" s="12" t="s">
        <v>891</v>
      </c>
      <c r="CT205" s="12" t="s">
        <v>892</v>
      </c>
      <c r="CU205" s="12" t="s">
        <v>893</v>
      </c>
      <c r="CV205" s="12" t="s">
        <v>841</v>
      </c>
      <c r="CW205" s="12" t="s">
        <v>5993</v>
      </c>
      <c r="CX205" s="12" t="s">
        <v>894</v>
      </c>
      <c r="CY205" s="12" t="s">
        <v>895</v>
      </c>
      <c r="CZ205" s="12" t="s">
        <v>896</v>
      </c>
      <c r="DA205" s="12" t="s">
        <v>897</v>
      </c>
      <c r="DB205" s="12" t="s">
        <v>898</v>
      </c>
      <c r="DC205" s="12" t="s">
        <v>899</v>
      </c>
    </row>
    <row r="206">
      <c r="A206" s="12" t="s">
        <v>1399</v>
      </c>
      <c r="B206" s="12" t="s">
        <v>585</v>
      </c>
      <c r="C206" s="12" t="s">
        <v>366</v>
      </c>
      <c r="D206" s="12" t="s">
        <v>833</v>
      </c>
      <c r="E206" s="12" t="s">
        <v>834</v>
      </c>
      <c r="F206" s="12"/>
      <c r="G206" s="12" t="s">
        <v>364</v>
      </c>
      <c r="H206" s="12" t="s">
        <v>581</v>
      </c>
      <c r="I206" s="12"/>
      <c r="J206" s="43">
        <f t="shared" si="1"/>
        <v>0.017249669</v>
      </c>
      <c r="K206" s="43">
        <f t="shared" si="2"/>
        <v>2.91060848</v>
      </c>
      <c r="L206" s="43">
        <f t="shared" si="3"/>
        <v>0.01714804144</v>
      </c>
      <c r="M206" s="43">
        <f t="shared" si="4"/>
        <v>0.6202711927</v>
      </c>
      <c r="N206" s="12" t="s">
        <v>6013</v>
      </c>
      <c r="O206" s="12" t="s">
        <v>6014</v>
      </c>
      <c r="P206" s="43">
        <f t="shared" si="5"/>
        <v>4.314584826</v>
      </c>
      <c r="Q206" s="43">
        <f t="shared" si="6"/>
        <v>3.446336826</v>
      </c>
      <c r="R206" s="12" t="s">
        <v>6015</v>
      </c>
      <c r="S206" s="12" t="s">
        <v>6016</v>
      </c>
      <c r="T206" s="43">
        <f t="shared" si="7"/>
        <v>44.08485569</v>
      </c>
      <c r="U206" s="43">
        <f t="shared" si="8"/>
        <v>0.4417875</v>
      </c>
      <c r="V206" s="12" t="s">
        <v>839</v>
      </c>
      <c r="W206" s="12" t="s">
        <v>6017</v>
      </c>
      <c r="X206" s="12" t="s">
        <v>841</v>
      </c>
      <c r="Y206" s="12" t="s">
        <v>841</v>
      </c>
      <c r="Z206" s="12" t="s">
        <v>841</v>
      </c>
      <c r="AA206" s="12" t="s">
        <v>6018</v>
      </c>
      <c r="AB206" s="12" t="s">
        <v>6019</v>
      </c>
      <c r="AC206" s="12" t="s">
        <v>6020</v>
      </c>
      <c r="AD206" s="12" t="s">
        <v>845</v>
      </c>
      <c r="AE206" s="12" t="s">
        <v>846</v>
      </c>
      <c r="AF206" s="43">
        <f t="shared" si="9"/>
        <v>4.3211088</v>
      </c>
      <c r="AG206" s="12" t="s">
        <v>847</v>
      </c>
      <c r="AH206" s="12" t="s">
        <v>6021</v>
      </c>
      <c r="AI206" s="12" t="s">
        <v>6022</v>
      </c>
      <c r="AJ206" s="12" t="s">
        <v>6023</v>
      </c>
      <c r="AK206" s="12" t="s">
        <v>3197</v>
      </c>
      <c r="AL206" s="43">
        <f t="shared" si="10"/>
        <v>30.22</v>
      </c>
      <c r="AM206" s="12" t="s">
        <v>5664</v>
      </c>
      <c r="AN206" s="12" t="s">
        <v>1159</v>
      </c>
      <c r="AO206" s="12" t="s">
        <v>6024</v>
      </c>
      <c r="AP206" s="12" t="s">
        <v>6025</v>
      </c>
      <c r="AQ206" s="12" t="s">
        <v>1743</v>
      </c>
      <c r="AR206" s="12" t="s">
        <v>5953</v>
      </c>
      <c r="AS206" s="12" t="s">
        <v>5812</v>
      </c>
      <c r="AT206" s="12" t="s">
        <v>366</v>
      </c>
      <c r="AU206" s="12" t="s">
        <v>5813</v>
      </c>
      <c r="AV206" s="12" t="s">
        <v>832</v>
      </c>
      <c r="AW206" s="12" t="s">
        <v>1286</v>
      </c>
      <c r="AX206" s="12" t="s">
        <v>1286</v>
      </c>
      <c r="AY206" s="12" t="s">
        <v>1286</v>
      </c>
      <c r="AZ206" s="12" t="s">
        <v>6026</v>
      </c>
      <c r="BA206" s="12" t="s">
        <v>6027</v>
      </c>
      <c r="BB206" s="12" t="s">
        <v>6028</v>
      </c>
      <c r="BC206" s="12" t="s">
        <v>866</v>
      </c>
      <c r="BD206" s="12" t="s">
        <v>867</v>
      </c>
      <c r="BE206" s="12" t="s">
        <v>868</v>
      </c>
      <c r="BF206" s="12" t="s">
        <v>869</v>
      </c>
      <c r="BG206" s="12" t="s">
        <v>870</v>
      </c>
      <c r="BH206" s="12" t="s">
        <v>841</v>
      </c>
      <c r="BI206" s="12" t="s">
        <v>871</v>
      </c>
      <c r="BJ206" s="12" t="s">
        <v>841</v>
      </c>
      <c r="BK206" s="12" t="s">
        <v>841</v>
      </c>
      <c r="BL206" s="12" t="s">
        <v>872</v>
      </c>
      <c r="BM206" s="12" t="s">
        <v>873</v>
      </c>
      <c r="BN206" s="12" t="s">
        <v>866</v>
      </c>
      <c r="BO206" s="12" t="s">
        <v>874</v>
      </c>
      <c r="BP206" s="12" t="s">
        <v>875</v>
      </c>
      <c r="BQ206" s="12" t="s">
        <v>876</v>
      </c>
      <c r="BR206" s="12" t="s">
        <v>869</v>
      </c>
      <c r="BS206" s="12" t="s">
        <v>869</v>
      </c>
      <c r="BT206" s="12" t="s">
        <v>877</v>
      </c>
      <c r="BU206" s="12" t="s">
        <v>877</v>
      </c>
      <c r="BV206" s="12" t="s">
        <v>877</v>
      </c>
      <c r="BW206" s="12" t="s">
        <v>841</v>
      </c>
      <c r="BX206" s="12" t="s">
        <v>878</v>
      </c>
      <c r="BY206" s="12" t="s">
        <v>841</v>
      </c>
      <c r="BZ206" s="12" t="s">
        <v>841</v>
      </c>
      <c r="CA206" s="12" t="s">
        <v>841</v>
      </c>
      <c r="CB206" s="12" t="s">
        <v>841</v>
      </c>
      <c r="CC206" s="12" t="s">
        <v>6029</v>
      </c>
      <c r="CD206" s="12" t="s">
        <v>6030</v>
      </c>
      <c r="CE206" s="12" t="s">
        <v>6031</v>
      </c>
      <c r="CF206" s="12" t="s">
        <v>6032</v>
      </c>
      <c r="CG206" s="12" t="s">
        <v>6033</v>
      </c>
      <c r="CH206" s="12" t="s">
        <v>6034</v>
      </c>
      <c r="CI206" s="12" t="s">
        <v>6035</v>
      </c>
      <c r="CJ206" s="12" t="s">
        <v>6036</v>
      </c>
      <c r="CK206" s="12" t="s">
        <v>6018</v>
      </c>
      <c r="CL206" s="12" t="s">
        <v>1093</v>
      </c>
      <c r="CM206" s="12" t="s">
        <v>888</v>
      </c>
      <c r="CN206" s="12" t="s">
        <v>841</v>
      </c>
      <c r="CO206" s="12" t="s">
        <v>847</v>
      </c>
      <c r="CP206" s="12" t="s">
        <v>889</v>
      </c>
      <c r="CQ206" s="12" t="s">
        <v>890</v>
      </c>
      <c r="CR206" s="12" t="s">
        <v>847</v>
      </c>
      <c r="CS206" s="12" t="s">
        <v>891</v>
      </c>
      <c r="CT206" s="12" t="s">
        <v>892</v>
      </c>
      <c r="CU206" s="12" t="s">
        <v>893</v>
      </c>
      <c r="CV206" s="12" t="s">
        <v>841</v>
      </c>
      <c r="CW206" s="12" t="s">
        <v>6017</v>
      </c>
      <c r="CX206" s="12" t="s">
        <v>894</v>
      </c>
      <c r="CY206" s="12" t="s">
        <v>895</v>
      </c>
      <c r="CZ206" s="12" t="s">
        <v>896</v>
      </c>
      <c r="DA206" s="12" t="s">
        <v>897</v>
      </c>
      <c r="DB206" s="12" t="s">
        <v>898</v>
      </c>
      <c r="DC206" s="12" t="s">
        <v>899</v>
      </c>
    </row>
    <row r="207">
      <c r="A207" s="12" t="s">
        <v>1870</v>
      </c>
      <c r="B207" s="12" t="s">
        <v>588</v>
      </c>
      <c r="C207" s="12" t="s">
        <v>366</v>
      </c>
      <c r="D207" s="12" t="s">
        <v>833</v>
      </c>
      <c r="E207" s="12" t="s">
        <v>834</v>
      </c>
      <c r="F207" s="12"/>
      <c r="G207" s="12" t="s">
        <v>364</v>
      </c>
      <c r="H207" s="12" t="s">
        <v>586</v>
      </c>
      <c r="I207" s="12"/>
      <c r="J207" s="43">
        <f t="shared" si="1"/>
        <v>0.008846326213</v>
      </c>
      <c r="K207" s="43">
        <f t="shared" si="2"/>
        <v>2.90822672</v>
      </c>
      <c r="L207" s="43">
        <f t="shared" si="3"/>
        <v>0.008819498812</v>
      </c>
      <c r="M207" s="43">
        <f t="shared" si="4"/>
        <v>0.2975362497</v>
      </c>
      <c r="N207" s="12" t="s">
        <v>6037</v>
      </c>
      <c r="O207" s="12" t="s">
        <v>6038</v>
      </c>
      <c r="P207" s="43">
        <f t="shared" si="5"/>
        <v>4.073256636</v>
      </c>
      <c r="Q207" s="43">
        <f t="shared" si="6"/>
        <v>3.218601636</v>
      </c>
      <c r="R207" s="12" t="s">
        <v>6039</v>
      </c>
      <c r="S207" s="12" t="s">
        <v>6040</v>
      </c>
      <c r="T207" s="43">
        <f t="shared" si="7"/>
        <v>41.61905217</v>
      </c>
      <c r="U207" s="43">
        <f t="shared" si="8"/>
        <v>0.4417875</v>
      </c>
      <c r="V207" s="12" t="s">
        <v>839</v>
      </c>
      <c r="W207" s="12" t="s">
        <v>6041</v>
      </c>
      <c r="X207" s="12" t="s">
        <v>841</v>
      </c>
      <c r="Y207" s="12" t="s">
        <v>841</v>
      </c>
      <c r="Z207" s="12" t="s">
        <v>841</v>
      </c>
      <c r="AA207" s="12" t="s">
        <v>6042</v>
      </c>
      <c r="AB207" s="12" t="s">
        <v>6043</v>
      </c>
      <c r="AC207" s="12" t="s">
        <v>6044</v>
      </c>
      <c r="AD207" s="12" t="s">
        <v>845</v>
      </c>
      <c r="AE207" s="12" t="s">
        <v>846</v>
      </c>
      <c r="AF207" s="43">
        <f t="shared" si="9"/>
        <v>20.1857184</v>
      </c>
      <c r="AG207" s="12" t="s">
        <v>847</v>
      </c>
      <c r="AH207" s="12" t="s">
        <v>6045</v>
      </c>
      <c r="AI207" s="12" t="s">
        <v>6046</v>
      </c>
      <c r="AJ207" s="12" t="s">
        <v>6047</v>
      </c>
      <c r="AK207" s="12" t="s">
        <v>5860</v>
      </c>
      <c r="AL207" s="43">
        <f t="shared" si="10"/>
        <v>29.22</v>
      </c>
      <c r="AM207" s="12" t="s">
        <v>5664</v>
      </c>
      <c r="AN207" s="12" t="s">
        <v>853</v>
      </c>
      <c r="AO207" s="12" t="s">
        <v>1567</v>
      </c>
      <c r="AP207" s="12" t="s">
        <v>1568</v>
      </c>
      <c r="AQ207" s="12" t="s">
        <v>5667</v>
      </c>
      <c r="AR207" s="12" t="s">
        <v>5953</v>
      </c>
      <c r="AS207" s="12" t="s">
        <v>5812</v>
      </c>
      <c r="AT207" s="12" t="s">
        <v>366</v>
      </c>
      <c r="AU207" s="12" t="s">
        <v>5813</v>
      </c>
      <c r="AV207" s="12" t="s">
        <v>832</v>
      </c>
      <c r="AW207" s="12" t="s">
        <v>860</v>
      </c>
      <c r="AX207" s="12" t="s">
        <v>923</v>
      </c>
      <c r="AY207" s="12" t="s">
        <v>3756</v>
      </c>
      <c r="AZ207" s="12" t="s">
        <v>6048</v>
      </c>
      <c r="BA207" s="12" t="s">
        <v>6049</v>
      </c>
      <c r="BB207" s="12" t="s">
        <v>6050</v>
      </c>
      <c r="BC207" s="12" t="s">
        <v>866</v>
      </c>
      <c r="BD207" s="12" t="s">
        <v>867</v>
      </c>
      <c r="BE207" s="12" t="s">
        <v>868</v>
      </c>
      <c r="BF207" s="12" t="s">
        <v>869</v>
      </c>
      <c r="BG207" s="12" t="s">
        <v>870</v>
      </c>
      <c r="BH207" s="12" t="s">
        <v>841</v>
      </c>
      <c r="BI207" s="12" t="s">
        <v>871</v>
      </c>
      <c r="BJ207" s="12" t="s">
        <v>841</v>
      </c>
      <c r="BK207" s="12" t="s">
        <v>841</v>
      </c>
      <c r="BL207" s="12" t="s">
        <v>872</v>
      </c>
      <c r="BM207" s="12" t="s">
        <v>873</v>
      </c>
      <c r="BN207" s="12" t="s">
        <v>866</v>
      </c>
      <c r="BO207" s="12" t="s">
        <v>874</v>
      </c>
      <c r="BP207" s="12" t="s">
        <v>875</v>
      </c>
      <c r="BQ207" s="12" t="s">
        <v>876</v>
      </c>
      <c r="BR207" s="12" t="s">
        <v>869</v>
      </c>
      <c r="BS207" s="12" t="s">
        <v>869</v>
      </c>
      <c r="BT207" s="12" t="s">
        <v>877</v>
      </c>
      <c r="BU207" s="12" t="s">
        <v>877</v>
      </c>
      <c r="BV207" s="12" t="s">
        <v>877</v>
      </c>
      <c r="BW207" s="12" t="s">
        <v>841</v>
      </c>
      <c r="BX207" s="12" t="s">
        <v>878</v>
      </c>
      <c r="BY207" s="12" t="s">
        <v>841</v>
      </c>
      <c r="BZ207" s="12" t="s">
        <v>841</v>
      </c>
      <c r="CA207" s="12" t="s">
        <v>841</v>
      </c>
      <c r="CB207" s="12" t="s">
        <v>841</v>
      </c>
      <c r="CC207" s="12" t="s">
        <v>6051</v>
      </c>
      <c r="CD207" s="12" t="s">
        <v>6052</v>
      </c>
      <c r="CE207" s="12" t="s">
        <v>6053</v>
      </c>
      <c r="CF207" s="12" t="s">
        <v>6054</v>
      </c>
      <c r="CG207" s="12" t="s">
        <v>6055</v>
      </c>
      <c r="CH207" s="12" t="s">
        <v>6056</v>
      </c>
      <c r="CI207" s="12" t="s">
        <v>6057</v>
      </c>
      <c r="CJ207" s="12" t="s">
        <v>6058</v>
      </c>
      <c r="CK207" s="12" t="s">
        <v>6059</v>
      </c>
      <c r="CL207" s="12" t="s">
        <v>996</v>
      </c>
      <c r="CM207" s="12" t="s">
        <v>888</v>
      </c>
      <c r="CN207" s="12" t="s">
        <v>841</v>
      </c>
      <c r="CO207" s="12" t="s">
        <v>847</v>
      </c>
      <c r="CP207" s="12" t="s">
        <v>889</v>
      </c>
      <c r="CQ207" s="12" t="s">
        <v>890</v>
      </c>
      <c r="CR207" s="12" t="s">
        <v>847</v>
      </c>
      <c r="CS207" s="12" t="s">
        <v>891</v>
      </c>
      <c r="CT207" s="12" t="s">
        <v>892</v>
      </c>
      <c r="CU207" s="12" t="s">
        <v>893</v>
      </c>
      <c r="CV207" s="12" t="s">
        <v>841</v>
      </c>
      <c r="CW207" s="12" t="s">
        <v>6041</v>
      </c>
      <c r="CX207" s="12" t="s">
        <v>894</v>
      </c>
      <c r="CY207" s="12" t="s">
        <v>895</v>
      </c>
      <c r="CZ207" s="12" t="s">
        <v>896</v>
      </c>
      <c r="DA207" s="12" t="s">
        <v>897</v>
      </c>
      <c r="DB207" s="12" t="s">
        <v>898</v>
      </c>
      <c r="DC207" s="12" t="s">
        <v>899</v>
      </c>
    </row>
    <row r="208">
      <c r="A208" s="12" t="s">
        <v>1894</v>
      </c>
      <c r="B208" s="12" t="s">
        <v>590</v>
      </c>
      <c r="C208" s="12" t="s">
        <v>366</v>
      </c>
      <c r="D208" s="12" t="s">
        <v>833</v>
      </c>
      <c r="E208" s="12" t="s">
        <v>834</v>
      </c>
      <c r="F208" s="12"/>
      <c r="G208" s="12" t="s">
        <v>364</v>
      </c>
      <c r="H208" s="12" t="s">
        <v>586</v>
      </c>
      <c r="I208" s="12"/>
      <c r="J208" s="43">
        <f t="shared" si="1"/>
        <v>0.02327008216</v>
      </c>
      <c r="K208" s="43">
        <f t="shared" si="2"/>
        <v>2.91060848</v>
      </c>
      <c r="L208" s="43">
        <f t="shared" si="3"/>
        <v>0.02308551532</v>
      </c>
      <c r="M208" s="43">
        <f t="shared" si="4"/>
        <v>0.8203125447</v>
      </c>
      <c r="N208" s="12" t="s">
        <v>6060</v>
      </c>
      <c r="O208" s="12" t="s">
        <v>6061</v>
      </c>
      <c r="P208" s="43">
        <f t="shared" si="5"/>
        <v>4.255557887</v>
      </c>
      <c r="Q208" s="43">
        <f t="shared" si="6"/>
        <v>3.386225887</v>
      </c>
      <c r="R208" s="12" t="s">
        <v>6062</v>
      </c>
      <c r="S208" s="12" t="s">
        <v>6063</v>
      </c>
      <c r="T208" s="43">
        <f t="shared" si="7"/>
        <v>43.48618319</v>
      </c>
      <c r="U208" s="43">
        <f t="shared" si="8"/>
        <v>0.4417875</v>
      </c>
      <c r="V208" s="12" t="s">
        <v>839</v>
      </c>
      <c r="W208" s="12" t="s">
        <v>6064</v>
      </c>
      <c r="X208" s="12" t="s">
        <v>841</v>
      </c>
      <c r="Y208" s="12" t="s">
        <v>841</v>
      </c>
      <c r="Z208" s="12" t="s">
        <v>841</v>
      </c>
      <c r="AA208" s="12" t="s">
        <v>6065</v>
      </c>
      <c r="AB208" s="12" t="s">
        <v>6066</v>
      </c>
      <c r="AC208" s="12" t="s">
        <v>6067</v>
      </c>
      <c r="AD208" s="12" t="s">
        <v>845</v>
      </c>
      <c r="AE208" s="12" t="s">
        <v>846</v>
      </c>
      <c r="AF208" s="43">
        <f t="shared" si="9"/>
        <v>18.0715864</v>
      </c>
      <c r="AG208" s="12" t="s">
        <v>847</v>
      </c>
      <c r="AH208" s="12" t="s">
        <v>4289</v>
      </c>
      <c r="AI208" s="12" t="s">
        <v>6068</v>
      </c>
      <c r="AJ208" s="12" t="s">
        <v>6069</v>
      </c>
      <c r="AK208" s="12" t="s">
        <v>6070</v>
      </c>
      <c r="AL208" s="43">
        <f t="shared" si="10"/>
        <v>29.98</v>
      </c>
      <c r="AM208" s="12" t="s">
        <v>6071</v>
      </c>
      <c r="AN208" s="12" t="s">
        <v>1159</v>
      </c>
      <c r="AO208" s="12" t="s">
        <v>6072</v>
      </c>
      <c r="AP208" s="12" t="s">
        <v>6073</v>
      </c>
      <c r="AQ208" s="12" t="s">
        <v>3068</v>
      </c>
      <c r="AR208" s="12" t="s">
        <v>5953</v>
      </c>
      <c r="AS208" s="12" t="s">
        <v>5812</v>
      </c>
      <c r="AT208" s="12" t="s">
        <v>366</v>
      </c>
      <c r="AU208" s="12" t="s">
        <v>5813</v>
      </c>
      <c r="AV208" s="12" t="s">
        <v>832</v>
      </c>
      <c r="AW208" s="12" t="s">
        <v>1542</v>
      </c>
      <c r="AX208" s="12" t="s">
        <v>868</v>
      </c>
      <c r="AY208" s="12" t="s">
        <v>868</v>
      </c>
      <c r="AZ208" s="12" t="s">
        <v>6074</v>
      </c>
      <c r="BA208" s="12" t="s">
        <v>868</v>
      </c>
      <c r="BB208" s="12" t="s">
        <v>868</v>
      </c>
      <c r="BC208" s="12" t="s">
        <v>866</v>
      </c>
      <c r="BD208" s="12" t="s">
        <v>867</v>
      </c>
      <c r="BE208" s="12" t="s">
        <v>868</v>
      </c>
      <c r="BF208" s="12" t="s">
        <v>869</v>
      </c>
      <c r="BG208" s="12" t="s">
        <v>870</v>
      </c>
      <c r="BH208" s="12" t="s">
        <v>841</v>
      </c>
      <c r="BI208" s="12" t="s">
        <v>871</v>
      </c>
      <c r="BJ208" s="12" t="s">
        <v>841</v>
      </c>
      <c r="BK208" s="12" t="s">
        <v>841</v>
      </c>
      <c r="BL208" s="12" t="s">
        <v>872</v>
      </c>
      <c r="BM208" s="12" t="s">
        <v>873</v>
      </c>
      <c r="BN208" s="12" t="s">
        <v>866</v>
      </c>
      <c r="BO208" s="12" t="s">
        <v>874</v>
      </c>
      <c r="BP208" s="12" t="s">
        <v>875</v>
      </c>
      <c r="BQ208" s="12" t="s">
        <v>876</v>
      </c>
      <c r="BR208" s="12" t="s">
        <v>869</v>
      </c>
      <c r="BS208" s="12" t="s">
        <v>869</v>
      </c>
      <c r="BT208" s="12" t="s">
        <v>877</v>
      </c>
      <c r="BU208" s="12" t="s">
        <v>877</v>
      </c>
      <c r="BV208" s="12" t="s">
        <v>877</v>
      </c>
      <c r="BW208" s="12" t="s">
        <v>841</v>
      </c>
      <c r="BX208" s="12" t="s">
        <v>878</v>
      </c>
      <c r="BY208" s="12" t="s">
        <v>841</v>
      </c>
      <c r="BZ208" s="12" t="s">
        <v>841</v>
      </c>
      <c r="CA208" s="12" t="s">
        <v>841</v>
      </c>
      <c r="CB208" s="12" t="s">
        <v>841</v>
      </c>
      <c r="CC208" s="12" t="s">
        <v>6075</v>
      </c>
      <c r="CD208" s="12" t="s">
        <v>6076</v>
      </c>
      <c r="CE208" s="12" t="s">
        <v>6077</v>
      </c>
      <c r="CF208" s="12" t="s">
        <v>6078</v>
      </c>
      <c r="CG208" s="12" t="s">
        <v>6079</v>
      </c>
      <c r="CH208" s="12" t="s">
        <v>6080</v>
      </c>
      <c r="CI208" s="12" t="s">
        <v>6081</v>
      </c>
      <c r="CJ208" s="12" t="s">
        <v>6082</v>
      </c>
      <c r="CK208" s="12" t="s">
        <v>6083</v>
      </c>
      <c r="CL208" s="12" t="s">
        <v>1893</v>
      </c>
      <c r="CM208" s="12" t="s">
        <v>888</v>
      </c>
      <c r="CN208" s="12" t="s">
        <v>841</v>
      </c>
      <c r="CO208" s="12" t="s">
        <v>847</v>
      </c>
      <c r="CP208" s="12" t="s">
        <v>889</v>
      </c>
      <c r="CQ208" s="12" t="s">
        <v>890</v>
      </c>
      <c r="CR208" s="12" t="s">
        <v>847</v>
      </c>
      <c r="CS208" s="12" t="s">
        <v>891</v>
      </c>
      <c r="CT208" s="12" t="s">
        <v>892</v>
      </c>
      <c r="CU208" s="12" t="s">
        <v>893</v>
      </c>
      <c r="CV208" s="12" t="s">
        <v>841</v>
      </c>
      <c r="CW208" s="12" t="s">
        <v>6064</v>
      </c>
      <c r="CX208" s="12" t="s">
        <v>894</v>
      </c>
      <c r="CY208" s="12" t="s">
        <v>895</v>
      </c>
      <c r="CZ208" s="12" t="s">
        <v>896</v>
      </c>
      <c r="DA208" s="12" t="s">
        <v>897</v>
      </c>
      <c r="DB208" s="12" t="s">
        <v>898</v>
      </c>
      <c r="DC208" s="12" t="s">
        <v>899</v>
      </c>
    </row>
    <row r="209">
      <c r="A209" s="12" t="s">
        <v>1919</v>
      </c>
      <c r="B209" s="12" t="s">
        <v>591</v>
      </c>
      <c r="C209" s="12" t="s">
        <v>366</v>
      </c>
      <c r="D209" s="12" t="s">
        <v>833</v>
      </c>
      <c r="E209" s="12" t="s">
        <v>834</v>
      </c>
      <c r="F209" s="12"/>
      <c r="G209" s="12" t="s">
        <v>364</v>
      </c>
      <c r="H209" s="12" t="s">
        <v>586</v>
      </c>
      <c r="I209" s="12"/>
      <c r="J209" s="43">
        <f t="shared" si="1"/>
        <v>0.00726654045</v>
      </c>
      <c r="K209" s="43">
        <f t="shared" si="2"/>
        <v>2.90981592</v>
      </c>
      <c r="L209" s="43">
        <f t="shared" si="3"/>
        <v>0.007248439278</v>
      </c>
      <c r="M209" s="43">
        <f t="shared" si="4"/>
        <v>0.2673117246</v>
      </c>
      <c r="N209" s="12" t="s">
        <v>6084</v>
      </c>
      <c r="O209" s="12" t="s">
        <v>6085</v>
      </c>
      <c r="P209" s="43">
        <f t="shared" si="5"/>
        <v>4.369318304</v>
      </c>
      <c r="Q209" s="43">
        <f t="shared" si="6"/>
        <v>3.512930304</v>
      </c>
      <c r="R209" s="12" t="s">
        <v>6086</v>
      </c>
      <c r="S209" s="12" t="s">
        <v>6087</v>
      </c>
      <c r="T209" s="43">
        <f t="shared" si="7"/>
        <v>44.64410242</v>
      </c>
      <c r="U209" s="43">
        <f t="shared" si="8"/>
        <v>0.4417875</v>
      </c>
      <c r="V209" s="12" t="s">
        <v>839</v>
      </c>
      <c r="W209" s="12" t="s">
        <v>6088</v>
      </c>
      <c r="X209" s="12" t="s">
        <v>841</v>
      </c>
      <c r="Y209" s="12" t="s">
        <v>841</v>
      </c>
      <c r="Z209" s="12" t="s">
        <v>841</v>
      </c>
      <c r="AA209" s="12" t="s">
        <v>6089</v>
      </c>
      <c r="AB209" s="12" t="s">
        <v>6090</v>
      </c>
      <c r="AC209" s="12" t="s">
        <v>6091</v>
      </c>
      <c r="AD209" s="12" t="s">
        <v>845</v>
      </c>
      <c r="AE209" s="12" t="s">
        <v>846</v>
      </c>
      <c r="AF209" s="43">
        <f t="shared" si="9"/>
        <v>11.704836</v>
      </c>
      <c r="AG209" s="12" t="s">
        <v>847</v>
      </c>
      <c r="AH209" s="12" t="s">
        <v>6092</v>
      </c>
      <c r="AI209" s="12" t="s">
        <v>6093</v>
      </c>
      <c r="AJ209" s="12" t="s">
        <v>6094</v>
      </c>
      <c r="AK209" s="12" t="s">
        <v>6095</v>
      </c>
      <c r="AL209" s="43">
        <f t="shared" si="10"/>
        <v>30.44</v>
      </c>
      <c r="AM209" s="12" t="s">
        <v>5664</v>
      </c>
      <c r="AN209" s="12" t="s">
        <v>914</v>
      </c>
      <c r="AO209" s="12" t="s">
        <v>6096</v>
      </c>
      <c r="AP209" s="12" t="s">
        <v>6097</v>
      </c>
      <c r="AQ209" s="12" t="s">
        <v>2285</v>
      </c>
      <c r="AR209" s="12" t="s">
        <v>6098</v>
      </c>
      <c r="AS209" s="12" t="s">
        <v>5812</v>
      </c>
      <c r="AT209" s="12" t="s">
        <v>366</v>
      </c>
      <c r="AU209" s="12" t="s">
        <v>5813</v>
      </c>
      <c r="AV209" s="12" t="s">
        <v>832</v>
      </c>
      <c r="AW209" s="12" t="s">
        <v>1543</v>
      </c>
      <c r="AX209" s="12" t="s">
        <v>1286</v>
      </c>
      <c r="AY209" s="12" t="s">
        <v>860</v>
      </c>
      <c r="AZ209" s="12" t="s">
        <v>6099</v>
      </c>
      <c r="BA209" s="12" t="s">
        <v>6100</v>
      </c>
      <c r="BB209" s="12" t="s">
        <v>6101</v>
      </c>
      <c r="BC209" s="12" t="s">
        <v>866</v>
      </c>
      <c r="BD209" s="12" t="s">
        <v>867</v>
      </c>
      <c r="BE209" s="12" t="s">
        <v>868</v>
      </c>
      <c r="BF209" s="12" t="s">
        <v>869</v>
      </c>
      <c r="BG209" s="12" t="s">
        <v>870</v>
      </c>
      <c r="BH209" s="12" t="s">
        <v>841</v>
      </c>
      <c r="BI209" s="12" t="s">
        <v>871</v>
      </c>
      <c r="BJ209" s="12" t="s">
        <v>841</v>
      </c>
      <c r="BK209" s="12" t="s">
        <v>841</v>
      </c>
      <c r="BL209" s="12" t="s">
        <v>872</v>
      </c>
      <c r="BM209" s="12" t="s">
        <v>873</v>
      </c>
      <c r="BN209" s="12" t="s">
        <v>866</v>
      </c>
      <c r="BO209" s="12" t="s">
        <v>874</v>
      </c>
      <c r="BP209" s="12" t="s">
        <v>875</v>
      </c>
      <c r="BQ209" s="12" t="s">
        <v>876</v>
      </c>
      <c r="BR209" s="12" t="s">
        <v>869</v>
      </c>
      <c r="BS209" s="12" t="s">
        <v>869</v>
      </c>
      <c r="BT209" s="12" t="s">
        <v>877</v>
      </c>
      <c r="BU209" s="12" t="s">
        <v>877</v>
      </c>
      <c r="BV209" s="12" t="s">
        <v>877</v>
      </c>
      <c r="BW209" s="12" t="s">
        <v>841</v>
      </c>
      <c r="BX209" s="12" t="s">
        <v>878</v>
      </c>
      <c r="BY209" s="12" t="s">
        <v>841</v>
      </c>
      <c r="BZ209" s="12" t="s">
        <v>841</v>
      </c>
      <c r="CA209" s="12" t="s">
        <v>841</v>
      </c>
      <c r="CB209" s="12" t="s">
        <v>841</v>
      </c>
      <c r="CC209" s="12" t="s">
        <v>6102</v>
      </c>
      <c r="CD209" s="12" t="s">
        <v>6103</v>
      </c>
      <c r="CE209" s="12" t="s">
        <v>6104</v>
      </c>
      <c r="CF209" s="12" t="s">
        <v>6105</v>
      </c>
      <c r="CG209" s="12" t="s">
        <v>6106</v>
      </c>
      <c r="CH209" s="12" t="s">
        <v>6107</v>
      </c>
      <c r="CI209" s="12" t="s">
        <v>6108</v>
      </c>
      <c r="CJ209" s="12" t="s">
        <v>6109</v>
      </c>
      <c r="CK209" s="12" t="s">
        <v>6089</v>
      </c>
      <c r="CL209" s="12" t="s">
        <v>996</v>
      </c>
      <c r="CM209" s="12" t="s">
        <v>888</v>
      </c>
      <c r="CN209" s="12" t="s">
        <v>841</v>
      </c>
      <c r="CO209" s="12" t="s">
        <v>847</v>
      </c>
      <c r="CP209" s="12" t="s">
        <v>889</v>
      </c>
      <c r="CQ209" s="12" t="s">
        <v>890</v>
      </c>
      <c r="CR209" s="12" t="s">
        <v>847</v>
      </c>
      <c r="CS209" s="12" t="s">
        <v>891</v>
      </c>
      <c r="CT209" s="12" t="s">
        <v>892</v>
      </c>
      <c r="CU209" s="12" t="s">
        <v>893</v>
      </c>
      <c r="CV209" s="12" t="s">
        <v>841</v>
      </c>
      <c r="CW209" s="12" t="s">
        <v>6088</v>
      </c>
      <c r="CX209" s="12" t="s">
        <v>894</v>
      </c>
      <c r="CY209" s="12" t="s">
        <v>895</v>
      </c>
      <c r="CZ209" s="12" t="s">
        <v>896</v>
      </c>
      <c r="DA209" s="12" t="s">
        <v>897</v>
      </c>
      <c r="DB209" s="12" t="s">
        <v>898</v>
      </c>
      <c r="DC209" s="12" t="s">
        <v>899</v>
      </c>
    </row>
    <row r="210">
      <c r="A210" s="12" t="s">
        <v>1782</v>
      </c>
      <c r="B210" s="12" t="s">
        <v>594</v>
      </c>
      <c r="C210" s="12" t="s">
        <v>366</v>
      </c>
      <c r="D210" s="12" t="s">
        <v>833</v>
      </c>
      <c r="E210" s="12" t="s">
        <v>834</v>
      </c>
      <c r="F210" s="12"/>
      <c r="G210" s="12" t="s">
        <v>364</v>
      </c>
      <c r="H210" s="12" t="s">
        <v>593</v>
      </c>
      <c r="I210" s="12"/>
      <c r="J210" s="43">
        <f t="shared" si="1"/>
        <v>0.0368653299</v>
      </c>
      <c r="K210" s="43">
        <f t="shared" si="2"/>
        <v>2.90981592</v>
      </c>
      <c r="L210" s="43">
        <f t="shared" si="3"/>
        <v>0.03640411525</v>
      </c>
      <c r="M210" s="43">
        <f t="shared" si="4"/>
        <v>1.291554069</v>
      </c>
      <c r="N210" s="12" t="s">
        <v>6110</v>
      </c>
      <c r="O210" s="12" t="s">
        <v>6111</v>
      </c>
      <c r="P210" s="43">
        <f t="shared" si="5"/>
        <v>4.302229056</v>
      </c>
      <c r="Q210" s="43">
        <f t="shared" si="6"/>
        <v>3.379526056</v>
      </c>
      <c r="R210" s="12" t="s">
        <v>6112</v>
      </c>
      <c r="S210" s="12" t="s">
        <v>6113</v>
      </c>
      <c r="T210" s="43">
        <f t="shared" si="7"/>
        <v>43.95860893</v>
      </c>
      <c r="U210" s="43">
        <f t="shared" si="8"/>
        <v>0.4417875</v>
      </c>
      <c r="V210" s="12" t="s">
        <v>839</v>
      </c>
      <c r="W210" s="12" t="s">
        <v>6114</v>
      </c>
      <c r="X210" s="12" t="s">
        <v>841</v>
      </c>
      <c r="Y210" s="12" t="s">
        <v>841</v>
      </c>
      <c r="Z210" s="12" t="s">
        <v>841</v>
      </c>
      <c r="AA210" s="12" t="s">
        <v>6115</v>
      </c>
      <c r="AB210" s="12" t="s">
        <v>6116</v>
      </c>
      <c r="AC210" s="12" t="s">
        <v>6117</v>
      </c>
      <c r="AD210" s="12" t="s">
        <v>845</v>
      </c>
      <c r="AE210" s="12" t="s">
        <v>846</v>
      </c>
      <c r="AF210" s="43">
        <f t="shared" si="9"/>
        <v>12.418818</v>
      </c>
      <c r="AG210" s="12" t="s">
        <v>847</v>
      </c>
      <c r="AH210" s="12" t="s">
        <v>6118</v>
      </c>
      <c r="AI210" s="12" t="s">
        <v>6119</v>
      </c>
      <c r="AJ210" s="12" t="s">
        <v>5236</v>
      </c>
      <c r="AK210" s="12" t="s">
        <v>6120</v>
      </c>
      <c r="AL210" s="43">
        <f t="shared" si="10"/>
        <v>30.17</v>
      </c>
      <c r="AM210" s="12" t="s">
        <v>5664</v>
      </c>
      <c r="AN210" s="12" t="s">
        <v>914</v>
      </c>
      <c r="AO210" s="12" t="s">
        <v>6121</v>
      </c>
      <c r="AP210" s="12" t="s">
        <v>6122</v>
      </c>
      <c r="AQ210" s="12" t="s">
        <v>1596</v>
      </c>
      <c r="AR210" s="12" t="s">
        <v>6098</v>
      </c>
      <c r="AS210" s="12" t="s">
        <v>5812</v>
      </c>
      <c r="AT210" s="12" t="s">
        <v>366</v>
      </c>
      <c r="AU210" s="12" t="s">
        <v>5813</v>
      </c>
      <c r="AV210" s="12" t="s">
        <v>832</v>
      </c>
      <c r="AW210" s="12" t="s">
        <v>1543</v>
      </c>
      <c r="AX210" s="12" t="s">
        <v>1543</v>
      </c>
      <c r="AY210" s="12" t="s">
        <v>1543</v>
      </c>
      <c r="AZ210" s="12" t="s">
        <v>6123</v>
      </c>
      <c r="BA210" s="12" t="s">
        <v>6124</v>
      </c>
      <c r="BB210" s="12" t="s">
        <v>6125</v>
      </c>
      <c r="BC210" s="12" t="s">
        <v>866</v>
      </c>
      <c r="BD210" s="12" t="s">
        <v>867</v>
      </c>
      <c r="BE210" s="12" t="s">
        <v>868</v>
      </c>
      <c r="BF210" s="12" t="s">
        <v>869</v>
      </c>
      <c r="BG210" s="12" t="s">
        <v>870</v>
      </c>
      <c r="BH210" s="12" t="s">
        <v>841</v>
      </c>
      <c r="BI210" s="12" t="s">
        <v>871</v>
      </c>
      <c r="BJ210" s="12" t="s">
        <v>841</v>
      </c>
      <c r="BK210" s="12" t="s">
        <v>841</v>
      </c>
      <c r="BL210" s="12" t="s">
        <v>872</v>
      </c>
      <c r="BM210" s="12" t="s">
        <v>873</v>
      </c>
      <c r="BN210" s="12" t="s">
        <v>866</v>
      </c>
      <c r="BO210" s="12" t="s">
        <v>874</v>
      </c>
      <c r="BP210" s="12" t="s">
        <v>875</v>
      </c>
      <c r="BQ210" s="12" t="s">
        <v>876</v>
      </c>
      <c r="BR210" s="12" t="s">
        <v>869</v>
      </c>
      <c r="BS210" s="12" t="s">
        <v>869</v>
      </c>
      <c r="BT210" s="12" t="s">
        <v>877</v>
      </c>
      <c r="BU210" s="12" t="s">
        <v>877</v>
      </c>
      <c r="BV210" s="12" t="s">
        <v>877</v>
      </c>
      <c r="BW210" s="12" t="s">
        <v>841</v>
      </c>
      <c r="BX210" s="12" t="s">
        <v>878</v>
      </c>
      <c r="BY210" s="12" t="s">
        <v>841</v>
      </c>
      <c r="BZ210" s="12" t="s">
        <v>841</v>
      </c>
      <c r="CA210" s="12" t="s">
        <v>841</v>
      </c>
      <c r="CB210" s="12" t="s">
        <v>841</v>
      </c>
      <c r="CC210" s="12" t="s">
        <v>6126</v>
      </c>
      <c r="CD210" s="12" t="s">
        <v>6127</v>
      </c>
      <c r="CE210" s="12" t="s">
        <v>6128</v>
      </c>
      <c r="CF210" s="12" t="s">
        <v>6129</v>
      </c>
      <c r="CG210" s="12" t="s">
        <v>6130</v>
      </c>
      <c r="CH210" s="12" t="s">
        <v>6131</v>
      </c>
      <c r="CI210" s="12" t="s">
        <v>6132</v>
      </c>
      <c r="CJ210" s="12" t="s">
        <v>6133</v>
      </c>
      <c r="CK210" s="12" t="s">
        <v>6115</v>
      </c>
      <c r="CL210" s="12" t="s">
        <v>1609</v>
      </c>
      <c r="CM210" s="12" t="s">
        <v>888</v>
      </c>
      <c r="CN210" s="12" t="s">
        <v>841</v>
      </c>
      <c r="CO210" s="12" t="s">
        <v>847</v>
      </c>
      <c r="CP210" s="12" t="s">
        <v>889</v>
      </c>
      <c r="CQ210" s="12" t="s">
        <v>890</v>
      </c>
      <c r="CR210" s="12" t="s">
        <v>847</v>
      </c>
      <c r="CS210" s="12" t="s">
        <v>891</v>
      </c>
      <c r="CT210" s="12" t="s">
        <v>892</v>
      </c>
      <c r="CU210" s="12" t="s">
        <v>893</v>
      </c>
      <c r="CV210" s="12" t="s">
        <v>841</v>
      </c>
      <c r="CW210" s="12" t="s">
        <v>6114</v>
      </c>
      <c r="CX210" s="12" t="s">
        <v>894</v>
      </c>
      <c r="CY210" s="12" t="s">
        <v>895</v>
      </c>
      <c r="CZ210" s="12" t="s">
        <v>896</v>
      </c>
      <c r="DA210" s="12" t="s">
        <v>897</v>
      </c>
      <c r="DB210" s="12" t="s">
        <v>898</v>
      </c>
      <c r="DC210" s="12" t="s">
        <v>899</v>
      </c>
    </row>
    <row r="211">
      <c r="A211" s="12" t="s">
        <v>1970</v>
      </c>
      <c r="B211" s="12" t="s">
        <v>596</v>
      </c>
      <c r="C211" s="12" t="s">
        <v>366</v>
      </c>
      <c r="D211" s="12" t="s">
        <v>833</v>
      </c>
      <c r="E211" s="12" t="s">
        <v>834</v>
      </c>
      <c r="F211" s="12"/>
      <c r="G211" s="12" t="s">
        <v>364</v>
      </c>
      <c r="H211" s="12" t="s">
        <v>593</v>
      </c>
      <c r="I211" s="12"/>
      <c r="J211" s="43">
        <f t="shared" si="1"/>
        <v>-0.002730462924</v>
      </c>
      <c r="K211" s="43">
        <f t="shared" si="2"/>
        <v>2.91060848</v>
      </c>
      <c r="L211" s="43">
        <f t="shared" si="3"/>
        <v>-0.002733026796</v>
      </c>
      <c r="M211" s="43">
        <f t="shared" si="4"/>
        <v>-0.09586660087</v>
      </c>
      <c r="N211" s="12" t="s">
        <v>6134</v>
      </c>
      <c r="O211" s="12" t="s">
        <v>6135</v>
      </c>
      <c r="P211" s="43">
        <f t="shared" si="5"/>
        <v>4.17314155</v>
      </c>
      <c r="Q211" s="43">
        <f t="shared" si="6"/>
        <v>3.34456755</v>
      </c>
      <c r="R211" s="12" t="s">
        <v>6136</v>
      </c>
      <c r="S211" s="12" t="s">
        <v>6137</v>
      </c>
      <c r="T211" s="43">
        <f t="shared" si="7"/>
        <v>42.64835514</v>
      </c>
      <c r="U211" s="43">
        <f t="shared" si="8"/>
        <v>0.4417875</v>
      </c>
      <c r="V211" s="12" t="s">
        <v>839</v>
      </c>
      <c r="W211" s="12" t="s">
        <v>6138</v>
      </c>
      <c r="X211" s="12" t="s">
        <v>841</v>
      </c>
      <c r="Y211" s="12" t="s">
        <v>841</v>
      </c>
      <c r="Z211" s="12" t="s">
        <v>841</v>
      </c>
      <c r="AA211" s="12" t="s">
        <v>6139</v>
      </c>
      <c r="AB211" s="12" t="s">
        <v>6140</v>
      </c>
      <c r="AC211" s="12" t="s">
        <v>6141</v>
      </c>
      <c r="AD211" s="12" t="s">
        <v>845</v>
      </c>
      <c r="AE211" s="12" t="s">
        <v>846</v>
      </c>
      <c r="AF211" s="43">
        <f t="shared" si="9"/>
        <v>12.249392</v>
      </c>
      <c r="AG211" s="12" t="s">
        <v>847</v>
      </c>
      <c r="AH211" s="12" t="s">
        <v>5973</v>
      </c>
      <c r="AI211" s="12" t="s">
        <v>5489</v>
      </c>
      <c r="AJ211" s="12" t="s">
        <v>6142</v>
      </c>
      <c r="AK211" s="12" t="s">
        <v>6143</v>
      </c>
      <c r="AL211" s="43">
        <f t="shared" si="10"/>
        <v>29.64</v>
      </c>
      <c r="AM211" s="12" t="s">
        <v>6144</v>
      </c>
      <c r="AN211" s="12" t="s">
        <v>1159</v>
      </c>
      <c r="AO211" s="12" t="s">
        <v>6145</v>
      </c>
      <c r="AP211" s="12" t="s">
        <v>6146</v>
      </c>
      <c r="AQ211" s="12" t="s">
        <v>2274</v>
      </c>
      <c r="AR211" s="12" t="s">
        <v>6147</v>
      </c>
      <c r="AS211" s="12" t="s">
        <v>5812</v>
      </c>
      <c r="AT211" s="12" t="s">
        <v>366</v>
      </c>
      <c r="AU211" s="12" t="s">
        <v>5813</v>
      </c>
      <c r="AV211" s="12" t="s">
        <v>832</v>
      </c>
      <c r="AW211" s="12" t="s">
        <v>1543</v>
      </c>
      <c r="AX211" s="12" t="s">
        <v>1286</v>
      </c>
      <c r="AY211" s="12" t="s">
        <v>1542</v>
      </c>
      <c r="AZ211" s="12" t="s">
        <v>6148</v>
      </c>
      <c r="BA211" s="12" t="s">
        <v>6149</v>
      </c>
      <c r="BB211" s="12" t="s">
        <v>6150</v>
      </c>
      <c r="BC211" s="12" t="s">
        <v>866</v>
      </c>
      <c r="BD211" s="12" t="s">
        <v>867</v>
      </c>
      <c r="BE211" s="12" t="s">
        <v>868</v>
      </c>
      <c r="BF211" s="12" t="s">
        <v>869</v>
      </c>
      <c r="BG211" s="12" t="s">
        <v>870</v>
      </c>
      <c r="BH211" s="12" t="s">
        <v>841</v>
      </c>
      <c r="BI211" s="12" t="s">
        <v>871</v>
      </c>
      <c r="BJ211" s="12" t="s">
        <v>841</v>
      </c>
      <c r="BK211" s="12" t="s">
        <v>841</v>
      </c>
      <c r="BL211" s="12" t="s">
        <v>872</v>
      </c>
      <c r="BM211" s="12" t="s">
        <v>873</v>
      </c>
      <c r="BN211" s="12" t="s">
        <v>866</v>
      </c>
      <c r="BO211" s="12" t="s">
        <v>874</v>
      </c>
      <c r="BP211" s="12" t="s">
        <v>875</v>
      </c>
      <c r="BQ211" s="12" t="s">
        <v>876</v>
      </c>
      <c r="BR211" s="12" t="s">
        <v>869</v>
      </c>
      <c r="BS211" s="12" t="s">
        <v>869</v>
      </c>
      <c r="BT211" s="12" t="s">
        <v>877</v>
      </c>
      <c r="BU211" s="12" t="s">
        <v>877</v>
      </c>
      <c r="BV211" s="12" t="s">
        <v>877</v>
      </c>
      <c r="BW211" s="12" t="s">
        <v>841</v>
      </c>
      <c r="BX211" s="12" t="s">
        <v>878</v>
      </c>
      <c r="BY211" s="12" t="s">
        <v>841</v>
      </c>
      <c r="BZ211" s="12" t="s">
        <v>841</v>
      </c>
      <c r="CA211" s="12" t="s">
        <v>841</v>
      </c>
      <c r="CB211" s="12" t="s">
        <v>841</v>
      </c>
      <c r="CC211" s="12" t="s">
        <v>6151</v>
      </c>
      <c r="CD211" s="12" t="s">
        <v>6152</v>
      </c>
      <c r="CE211" s="12" t="s">
        <v>6153</v>
      </c>
      <c r="CF211" s="12" t="s">
        <v>6154</v>
      </c>
      <c r="CG211" s="12" t="s">
        <v>6155</v>
      </c>
      <c r="CH211" s="12" t="s">
        <v>6156</v>
      </c>
      <c r="CI211" s="12" t="s">
        <v>6157</v>
      </c>
      <c r="CJ211" s="12" t="s">
        <v>6158</v>
      </c>
      <c r="CK211" s="12" t="s">
        <v>6139</v>
      </c>
      <c r="CL211" s="12" t="s">
        <v>996</v>
      </c>
      <c r="CM211" s="12" t="s">
        <v>888</v>
      </c>
      <c r="CN211" s="12" t="s">
        <v>841</v>
      </c>
      <c r="CO211" s="12" t="s">
        <v>847</v>
      </c>
      <c r="CP211" s="12" t="s">
        <v>889</v>
      </c>
      <c r="CQ211" s="12" t="s">
        <v>890</v>
      </c>
      <c r="CR211" s="12" t="s">
        <v>847</v>
      </c>
      <c r="CS211" s="12" t="s">
        <v>891</v>
      </c>
      <c r="CT211" s="12" t="s">
        <v>892</v>
      </c>
      <c r="CU211" s="12" t="s">
        <v>893</v>
      </c>
      <c r="CV211" s="12" t="s">
        <v>841</v>
      </c>
      <c r="CW211" s="12" t="s">
        <v>6138</v>
      </c>
      <c r="CX211" s="12" t="s">
        <v>894</v>
      </c>
      <c r="CY211" s="12" t="s">
        <v>895</v>
      </c>
      <c r="CZ211" s="12" t="s">
        <v>896</v>
      </c>
      <c r="DA211" s="12" t="s">
        <v>897</v>
      </c>
      <c r="DB211" s="12" t="s">
        <v>898</v>
      </c>
      <c r="DC211" s="12" t="s">
        <v>899</v>
      </c>
    </row>
    <row r="212">
      <c r="A212" s="12" t="s">
        <v>1998</v>
      </c>
      <c r="B212" s="12" t="s">
        <v>598</v>
      </c>
      <c r="C212" s="12" t="s">
        <v>366</v>
      </c>
      <c r="D212" s="12" t="s">
        <v>833</v>
      </c>
      <c r="E212" s="12" t="s">
        <v>834</v>
      </c>
      <c r="F212" s="12"/>
      <c r="G212" s="12" t="s">
        <v>364</v>
      </c>
      <c r="H212" s="12" t="s">
        <v>593</v>
      </c>
      <c r="I212" s="12"/>
      <c r="J212" s="43">
        <f t="shared" si="1"/>
        <v>0.01764183924</v>
      </c>
      <c r="K212" s="43">
        <f t="shared" si="2"/>
        <v>2.909022</v>
      </c>
      <c r="L212" s="43">
        <f t="shared" si="3"/>
        <v>0.01753549478</v>
      </c>
      <c r="M212" s="43">
        <f t="shared" si="4"/>
        <v>0.6096528501</v>
      </c>
      <c r="N212" s="12" t="s">
        <v>6159</v>
      </c>
      <c r="O212" s="12" t="s">
        <v>6160</v>
      </c>
      <c r="P212" s="43">
        <f t="shared" si="5"/>
        <v>4.163537596</v>
      </c>
      <c r="Q212" s="43">
        <f t="shared" si="6"/>
        <v>3.314051596</v>
      </c>
      <c r="R212" s="12" t="s">
        <v>6161</v>
      </c>
      <c r="S212" s="12" t="s">
        <v>6162</v>
      </c>
      <c r="T212" s="43">
        <f t="shared" si="7"/>
        <v>42.55890418</v>
      </c>
      <c r="U212" s="43">
        <f t="shared" si="8"/>
        <v>0.4417875</v>
      </c>
      <c r="V212" s="12" t="s">
        <v>839</v>
      </c>
      <c r="W212" s="12" t="s">
        <v>6163</v>
      </c>
      <c r="X212" s="12" t="s">
        <v>841</v>
      </c>
      <c r="Y212" s="12" t="s">
        <v>841</v>
      </c>
      <c r="Z212" s="12" t="s">
        <v>841</v>
      </c>
      <c r="AA212" s="12" t="s">
        <v>6164</v>
      </c>
      <c r="AB212" s="12" t="s">
        <v>6165</v>
      </c>
      <c r="AC212" s="12" t="s">
        <v>6166</v>
      </c>
      <c r="AD212" s="12" t="s">
        <v>845</v>
      </c>
      <c r="AE212" s="12" t="s">
        <v>846</v>
      </c>
      <c r="AF212" s="43">
        <f t="shared" si="9"/>
        <v>18.832704</v>
      </c>
      <c r="AG212" s="12" t="s">
        <v>847</v>
      </c>
      <c r="AH212" s="12" t="s">
        <v>6167</v>
      </c>
      <c r="AI212" s="12" t="s">
        <v>6168</v>
      </c>
      <c r="AJ212" s="12" t="s">
        <v>6169</v>
      </c>
      <c r="AK212" s="12" t="s">
        <v>6170</v>
      </c>
      <c r="AL212" s="43">
        <f t="shared" si="10"/>
        <v>29.6</v>
      </c>
      <c r="AM212" s="12" t="s">
        <v>6171</v>
      </c>
      <c r="AN212" s="12" t="s">
        <v>1072</v>
      </c>
      <c r="AO212" s="12" t="s">
        <v>5690</v>
      </c>
      <c r="AP212" s="12" t="s">
        <v>2272</v>
      </c>
      <c r="AQ212" s="12" t="s">
        <v>4466</v>
      </c>
      <c r="AR212" s="12" t="s">
        <v>6172</v>
      </c>
      <c r="AS212" s="12" t="s">
        <v>5812</v>
      </c>
      <c r="AT212" s="12" t="s">
        <v>366</v>
      </c>
      <c r="AU212" s="12" t="s">
        <v>5813</v>
      </c>
      <c r="AV212" s="12" t="s">
        <v>832</v>
      </c>
      <c r="AW212" s="12" t="s">
        <v>1342</v>
      </c>
      <c r="AX212" s="12" t="s">
        <v>1287</v>
      </c>
      <c r="AY212" s="12" t="s">
        <v>1016</v>
      </c>
      <c r="AZ212" s="12" t="s">
        <v>6173</v>
      </c>
      <c r="BA212" s="12" t="s">
        <v>6174</v>
      </c>
      <c r="BB212" s="12" t="s">
        <v>6175</v>
      </c>
      <c r="BC212" s="12" t="s">
        <v>866</v>
      </c>
      <c r="BD212" s="12" t="s">
        <v>867</v>
      </c>
      <c r="BE212" s="12" t="s">
        <v>868</v>
      </c>
      <c r="BF212" s="12" t="s">
        <v>869</v>
      </c>
      <c r="BG212" s="12" t="s">
        <v>870</v>
      </c>
      <c r="BH212" s="12" t="s">
        <v>841</v>
      </c>
      <c r="BI212" s="12" t="s">
        <v>871</v>
      </c>
      <c r="BJ212" s="12" t="s">
        <v>841</v>
      </c>
      <c r="BK212" s="12" t="s">
        <v>841</v>
      </c>
      <c r="BL212" s="12" t="s">
        <v>872</v>
      </c>
      <c r="BM212" s="12" t="s">
        <v>873</v>
      </c>
      <c r="BN212" s="12" t="s">
        <v>866</v>
      </c>
      <c r="BO212" s="12" t="s">
        <v>874</v>
      </c>
      <c r="BP212" s="12" t="s">
        <v>875</v>
      </c>
      <c r="BQ212" s="12" t="s">
        <v>876</v>
      </c>
      <c r="BR212" s="12" t="s">
        <v>869</v>
      </c>
      <c r="BS212" s="12" t="s">
        <v>869</v>
      </c>
      <c r="BT212" s="12" t="s">
        <v>877</v>
      </c>
      <c r="BU212" s="12" t="s">
        <v>877</v>
      </c>
      <c r="BV212" s="12" t="s">
        <v>877</v>
      </c>
      <c r="BW212" s="12" t="s">
        <v>841</v>
      </c>
      <c r="BX212" s="12" t="s">
        <v>878</v>
      </c>
      <c r="BY212" s="12" t="s">
        <v>841</v>
      </c>
      <c r="BZ212" s="12" t="s">
        <v>841</v>
      </c>
      <c r="CA212" s="12" t="s">
        <v>841</v>
      </c>
      <c r="CB212" s="12" t="s">
        <v>841</v>
      </c>
      <c r="CC212" s="12" t="s">
        <v>6176</v>
      </c>
      <c r="CD212" s="12" t="s">
        <v>6177</v>
      </c>
      <c r="CE212" s="12" t="s">
        <v>6178</v>
      </c>
      <c r="CF212" s="12" t="s">
        <v>6179</v>
      </c>
      <c r="CG212" s="12" t="s">
        <v>6180</v>
      </c>
      <c r="CH212" s="12" t="s">
        <v>6181</v>
      </c>
      <c r="CI212" s="12" t="s">
        <v>6182</v>
      </c>
      <c r="CJ212" s="12" t="s">
        <v>6183</v>
      </c>
      <c r="CK212" s="12" t="s">
        <v>6164</v>
      </c>
      <c r="CL212" s="12" t="s">
        <v>996</v>
      </c>
      <c r="CM212" s="12" t="s">
        <v>888</v>
      </c>
      <c r="CN212" s="12" t="s">
        <v>841</v>
      </c>
      <c r="CO212" s="12" t="s">
        <v>847</v>
      </c>
      <c r="CP212" s="12" t="s">
        <v>889</v>
      </c>
      <c r="CQ212" s="12" t="s">
        <v>890</v>
      </c>
      <c r="CR212" s="12" t="s">
        <v>847</v>
      </c>
      <c r="CS212" s="12" t="s">
        <v>891</v>
      </c>
      <c r="CT212" s="12" t="s">
        <v>892</v>
      </c>
      <c r="CU212" s="12" t="s">
        <v>893</v>
      </c>
      <c r="CV212" s="12" t="s">
        <v>841</v>
      </c>
      <c r="CW212" s="12" t="s">
        <v>6163</v>
      </c>
      <c r="CX212" s="12" t="s">
        <v>894</v>
      </c>
      <c r="CY212" s="12" t="s">
        <v>895</v>
      </c>
      <c r="CZ212" s="12" t="s">
        <v>896</v>
      </c>
      <c r="DA212" s="12" t="s">
        <v>897</v>
      </c>
      <c r="DB212" s="12" t="s">
        <v>898</v>
      </c>
      <c r="DC212" s="12" t="s">
        <v>899</v>
      </c>
    </row>
    <row r="213">
      <c r="A213" s="12" t="s">
        <v>2022</v>
      </c>
      <c r="B213" s="12" t="s">
        <v>601</v>
      </c>
      <c r="C213" s="12" t="s">
        <v>366</v>
      </c>
      <c r="D213" s="12" t="s">
        <v>833</v>
      </c>
      <c r="E213" s="12" t="s">
        <v>834</v>
      </c>
      <c r="F213" s="12"/>
      <c r="G213" s="12" t="s">
        <v>364</v>
      </c>
      <c r="H213" s="12" t="s">
        <v>600</v>
      </c>
      <c r="I213" s="12"/>
      <c r="J213" s="43">
        <f t="shared" si="1"/>
        <v>-0.005082296087</v>
      </c>
      <c r="K213" s="43">
        <f t="shared" si="2"/>
        <v>2.909022</v>
      </c>
      <c r="L213" s="43">
        <f t="shared" si="3"/>
        <v>-0.005091190808</v>
      </c>
      <c r="M213" s="43">
        <f t="shared" si="4"/>
        <v>-0.1698546272</v>
      </c>
      <c r="N213" s="12" t="s">
        <v>6184</v>
      </c>
      <c r="O213" s="12" t="s">
        <v>6185</v>
      </c>
      <c r="P213" s="43">
        <f t="shared" si="5"/>
        <v>3.996244299</v>
      </c>
      <c r="Q213" s="43">
        <f t="shared" si="6"/>
        <v>3.184614299</v>
      </c>
      <c r="R213" s="12" t="s">
        <v>6186</v>
      </c>
      <c r="S213" s="12" t="s">
        <v>6187</v>
      </c>
      <c r="T213" s="43">
        <f t="shared" si="7"/>
        <v>40.83634068</v>
      </c>
      <c r="U213" s="43">
        <f t="shared" si="8"/>
        <v>0.4417875</v>
      </c>
      <c r="V213" s="12" t="s">
        <v>839</v>
      </c>
      <c r="W213" s="12" t="s">
        <v>6188</v>
      </c>
      <c r="X213" s="12" t="s">
        <v>841</v>
      </c>
      <c r="Y213" s="12" t="s">
        <v>841</v>
      </c>
      <c r="Z213" s="12" t="s">
        <v>841</v>
      </c>
      <c r="AA213" s="12" t="s">
        <v>6189</v>
      </c>
      <c r="AB213" s="12" t="s">
        <v>6190</v>
      </c>
      <c r="AC213" s="12" t="s">
        <v>6191</v>
      </c>
      <c r="AD213" s="12" t="s">
        <v>845</v>
      </c>
      <c r="AE213" s="12" t="s">
        <v>846</v>
      </c>
      <c r="AF213" s="43">
        <f t="shared" si="9"/>
        <v>18.2332672</v>
      </c>
      <c r="AG213" s="12" t="s">
        <v>847</v>
      </c>
      <c r="AH213" s="12" t="s">
        <v>5488</v>
      </c>
      <c r="AI213" s="12" t="s">
        <v>5974</v>
      </c>
      <c r="AJ213" s="12" t="s">
        <v>6192</v>
      </c>
      <c r="AK213" s="12" t="s">
        <v>3559</v>
      </c>
      <c r="AL213" s="43">
        <f t="shared" si="10"/>
        <v>28.89</v>
      </c>
      <c r="AM213" s="12" t="s">
        <v>6071</v>
      </c>
      <c r="AN213" s="12" t="s">
        <v>1072</v>
      </c>
      <c r="AO213" s="12" t="s">
        <v>6193</v>
      </c>
      <c r="AP213" s="12" t="s">
        <v>6194</v>
      </c>
      <c r="AQ213" s="12" t="s">
        <v>2970</v>
      </c>
      <c r="AR213" s="12" t="s">
        <v>6172</v>
      </c>
      <c r="AS213" s="12" t="s">
        <v>5812</v>
      </c>
      <c r="AT213" s="12" t="s">
        <v>366</v>
      </c>
      <c r="AU213" s="12" t="s">
        <v>5813</v>
      </c>
      <c r="AV213" s="12" t="s">
        <v>832</v>
      </c>
      <c r="AW213" s="12" t="s">
        <v>1543</v>
      </c>
      <c r="AX213" s="12" t="s">
        <v>919</v>
      </c>
      <c r="AY213" s="12" t="s">
        <v>868</v>
      </c>
      <c r="AZ213" s="12" t="s">
        <v>6195</v>
      </c>
      <c r="BA213" s="12" t="s">
        <v>6196</v>
      </c>
      <c r="BB213" s="12" t="s">
        <v>868</v>
      </c>
      <c r="BC213" s="12" t="s">
        <v>866</v>
      </c>
      <c r="BD213" s="12" t="s">
        <v>867</v>
      </c>
      <c r="BE213" s="12" t="s">
        <v>868</v>
      </c>
      <c r="BF213" s="12" t="s">
        <v>869</v>
      </c>
      <c r="BG213" s="12" t="s">
        <v>870</v>
      </c>
      <c r="BH213" s="12" t="s">
        <v>841</v>
      </c>
      <c r="BI213" s="12" t="s">
        <v>871</v>
      </c>
      <c r="BJ213" s="12" t="s">
        <v>841</v>
      </c>
      <c r="BK213" s="12" t="s">
        <v>841</v>
      </c>
      <c r="BL213" s="12" t="s">
        <v>872</v>
      </c>
      <c r="BM213" s="12" t="s">
        <v>873</v>
      </c>
      <c r="BN213" s="12" t="s">
        <v>866</v>
      </c>
      <c r="BO213" s="12" t="s">
        <v>874</v>
      </c>
      <c r="BP213" s="12" t="s">
        <v>875</v>
      </c>
      <c r="BQ213" s="12" t="s">
        <v>876</v>
      </c>
      <c r="BR213" s="12" t="s">
        <v>869</v>
      </c>
      <c r="BS213" s="12" t="s">
        <v>869</v>
      </c>
      <c r="BT213" s="12" t="s">
        <v>877</v>
      </c>
      <c r="BU213" s="12" t="s">
        <v>877</v>
      </c>
      <c r="BV213" s="12" t="s">
        <v>877</v>
      </c>
      <c r="BW213" s="12" t="s">
        <v>841</v>
      </c>
      <c r="BX213" s="12" t="s">
        <v>878</v>
      </c>
      <c r="BY213" s="12" t="s">
        <v>841</v>
      </c>
      <c r="BZ213" s="12" t="s">
        <v>841</v>
      </c>
      <c r="CA213" s="12" t="s">
        <v>841</v>
      </c>
      <c r="CB213" s="12" t="s">
        <v>841</v>
      </c>
      <c r="CC213" s="12" t="s">
        <v>6197</v>
      </c>
      <c r="CD213" s="12" t="s">
        <v>6198</v>
      </c>
      <c r="CE213" s="12" t="s">
        <v>6199</v>
      </c>
      <c r="CF213" s="12" t="s">
        <v>6200</v>
      </c>
      <c r="CG213" s="12" t="s">
        <v>6201</v>
      </c>
      <c r="CH213" s="12" t="s">
        <v>6202</v>
      </c>
      <c r="CI213" s="12" t="s">
        <v>6203</v>
      </c>
      <c r="CJ213" s="12" t="s">
        <v>6204</v>
      </c>
      <c r="CK213" s="12" t="s">
        <v>6189</v>
      </c>
      <c r="CL213" s="12" t="s">
        <v>1496</v>
      </c>
      <c r="CM213" s="12" t="s">
        <v>888</v>
      </c>
      <c r="CN213" s="12" t="s">
        <v>841</v>
      </c>
      <c r="CO213" s="12" t="s">
        <v>847</v>
      </c>
      <c r="CP213" s="12" t="s">
        <v>889</v>
      </c>
      <c r="CQ213" s="12" t="s">
        <v>890</v>
      </c>
      <c r="CR213" s="12" t="s">
        <v>847</v>
      </c>
      <c r="CS213" s="12" t="s">
        <v>891</v>
      </c>
      <c r="CT213" s="12" t="s">
        <v>892</v>
      </c>
      <c r="CU213" s="12" t="s">
        <v>893</v>
      </c>
      <c r="CV213" s="12" t="s">
        <v>841</v>
      </c>
      <c r="CW213" s="12" t="s">
        <v>6188</v>
      </c>
      <c r="CX213" s="12" t="s">
        <v>894</v>
      </c>
      <c r="CY213" s="12" t="s">
        <v>895</v>
      </c>
      <c r="CZ213" s="12" t="s">
        <v>896</v>
      </c>
      <c r="DA213" s="12" t="s">
        <v>897</v>
      </c>
      <c r="DB213" s="12" t="s">
        <v>898</v>
      </c>
      <c r="DC213" s="12" t="s">
        <v>899</v>
      </c>
    </row>
    <row r="214">
      <c r="A214" s="12" t="s">
        <v>2050</v>
      </c>
      <c r="B214" s="12" t="s">
        <v>603</v>
      </c>
      <c r="C214" s="12" t="s">
        <v>366</v>
      </c>
      <c r="D214" s="12" t="s">
        <v>833</v>
      </c>
      <c r="E214" s="12" t="s">
        <v>834</v>
      </c>
      <c r="F214" s="12"/>
      <c r="G214" s="12" t="s">
        <v>364</v>
      </c>
      <c r="H214" s="12" t="s">
        <v>600</v>
      </c>
      <c r="I214" s="12"/>
      <c r="J214" s="43">
        <f t="shared" si="1"/>
        <v>-0.001323200405</v>
      </c>
      <c r="K214" s="43">
        <f t="shared" si="2"/>
        <v>2.90981592</v>
      </c>
      <c r="L214" s="43">
        <f t="shared" si="3"/>
        <v>-0.001323802386</v>
      </c>
      <c r="M214" s="43">
        <f t="shared" si="4"/>
        <v>-0.04740014289</v>
      </c>
      <c r="N214" s="12" t="s">
        <v>6205</v>
      </c>
      <c r="O214" s="12" t="s">
        <v>6206</v>
      </c>
      <c r="P214" s="43">
        <f t="shared" si="5"/>
        <v>4.226309244</v>
      </c>
      <c r="Q214" s="43">
        <f t="shared" si="6"/>
        <v>3.413045244</v>
      </c>
      <c r="R214" s="12" t="s">
        <v>6207</v>
      </c>
      <c r="S214" s="12" t="s">
        <v>6208</v>
      </c>
      <c r="T214" s="43">
        <f t="shared" si="7"/>
        <v>43.19612882</v>
      </c>
      <c r="U214" s="43">
        <f t="shared" si="8"/>
        <v>0.4417875</v>
      </c>
      <c r="V214" s="12" t="s">
        <v>839</v>
      </c>
      <c r="W214" s="12" t="s">
        <v>6209</v>
      </c>
      <c r="X214" s="12" t="s">
        <v>841</v>
      </c>
      <c r="Y214" s="12" t="s">
        <v>841</v>
      </c>
      <c r="Z214" s="12" t="s">
        <v>841</v>
      </c>
      <c r="AA214" s="12" t="s">
        <v>6210</v>
      </c>
      <c r="AB214" s="12" t="s">
        <v>6211</v>
      </c>
      <c r="AC214" s="12" t="s">
        <v>6212</v>
      </c>
      <c r="AD214" s="12" t="s">
        <v>845</v>
      </c>
      <c r="AE214" s="12" t="s">
        <v>846</v>
      </c>
      <c r="AF214" s="43">
        <f t="shared" si="9"/>
        <v>19.1907144</v>
      </c>
      <c r="AG214" s="12" t="s">
        <v>847</v>
      </c>
      <c r="AH214" s="12" t="s">
        <v>6213</v>
      </c>
      <c r="AI214" s="12" t="s">
        <v>5974</v>
      </c>
      <c r="AJ214" s="12" t="s">
        <v>6214</v>
      </c>
      <c r="AK214" s="12" t="s">
        <v>6215</v>
      </c>
      <c r="AL214" s="43">
        <f t="shared" si="10"/>
        <v>29.86</v>
      </c>
      <c r="AM214" s="12" t="s">
        <v>6216</v>
      </c>
      <c r="AN214" s="12" t="s">
        <v>914</v>
      </c>
      <c r="AO214" s="12" t="s">
        <v>6217</v>
      </c>
      <c r="AP214" s="12" t="s">
        <v>6218</v>
      </c>
      <c r="AQ214" s="12" t="s">
        <v>2944</v>
      </c>
      <c r="AR214" s="12" t="s">
        <v>6219</v>
      </c>
      <c r="AS214" s="12" t="s">
        <v>5812</v>
      </c>
      <c r="AT214" s="12" t="s">
        <v>366</v>
      </c>
      <c r="AU214" s="12" t="s">
        <v>5813</v>
      </c>
      <c r="AV214" s="12" t="s">
        <v>832</v>
      </c>
      <c r="AW214" s="12" t="s">
        <v>1542</v>
      </c>
      <c r="AX214" s="12" t="s">
        <v>1342</v>
      </c>
      <c r="AY214" s="12" t="s">
        <v>1164</v>
      </c>
      <c r="AZ214" s="12" t="s">
        <v>6220</v>
      </c>
      <c r="BA214" s="12" t="s">
        <v>6221</v>
      </c>
      <c r="BB214" s="12" t="s">
        <v>6222</v>
      </c>
      <c r="BC214" s="12" t="s">
        <v>866</v>
      </c>
      <c r="BD214" s="12" t="s">
        <v>867</v>
      </c>
      <c r="BE214" s="12" t="s">
        <v>868</v>
      </c>
      <c r="BF214" s="12" t="s">
        <v>869</v>
      </c>
      <c r="BG214" s="12" t="s">
        <v>870</v>
      </c>
      <c r="BH214" s="12" t="s">
        <v>841</v>
      </c>
      <c r="BI214" s="12" t="s">
        <v>871</v>
      </c>
      <c r="BJ214" s="12" t="s">
        <v>841</v>
      </c>
      <c r="BK214" s="12" t="s">
        <v>841</v>
      </c>
      <c r="BL214" s="12" t="s">
        <v>872</v>
      </c>
      <c r="BM214" s="12" t="s">
        <v>873</v>
      </c>
      <c r="BN214" s="12" t="s">
        <v>866</v>
      </c>
      <c r="BO214" s="12" t="s">
        <v>874</v>
      </c>
      <c r="BP214" s="12" t="s">
        <v>875</v>
      </c>
      <c r="BQ214" s="12" t="s">
        <v>876</v>
      </c>
      <c r="BR214" s="12" t="s">
        <v>869</v>
      </c>
      <c r="BS214" s="12" t="s">
        <v>869</v>
      </c>
      <c r="BT214" s="12" t="s">
        <v>877</v>
      </c>
      <c r="BU214" s="12" t="s">
        <v>877</v>
      </c>
      <c r="BV214" s="12" t="s">
        <v>877</v>
      </c>
      <c r="BW214" s="12" t="s">
        <v>841</v>
      </c>
      <c r="BX214" s="12" t="s">
        <v>878</v>
      </c>
      <c r="BY214" s="12" t="s">
        <v>841</v>
      </c>
      <c r="BZ214" s="12" t="s">
        <v>841</v>
      </c>
      <c r="CA214" s="12" t="s">
        <v>841</v>
      </c>
      <c r="CB214" s="12" t="s">
        <v>841</v>
      </c>
      <c r="CC214" s="12" t="s">
        <v>6223</v>
      </c>
      <c r="CD214" s="12" t="s">
        <v>6224</v>
      </c>
      <c r="CE214" s="12" t="s">
        <v>6225</v>
      </c>
      <c r="CF214" s="12" t="s">
        <v>6226</v>
      </c>
      <c r="CG214" s="12" t="s">
        <v>6227</v>
      </c>
      <c r="CH214" s="12" t="s">
        <v>6228</v>
      </c>
      <c r="CI214" s="12" t="s">
        <v>6229</v>
      </c>
      <c r="CJ214" s="12" t="s">
        <v>6230</v>
      </c>
      <c r="CK214" s="12" t="s">
        <v>6210</v>
      </c>
      <c r="CL214" s="12" t="s">
        <v>1324</v>
      </c>
      <c r="CM214" s="12" t="s">
        <v>888</v>
      </c>
      <c r="CN214" s="12" t="s">
        <v>841</v>
      </c>
      <c r="CO214" s="12" t="s">
        <v>847</v>
      </c>
      <c r="CP214" s="12" t="s">
        <v>889</v>
      </c>
      <c r="CQ214" s="12" t="s">
        <v>890</v>
      </c>
      <c r="CR214" s="12" t="s">
        <v>847</v>
      </c>
      <c r="CS214" s="12" t="s">
        <v>891</v>
      </c>
      <c r="CT214" s="12" t="s">
        <v>892</v>
      </c>
      <c r="CU214" s="12" t="s">
        <v>893</v>
      </c>
      <c r="CV214" s="12" t="s">
        <v>841</v>
      </c>
      <c r="CW214" s="12" t="s">
        <v>6209</v>
      </c>
      <c r="CX214" s="12" t="s">
        <v>894</v>
      </c>
      <c r="CY214" s="12" t="s">
        <v>895</v>
      </c>
      <c r="CZ214" s="12" t="s">
        <v>896</v>
      </c>
      <c r="DA214" s="12" t="s">
        <v>897</v>
      </c>
      <c r="DB214" s="12" t="s">
        <v>898</v>
      </c>
      <c r="DC214" s="12" t="s">
        <v>899</v>
      </c>
    </row>
    <row r="215">
      <c r="A215" s="12" t="s">
        <v>917</v>
      </c>
      <c r="B215" s="12" t="s">
        <v>605</v>
      </c>
      <c r="C215" s="12" t="s">
        <v>366</v>
      </c>
      <c r="D215" s="12" t="s">
        <v>833</v>
      </c>
      <c r="E215" s="12" t="s">
        <v>834</v>
      </c>
      <c r="F215" s="12"/>
      <c r="G215" s="12" t="s">
        <v>364</v>
      </c>
      <c r="H215" s="12" t="s">
        <v>600</v>
      </c>
      <c r="I215" s="12"/>
      <c r="J215" s="43">
        <f t="shared" si="1"/>
        <v>0.005418025294</v>
      </c>
      <c r="K215" s="43">
        <f t="shared" si="2"/>
        <v>2.909022</v>
      </c>
      <c r="L215" s="43">
        <f t="shared" si="3"/>
        <v>0.005407953034</v>
      </c>
      <c r="M215" s="43">
        <f t="shared" si="4"/>
        <v>0.1963874121</v>
      </c>
      <c r="N215" s="12" t="s">
        <v>6231</v>
      </c>
      <c r="O215" s="12" t="s">
        <v>6232</v>
      </c>
      <c r="P215" s="43">
        <f t="shared" si="5"/>
        <v>4.292366652</v>
      </c>
      <c r="Q215" s="43">
        <f t="shared" si="6"/>
        <v>3.459925652</v>
      </c>
      <c r="R215" s="12" t="s">
        <v>6233</v>
      </c>
      <c r="S215" s="12" t="s">
        <v>6234</v>
      </c>
      <c r="T215" s="43">
        <f t="shared" si="7"/>
        <v>43.8712863</v>
      </c>
      <c r="U215" s="43">
        <f t="shared" si="8"/>
        <v>0.4417875</v>
      </c>
      <c r="V215" s="12" t="s">
        <v>839</v>
      </c>
      <c r="W215" s="12" t="s">
        <v>6235</v>
      </c>
      <c r="X215" s="12" t="s">
        <v>841</v>
      </c>
      <c r="Y215" s="12" t="s">
        <v>841</v>
      </c>
      <c r="Z215" s="12" t="s">
        <v>841</v>
      </c>
      <c r="AA215" s="12" t="s">
        <v>6236</v>
      </c>
      <c r="AB215" s="12" t="s">
        <v>6237</v>
      </c>
      <c r="AC215" s="12" t="s">
        <v>6238</v>
      </c>
      <c r="AD215" s="12" t="s">
        <v>845</v>
      </c>
      <c r="AE215" s="12" t="s">
        <v>846</v>
      </c>
      <c r="AF215" s="43">
        <f t="shared" si="9"/>
        <v>13.9619904</v>
      </c>
      <c r="AG215" s="12" t="s">
        <v>847</v>
      </c>
      <c r="AH215" s="12" t="s">
        <v>6239</v>
      </c>
      <c r="AI215" s="12" t="s">
        <v>6068</v>
      </c>
      <c r="AJ215" s="12" t="s">
        <v>6240</v>
      </c>
      <c r="AK215" s="12" t="s">
        <v>6241</v>
      </c>
      <c r="AL215" s="43">
        <f t="shared" si="10"/>
        <v>30.13</v>
      </c>
      <c r="AM215" s="12" t="s">
        <v>6216</v>
      </c>
      <c r="AN215" s="12" t="s">
        <v>1072</v>
      </c>
      <c r="AO215" s="12" t="s">
        <v>6242</v>
      </c>
      <c r="AP215" s="12" t="s">
        <v>6243</v>
      </c>
      <c r="AQ215" s="12" t="s">
        <v>1596</v>
      </c>
      <c r="AR215" s="12" t="s">
        <v>6172</v>
      </c>
      <c r="AS215" s="12" t="s">
        <v>5812</v>
      </c>
      <c r="AT215" s="12" t="s">
        <v>366</v>
      </c>
      <c r="AU215" s="12" t="s">
        <v>5813</v>
      </c>
      <c r="AV215" s="12" t="s">
        <v>832</v>
      </c>
      <c r="AW215" s="12" t="s">
        <v>1543</v>
      </c>
      <c r="AX215" s="12" t="s">
        <v>1342</v>
      </c>
      <c r="AY215" s="12" t="s">
        <v>1403</v>
      </c>
      <c r="AZ215" s="12" t="s">
        <v>6244</v>
      </c>
      <c r="BA215" s="12" t="s">
        <v>6245</v>
      </c>
      <c r="BB215" s="12" t="s">
        <v>6246</v>
      </c>
      <c r="BC215" s="12" t="s">
        <v>866</v>
      </c>
      <c r="BD215" s="12" t="s">
        <v>867</v>
      </c>
      <c r="BE215" s="12" t="s">
        <v>868</v>
      </c>
      <c r="BF215" s="12" t="s">
        <v>869</v>
      </c>
      <c r="BG215" s="12" t="s">
        <v>870</v>
      </c>
      <c r="BH215" s="12" t="s">
        <v>841</v>
      </c>
      <c r="BI215" s="12" t="s">
        <v>871</v>
      </c>
      <c r="BJ215" s="12" t="s">
        <v>841</v>
      </c>
      <c r="BK215" s="12" t="s">
        <v>841</v>
      </c>
      <c r="BL215" s="12" t="s">
        <v>872</v>
      </c>
      <c r="BM215" s="12" t="s">
        <v>873</v>
      </c>
      <c r="BN215" s="12" t="s">
        <v>866</v>
      </c>
      <c r="BO215" s="12" t="s">
        <v>874</v>
      </c>
      <c r="BP215" s="12" t="s">
        <v>875</v>
      </c>
      <c r="BQ215" s="12" t="s">
        <v>876</v>
      </c>
      <c r="BR215" s="12" t="s">
        <v>869</v>
      </c>
      <c r="BS215" s="12" t="s">
        <v>869</v>
      </c>
      <c r="BT215" s="12" t="s">
        <v>877</v>
      </c>
      <c r="BU215" s="12" t="s">
        <v>877</v>
      </c>
      <c r="BV215" s="12" t="s">
        <v>877</v>
      </c>
      <c r="BW215" s="12" t="s">
        <v>841</v>
      </c>
      <c r="BX215" s="12" t="s">
        <v>878</v>
      </c>
      <c r="BY215" s="12" t="s">
        <v>841</v>
      </c>
      <c r="BZ215" s="12" t="s">
        <v>841</v>
      </c>
      <c r="CA215" s="12" t="s">
        <v>841</v>
      </c>
      <c r="CB215" s="12" t="s">
        <v>841</v>
      </c>
      <c r="CC215" s="12" t="s">
        <v>6247</v>
      </c>
      <c r="CD215" s="12" t="s">
        <v>6248</v>
      </c>
      <c r="CE215" s="12" t="s">
        <v>6249</v>
      </c>
      <c r="CF215" s="12" t="s">
        <v>6250</v>
      </c>
      <c r="CG215" s="12" t="s">
        <v>6251</v>
      </c>
      <c r="CH215" s="12" t="s">
        <v>6252</v>
      </c>
      <c r="CI215" s="12" t="s">
        <v>6253</v>
      </c>
      <c r="CJ215" s="12" t="s">
        <v>6254</v>
      </c>
      <c r="CK215" s="12" t="s">
        <v>6236</v>
      </c>
      <c r="CL215" s="12" t="s">
        <v>1119</v>
      </c>
      <c r="CM215" s="12" t="s">
        <v>888</v>
      </c>
      <c r="CN215" s="12" t="s">
        <v>841</v>
      </c>
      <c r="CO215" s="12" t="s">
        <v>847</v>
      </c>
      <c r="CP215" s="12" t="s">
        <v>889</v>
      </c>
      <c r="CQ215" s="12" t="s">
        <v>890</v>
      </c>
      <c r="CR215" s="12" t="s">
        <v>847</v>
      </c>
      <c r="CS215" s="12" t="s">
        <v>891</v>
      </c>
      <c r="CT215" s="12" t="s">
        <v>892</v>
      </c>
      <c r="CU215" s="12" t="s">
        <v>893</v>
      </c>
      <c r="CV215" s="12" t="s">
        <v>841</v>
      </c>
      <c r="CW215" s="12" t="s">
        <v>6235</v>
      </c>
      <c r="CX215" s="12" t="s">
        <v>894</v>
      </c>
      <c r="CY215" s="12" t="s">
        <v>895</v>
      </c>
      <c r="CZ215" s="12" t="s">
        <v>896</v>
      </c>
      <c r="DA215" s="12" t="s">
        <v>897</v>
      </c>
      <c r="DB215" s="12" t="s">
        <v>898</v>
      </c>
      <c r="DC215" s="12" t="s">
        <v>899</v>
      </c>
    </row>
    <row r="216">
      <c r="A216" s="12" t="s">
        <v>2105</v>
      </c>
      <c r="B216" s="12" t="s">
        <v>607</v>
      </c>
      <c r="C216" s="12" t="s">
        <v>366</v>
      </c>
      <c r="D216" s="12" t="s">
        <v>833</v>
      </c>
      <c r="E216" s="12" t="s">
        <v>834</v>
      </c>
      <c r="F216" s="12"/>
      <c r="G216" s="12" t="s">
        <v>364</v>
      </c>
      <c r="H216" s="12" t="s">
        <v>606</v>
      </c>
      <c r="I216" s="12"/>
      <c r="J216" s="43">
        <f t="shared" si="1"/>
        <v>0.02442730919</v>
      </c>
      <c r="K216" s="43">
        <f t="shared" si="2"/>
        <v>2.91060848</v>
      </c>
      <c r="L216" s="43">
        <f t="shared" si="3"/>
        <v>0.02422400896</v>
      </c>
      <c r="M216" s="43">
        <f t="shared" si="4"/>
        <v>0.8417007908</v>
      </c>
      <c r="N216" s="12" t="s">
        <v>6255</v>
      </c>
      <c r="O216" s="12" t="s">
        <v>6256</v>
      </c>
      <c r="P216" s="43">
        <f t="shared" si="5"/>
        <v>4.185173643</v>
      </c>
      <c r="Q216" s="43">
        <f t="shared" si="6"/>
        <v>3.312084643</v>
      </c>
      <c r="R216" s="12" t="s">
        <v>6257</v>
      </c>
      <c r="S216" s="12" t="s">
        <v>6258</v>
      </c>
      <c r="T216" s="43">
        <f t="shared" si="7"/>
        <v>42.77131981</v>
      </c>
      <c r="U216" s="43">
        <f t="shared" si="8"/>
        <v>0.4417875</v>
      </c>
      <c r="V216" s="12" t="s">
        <v>839</v>
      </c>
      <c r="W216" s="12" t="s">
        <v>6259</v>
      </c>
      <c r="X216" s="12" t="s">
        <v>841</v>
      </c>
      <c r="Y216" s="12" t="s">
        <v>841</v>
      </c>
      <c r="Z216" s="12" t="s">
        <v>841</v>
      </c>
      <c r="AA216" s="12" t="s">
        <v>6260</v>
      </c>
      <c r="AB216" s="12" t="s">
        <v>6261</v>
      </c>
      <c r="AC216" s="12" t="s">
        <v>6262</v>
      </c>
      <c r="AD216" s="12" t="s">
        <v>845</v>
      </c>
      <c r="AE216" s="12" t="s">
        <v>846</v>
      </c>
      <c r="AF216" s="43">
        <f t="shared" si="9"/>
        <v>9.0181376</v>
      </c>
      <c r="AG216" s="12" t="s">
        <v>847</v>
      </c>
      <c r="AH216" s="12" t="s">
        <v>6263</v>
      </c>
      <c r="AI216" s="12" t="s">
        <v>4290</v>
      </c>
      <c r="AJ216" s="12" t="s">
        <v>5192</v>
      </c>
      <c r="AK216" s="12" t="s">
        <v>5998</v>
      </c>
      <c r="AL216" s="43">
        <f t="shared" si="10"/>
        <v>29.69</v>
      </c>
      <c r="AM216" s="12" t="s">
        <v>6144</v>
      </c>
      <c r="AN216" s="12" t="s">
        <v>1159</v>
      </c>
      <c r="AO216" s="12" t="s">
        <v>6264</v>
      </c>
      <c r="AP216" s="12" t="s">
        <v>6265</v>
      </c>
      <c r="AQ216" s="12" t="s">
        <v>2105</v>
      </c>
      <c r="AR216" s="12" t="s">
        <v>6219</v>
      </c>
      <c r="AS216" s="12" t="s">
        <v>6266</v>
      </c>
      <c r="AT216" s="12" t="s">
        <v>366</v>
      </c>
      <c r="AU216" s="12" t="s">
        <v>6267</v>
      </c>
      <c r="AV216" s="12" t="s">
        <v>832</v>
      </c>
      <c r="AW216" s="12" t="s">
        <v>1542</v>
      </c>
      <c r="AX216" s="12" t="s">
        <v>919</v>
      </c>
      <c r="AY216" s="12" t="s">
        <v>1018</v>
      </c>
      <c r="AZ216" s="12" t="s">
        <v>6268</v>
      </c>
      <c r="BA216" s="12" t="s">
        <v>6269</v>
      </c>
      <c r="BB216" s="12" t="s">
        <v>6270</v>
      </c>
      <c r="BC216" s="12" t="s">
        <v>866</v>
      </c>
      <c r="BD216" s="12" t="s">
        <v>867</v>
      </c>
      <c r="BE216" s="12" t="s">
        <v>868</v>
      </c>
      <c r="BF216" s="12" t="s">
        <v>869</v>
      </c>
      <c r="BG216" s="12" t="s">
        <v>870</v>
      </c>
      <c r="BH216" s="12" t="s">
        <v>841</v>
      </c>
      <c r="BI216" s="12" t="s">
        <v>871</v>
      </c>
      <c r="BJ216" s="12" t="s">
        <v>841</v>
      </c>
      <c r="BK216" s="12" t="s">
        <v>841</v>
      </c>
      <c r="BL216" s="12" t="s">
        <v>872</v>
      </c>
      <c r="BM216" s="12" t="s">
        <v>873</v>
      </c>
      <c r="BN216" s="12" t="s">
        <v>866</v>
      </c>
      <c r="BO216" s="12" t="s">
        <v>874</v>
      </c>
      <c r="BP216" s="12" t="s">
        <v>875</v>
      </c>
      <c r="BQ216" s="12" t="s">
        <v>876</v>
      </c>
      <c r="BR216" s="12" t="s">
        <v>869</v>
      </c>
      <c r="BS216" s="12" t="s">
        <v>869</v>
      </c>
      <c r="BT216" s="12" t="s">
        <v>877</v>
      </c>
      <c r="BU216" s="12" t="s">
        <v>877</v>
      </c>
      <c r="BV216" s="12" t="s">
        <v>877</v>
      </c>
      <c r="BW216" s="12" t="s">
        <v>841</v>
      </c>
      <c r="BX216" s="12" t="s">
        <v>878</v>
      </c>
      <c r="BY216" s="12" t="s">
        <v>841</v>
      </c>
      <c r="BZ216" s="12" t="s">
        <v>841</v>
      </c>
      <c r="CA216" s="12" t="s">
        <v>841</v>
      </c>
      <c r="CB216" s="12" t="s">
        <v>841</v>
      </c>
      <c r="CC216" s="12" t="s">
        <v>6271</v>
      </c>
      <c r="CD216" s="12" t="s">
        <v>6272</v>
      </c>
      <c r="CE216" s="12" t="s">
        <v>6273</v>
      </c>
      <c r="CF216" s="12" t="s">
        <v>6274</v>
      </c>
      <c r="CG216" s="12" t="s">
        <v>6275</v>
      </c>
      <c r="CH216" s="12" t="s">
        <v>6276</v>
      </c>
      <c r="CI216" s="12" t="s">
        <v>6277</v>
      </c>
      <c r="CJ216" s="12" t="s">
        <v>6278</v>
      </c>
      <c r="CK216" s="12" t="s">
        <v>6260</v>
      </c>
      <c r="CL216" s="12" t="s">
        <v>1324</v>
      </c>
      <c r="CM216" s="12" t="s">
        <v>888</v>
      </c>
      <c r="CN216" s="12" t="s">
        <v>841</v>
      </c>
      <c r="CO216" s="12" t="s">
        <v>847</v>
      </c>
      <c r="CP216" s="12" t="s">
        <v>889</v>
      </c>
      <c r="CQ216" s="12" t="s">
        <v>890</v>
      </c>
      <c r="CR216" s="12" t="s">
        <v>847</v>
      </c>
      <c r="CS216" s="12" t="s">
        <v>891</v>
      </c>
      <c r="CT216" s="12" t="s">
        <v>892</v>
      </c>
      <c r="CU216" s="12" t="s">
        <v>893</v>
      </c>
      <c r="CV216" s="12" t="s">
        <v>841</v>
      </c>
      <c r="CW216" s="12" t="s">
        <v>6259</v>
      </c>
      <c r="CX216" s="12" t="s">
        <v>894</v>
      </c>
      <c r="CY216" s="12" t="s">
        <v>895</v>
      </c>
      <c r="CZ216" s="12" t="s">
        <v>896</v>
      </c>
      <c r="DA216" s="12" t="s">
        <v>897</v>
      </c>
      <c r="DB216" s="12" t="s">
        <v>898</v>
      </c>
      <c r="DC216" s="12" t="s">
        <v>899</v>
      </c>
    </row>
    <row r="217">
      <c r="A217" s="12" t="s">
        <v>2129</v>
      </c>
      <c r="B217" s="12" t="s">
        <v>608</v>
      </c>
      <c r="C217" s="12" t="s">
        <v>366</v>
      </c>
      <c r="D217" s="12" t="s">
        <v>833</v>
      </c>
      <c r="E217" s="12" t="s">
        <v>834</v>
      </c>
      <c r="F217" s="12"/>
      <c r="G217" s="12" t="s">
        <v>364</v>
      </c>
      <c r="H217" s="12" t="s">
        <v>606</v>
      </c>
      <c r="I217" s="12"/>
      <c r="J217" s="43">
        <f t="shared" si="1"/>
        <v>0.0392289776</v>
      </c>
      <c r="K217" s="43">
        <f t="shared" si="2"/>
        <v>2.90981592</v>
      </c>
      <c r="L217" s="43">
        <f t="shared" si="3"/>
        <v>0.03870714334</v>
      </c>
      <c r="M217" s="43">
        <f t="shared" si="4"/>
        <v>1.372452388</v>
      </c>
      <c r="N217" s="12" t="s">
        <v>6279</v>
      </c>
      <c r="O217" s="12" t="s">
        <v>6280</v>
      </c>
      <c r="P217" s="43">
        <f t="shared" si="5"/>
        <v>4.240911589</v>
      </c>
      <c r="Q217" s="43">
        <f t="shared" si="6"/>
        <v>3.379043589</v>
      </c>
      <c r="R217" s="12" t="s">
        <v>6281</v>
      </c>
      <c r="S217" s="12" t="s">
        <v>6282</v>
      </c>
      <c r="T217" s="43">
        <f t="shared" si="7"/>
        <v>43.34094624</v>
      </c>
      <c r="U217" s="43">
        <f t="shared" si="8"/>
        <v>0.4417875</v>
      </c>
      <c r="V217" s="12" t="s">
        <v>839</v>
      </c>
      <c r="W217" s="12" t="s">
        <v>6283</v>
      </c>
      <c r="X217" s="12" t="s">
        <v>841</v>
      </c>
      <c r="Y217" s="12" t="s">
        <v>841</v>
      </c>
      <c r="Z217" s="12" t="s">
        <v>841</v>
      </c>
      <c r="AA217" s="12" t="s">
        <v>6284</v>
      </c>
      <c r="AB217" s="12" t="s">
        <v>6285</v>
      </c>
      <c r="AC217" s="12" t="s">
        <v>6286</v>
      </c>
      <c r="AD217" s="12" t="s">
        <v>845</v>
      </c>
      <c r="AE217" s="12" t="s">
        <v>846</v>
      </c>
      <c r="AF217" s="43">
        <f t="shared" si="9"/>
        <v>9.900748</v>
      </c>
      <c r="AG217" s="12" t="s">
        <v>847</v>
      </c>
      <c r="AH217" s="12" t="s">
        <v>6287</v>
      </c>
      <c r="AI217" s="12" t="s">
        <v>5304</v>
      </c>
      <c r="AJ217" s="12" t="s">
        <v>6288</v>
      </c>
      <c r="AK217" s="12" t="s">
        <v>6289</v>
      </c>
      <c r="AL217" s="43">
        <f t="shared" si="10"/>
        <v>29.92</v>
      </c>
      <c r="AM217" s="12" t="s">
        <v>6144</v>
      </c>
      <c r="AN217" s="12" t="s">
        <v>914</v>
      </c>
      <c r="AO217" s="12" t="s">
        <v>6290</v>
      </c>
      <c r="AP217" s="12" t="s">
        <v>6291</v>
      </c>
      <c r="AQ217" s="12" t="s">
        <v>1835</v>
      </c>
      <c r="AR217" s="12" t="s">
        <v>6219</v>
      </c>
      <c r="AS217" s="12" t="s">
        <v>6266</v>
      </c>
      <c r="AT217" s="12" t="s">
        <v>366</v>
      </c>
      <c r="AU217" s="12" t="s">
        <v>6267</v>
      </c>
      <c r="AV217" s="12" t="s">
        <v>832</v>
      </c>
      <c r="AW217" s="12" t="s">
        <v>1047</v>
      </c>
      <c r="AX217" s="12" t="s">
        <v>1164</v>
      </c>
      <c r="AY217" s="12" t="s">
        <v>6292</v>
      </c>
      <c r="AZ217" s="12" t="s">
        <v>6293</v>
      </c>
      <c r="BA217" s="12" t="s">
        <v>6294</v>
      </c>
      <c r="BB217" s="12" t="s">
        <v>6295</v>
      </c>
      <c r="BC217" s="12" t="s">
        <v>866</v>
      </c>
      <c r="BD217" s="12" t="s">
        <v>867</v>
      </c>
      <c r="BE217" s="12" t="s">
        <v>868</v>
      </c>
      <c r="BF217" s="12" t="s">
        <v>869</v>
      </c>
      <c r="BG217" s="12" t="s">
        <v>870</v>
      </c>
      <c r="BH217" s="12" t="s">
        <v>841</v>
      </c>
      <c r="BI217" s="12" t="s">
        <v>871</v>
      </c>
      <c r="BJ217" s="12" t="s">
        <v>841</v>
      </c>
      <c r="BK217" s="12" t="s">
        <v>841</v>
      </c>
      <c r="BL217" s="12" t="s">
        <v>872</v>
      </c>
      <c r="BM217" s="12" t="s">
        <v>873</v>
      </c>
      <c r="BN217" s="12" t="s">
        <v>866</v>
      </c>
      <c r="BO217" s="12" t="s">
        <v>874</v>
      </c>
      <c r="BP217" s="12" t="s">
        <v>875</v>
      </c>
      <c r="BQ217" s="12" t="s">
        <v>876</v>
      </c>
      <c r="BR217" s="12" t="s">
        <v>869</v>
      </c>
      <c r="BS217" s="12" t="s">
        <v>869</v>
      </c>
      <c r="BT217" s="12" t="s">
        <v>877</v>
      </c>
      <c r="BU217" s="12" t="s">
        <v>877</v>
      </c>
      <c r="BV217" s="12" t="s">
        <v>877</v>
      </c>
      <c r="BW217" s="12" t="s">
        <v>841</v>
      </c>
      <c r="BX217" s="12" t="s">
        <v>878</v>
      </c>
      <c r="BY217" s="12" t="s">
        <v>841</v>
      </c>
      <c r="BZ217" s="12" t="s">
        <v>841</v>
      </c>
      <c r="CA217" s="12" t="s">
        <v>841</v>
      </c>
      <c r="CB217" s="12" t="s">
        <v>841</v>
      </c>
      <c r="CC217" s="12" t="s">
        <v>6296</v>
      </c>
      <c r="CD217" s="12" t="s">
        <v>6297</v>
      </c>
      <c r="CE217" s="12" t="s">
        <v>6298</v>
      </c>
      <c r="CF217" s="12" t="s">
        <v>6299</v>
      </c>
      <c r="CG217" s="12" t="s">
        <v>6300</v>
      </c>
      <c r="CH217" s="12" t="s">
        <v>6301</v>
      </c>
      <c r="CI217" s="12" t="s">
        <v>6302</v>
      </c>
      <c r="CJ217" s="12" t="s">
        <v>6303</v>
      </c>
      <c r="CK217" s="12" t="s">
        <v>6284</v>
      </c>
      <c r="CL217" s="12" t="s">
        <v>1997</v>
      </c>
      <c r="CM217" s="12" t="s">
        <v>888</v>
      </c>
      <c r="CN217" s="12" t="s">
        <v>841</v>
      </c>
      <c r="CO217" s="12" t="s">
        <v>847</v>
      </c>
      <c r="CP217" s="12" t="s">
        <v>889</v>
      </c>
      <c r="CQ217" s="12" t="s">
        <v>890</v>
      </c>
      <c r="CR217" s="12" t="s">
        <v>847</v>
      </c>
      <c r="CS217" s="12" t="s">
        <v>891</v>
      </c>
      <c r="CT217" s="12" t="s">
        <v>892</v>
      </c>
      <c r="CU217" s="12" t="s">
        <v>893</v>
      </c>
      <c r="CV217" s="12" t="s">
        <v>841</v>
      </c>
      <c r="CW217" s="12" t="s">
        <v>6283</v>
      </c>
      <c r="CX217" s="12" t="s">
        <v>894</v>
      </c>
      <c r="CY217" s="12" t="s">
        <v>895</v>
      </c>
      <c r="CZ217" s="12" t="s">
        <v>896</v>
      </c>
      <c r="DA217" s="12" t="s">
        <v>897</v>
      </c>
      <c r="DB217" s="12" t="s">
        <v>898</v>
      </c>
      <c r="DC217" s="12" t="s">
        <v>899</v>
      </c>
    </row>
    <row r="218">
      <c r="A218" s="12" t="s">
        <v>2065</v>
      </c>
      <c r="B218" s="12" t="s">
        <v>610</v>
      </c>
      <c r="C218" s="12" t="s">
        <v>366</v>
      </c>
      <c r="D218" s="12" t="s">
        <v>833</v>
      </c>
      <c r="E218" s="12" t="s">
        <v>834</v>
      </c>
      <c r="F218" s="12"/>
      <c r="G218" s="12" t="s">
        <v>364</v>
      </c>
      <c r="H218" s="12" t="s">
        <v>606</v>
      </c>
      <c r="I218" s="12"/>
      <c r="J218" s="43">
        <f t="shared" si="1"/>
        <v>0.01509880236</v>
      </c>
      <c r="K218" s="43">
        <f t="shared" si="2"/>
        <v>2.909022</v>
      </c>
      <c r="L218" s="43">
        <f t="shared" si="3"/>
        <v>0.01502083916</v>
      </c>
      <c r="M218" s="43">
        <f t="shared" si="4"/>
        <v>0.5211308196</v>
      </c>
      <c r="N218" s="12" t="s">
        <v>6304</v>
      </c>
      <c r="O218" s="12" t="s">
        <v>6305</v>
      </c>
      <c r="P218" s="43">
        <f t="shared" si="5"/>
        <v>4.130075311</v>
      </c>
      <c r="Q218" s="43">
        <f t="shared" si="6"/>
        <v>3.308564311</v>
      </c>
      <c r="R218" s="12" t="s">
        <v>6306</v>
      </c>
      <c r="S218" s="12" t="s">
        <v>6307</v>
      </c>
      <c r="T218" s="43">
        <f t="shared" si="7"/>
        <v>42.21254406</v>
      </c>
      <c r="U218" s="43">
        <f t="shared" si="8"/>
        <v>0.4417875</v>
      </c>
      <c r="V218" s="12" t="s">
        <v>839</v>
      </c>
      <c r="W218" s="12" t="s">
        <v>6308</v>
      </c>
      <c r="X218" s="12" t="s">
        <v>841</v>
      </c>
      <c r="Y218" s="12" t="s">
        <v>841</v>
      </c>
      <c r="Z218" s="12" t="s">
        <v>841</v>
      </c>
      <c r="AA218" s="12" t="s">
        <v>6309</v>
      </c>
      <c r="AB218" s="12" t="s">
        <v>6310</v>
      </c>
      <c r="AC218" s="12" t="s">
        <v>6311</v>
      </c>
      <c r="AD218" s="12" t="s">
        <v>845</v>
      </c>
      <c r="AE218" s="12" t="s">
        <v>846</v>
      </c>
      <c r="AF218" s="43">
        <f t="shared" si="9"/>
        <v>7.1035968</v>
      </c>
      <c r="AG218" s="12" t="s">
        <v>847</v>
      </c>
      <c r="AH218" s="12" t="s">
        <v>5074</v>
      </c>
      <c r="AI218" s="12" t="s">
        <v>5489</v>
      </c>
      <c r="AJ218" s="12" t="s">
        <v>6312</v>
      </c>
      <c r="AK218" s="12" t="s">
        <v>3844</v>
      </c>
      <c r="AL218" s="43">
        <f t="shared" si="10"/>
        <v>29.46</v>
      </c>
      <c r="AM218" s="12" t="s">
        <v>6216</v>
      </c>
      <c r="AN218" s="12" t="s">
        <v>1072</v>
      </c>
      <c r="AO218" s="12" t="s">
        <v>6072</v>
      </c>
      <c r="AP218" s="12" t="s">
        <v>6073</v>
      </c>
      <c r="AQ218" s="12" t="s">
        <v>1894</v>
      </c>
      <c r="AR218" s="12" t="s">
        <v>6313</v>
      </c>
      <c r="AS218" s="12" t="s">
        <v>6266</v>
      </c>
      <c r="AT218" s="12" t="s">
        <v>366</v>
      </c>
      <c r="AU218" s="12" t="s">
        <v>6267</v>
      </c>
      <c r="AV218" s="12" t="s">
        <v>832</v>
      </c>
      <c r="AW218" s="12" t="s">
        <v>1342</v>
      </c>
      <c r="AX218" s="12" t="s">
        <v>1226</v>
      </c>
      <c r="AY218" s="12" t="s">
        <v>1195</v>
      </c>
      <c r="AZ218" s="12" t="s">
        <v>6314</v>
      </c>
      <c r="BA218" s="12" t="s">
        <v>6315</v>
      </c>
      <c r="BB218" s="12" t="s">
        <v>6316</v>
      </c>
      <c r="BC218" s="12" t="s">
        <v>866</v>
      </c>
      <c r="BD218" s="12" t="s">
        <v>867</v>
      </c>
      <c r="BE218" s="12" t="s">
        <v>868</v>
      </c>
      <c r="BF218" s="12" t="s">
        <v>869</v>
      </c>
      <c r="BG218" s="12" t="s">
        <v>870</v>
      </c>
      <c r="BH218" s="12" t="s">
        <v>841</v>
      </c>
      <c r="BI218" s="12" t="s">
        <v>871</v>
      </c>
      <c r="BJ218" s="12" t="s">
        <v>841</v>
      </c>
      <c r="BK218" s="12" t="s">
        <v>841</v>
      </c>
      <c r="BL218" s="12" t="s">
        <v>872</v>
      </c>
      <c r="BM218" s="12" t="s">
        <v>873</v>
      </c>
      <c r="BN218" s="12" t="s">
        <v>866</v>
      </c>
      <c r="BO218" s="12" t="s">
        <v>874</v>
      </c>
      <c r="BP218" s="12" t="s">
        <v>875</v>
      </c>
      <c r="BQ218" s="12" t="s">
        <v>876</v>
      </c>
      <c r="BR218" s="12" t="s">
        <v>869</v>
      </c>
      <c r="BS218" s="12" t="s">
        <v>869</v>
      </c>
      <c r="BT218" s="12" t="s">
        <v>877</v>
      </c>
      <c r="BU218" s="12" t="s">
        <v>877</v>
      </c>
      <c r="BV218" s="12" t="s">
        <v>877</v>
      </c>
      <c r="BW218" s="12" t="s">
        <v>841</v>
      </c>
      <c r="BX218" s="12" t="s">
        <v>878</v>
      </c>
      <c r="BY218" s="12" t="s">
        <v>841</v>
      </c>
      <c r="BZ218" s="12" t="s">
        <v>841</v>
      </c>
      <c r="CA218" s="12" t="s">
        <v>841</v>
      </c>
      <c r="CB218" s="12" t="s">
        <v>841</v>
      </c>
      <c r="CC218" s="12" t="s">
        <v>6317</v>
      </c>
      <c r="CD218" s="12" t="s">
        <v>6318</v>
      </c>
      <c r="CE218" s="12" t="s">
        <v>6319</v>
      </c>
      <c r="CF218" s="12" t="s">
        <v>6320</v>
      </c>
      <c r="CG218" s="12" t="s">
        <v>6321</v>
      </c>
      <c r="CH218" s="12" t="s">
        <v>6322</v>
      </c>
      <c r="CI218" s="12" t="s">
        <v>6323</v>
      </c>
      <c r="CJ218" s="12" t="s">
        <v>6324</v>
      </c>
      <c r="CK218" s="12" t="s">
        <v>6309</v>
      </c>
      <c r="CL218" s="12" t="s">
        <v>1299</v>
      </c>
      <c r="CM218" s="12" t="s">
        <v>888</v>
      </c>
      <c r="CN218" s="12" t="s">
        <v>841</v>
      </c>
      <c r="CO218" s="12" t="s">
        <v>847</v>
      </c>
      <c r="CP218" s="12" t="s">
        <v>889</v>
      </c>
      <c r="CQ218" s="12" t="s">
        <v>890</v>
      </c>
      <c r="CR218" s="12" t="s">
        <v>847</v>
      </c>
      <c r="CS218" s="12" t="s">
        <v>891</v>
      </c>
      <c r="CT218" s="12" t="s">
        <v>892</v>
      </c>
      <c r="CU218" s="12" t="s">
        <v>893</v>
      </c>
      <c r="CV218" s="12" t="s">
        <v>841</v>
      </c>
      <c r="CW218" s="12" t="s">
        <v>6308</v>
      </c>
      <c r="CX218" s="12" t="s">
        <v>894</v>
      </c>
      <c r="CY218" s="12" t="s">
        <v>895</v>
      </c>
      <c r="CZ218" s="12" t="s">
        <v>896</v>
      </c>
      <c r="DA218" s="12" t="s">
        <v>897</v>
      </c>
      <c r="DB218" s="12" t="s">
        <v>898</v>
      </c>
      <c r="DC218" s="12" t="s">
        <v>899</v>
      </c>
    </row>
    <row r="219">
      <c r="A219" s="12" t="s">
        <v>1860</v>
      </c>
      <c r="B219" s="12" t="s">
        <v>614</v>
      </c>
      <c r="C219" s="12" t="s">
        <v>366</v>
      </c>
      <c r="D219" s="12" t="s">
        <v>833</v>
      </c>
      <c r="E219" s="12" t="s">
        <v>834</v>
      </c>
      <c r="F219" s="12"/>
      <c r="G219" s="12" t="s">
        <v>364</v>
      </c>
      <c r="H219" s="12" t="s">
        <v>613</v>
      </c>
      <c r="I219" s="12"/>
      <c r="J219" s="43">
        <f t="shared" si="1"/>
        <v>0.002829136299</v>
      </c>
      <c r="K219" s="43">
        <f t="shared" si="2"/>
        <v>2.91139968</v>
      </c>
      <c r="L219" s="43">
        <f t="shared" si="3"/>
        <v>0.002826389771</v>
      </c>
      <c r="M219" s="43">
        <f t="shared" si="4"/>
        <v>0.09284265573</v>
      </c>
      <c r="N219" s="12" t="s">
        <v>6325</v>
      </c>
      <c r="O219" s="12" t="s">
        <v>6326</v>
      </c>
      <c r="P219" s="43">
        <f t="shared" si="5"/>
        <v>3.945610957</v>
      </c>
      <c r="Q219" s="43">
        <f t="shared" si="6"/>
        <v>3.135451957</v>
      </c>
      <c r="R219" s="12" t="s">
        <v>6327</v>
      </c>
      <c r="S219" s="12" t="s">
        <v>6328</v>
      </c>
      <c r="T219" s="43">
        <f t="shared" si="7"/>
        <v>40.33129875</v>
      </c>
      <c r="U219" s="43">
        <f t="shared" si="8"/>
        <v>0.4417875</v>
      </c>
      <c r="V219" s="12" t="s">
        <v>839</v>
      </c>
      <c r="W219" s="12" t="s">
        <v>6329</v>
      </c>
      <c r="X219" s="12" t="s">
        <v>841</v>
      </c>
      <c r="Y219" s="12" t="s">
        <v>841</v>
      </c>
      <c r="Z219" s="12" t="s">
        <v>841</v>
      </c>
      <c r="AA219" s="12" t="s">
        <v>6330</v>
      </c>
      <c r="AB219" s="12" t="s">
        <v>6331</v>
      </c>
      <c r="AC219" s="12" t="s">
        <v>6332</v>
      </c>
      <c r="AD219" s="12" t="s">
        <v>845</v>
      </c>
      <c r="AE219" s="12" t="s">
        <v>846</v>
      </c>
      <c r="AF219" s="43">
        <f t="shared" si="9"/>
        <v>16.9868344</v>
      </c>
      <c r="AG219" s="12" t="s">
        <v>847</v>
      </c>
      <c r="AH219" s="12" t="s">
        <v>5099</v>
      </c>
      <c r="AI219" s="12" t="s">
        <v>6333</v>
      </c>
      <c r="AJ219" s="12" t="s">
        <v>6334</v>
      </c>
      <c r="AK219" s="12" t="s">
        <v>6335</v>
      </c>
      <c r="AL219" s="43">
        <f t="shared" si="10"/>
        <v>28.67</v>
      </c>
      <c r="AM219" s="12" t="s">
        <v>6171</v>
      </c>
      <c r="AN219" s="12" t="s">
        <v>1337</v>
      </c>
      <c r="AO219" s="12" t="s">
        <v>6336</v>
      </c>
      <c r="AP219" s="12" t="s">
        <v>6337</v>
      </c>
      <c r="AQ219" s="12" t="s">
        <v>3068</v>
      </c>
      <c r="AR219" s="12" t="s">
        <v>6338</v>
      </c>
      <c r="AS219" s="12" t="s">
        <v>6266</v>
      </c>
      <c r="AT219" s="12" t="s">
        <v>366</v>
      </c>
      <c r="AU219" s="12" t="s">
        <v>6267</v>
      </c>
      <c r="AV219" s="12" t="s">
        <v>832</v>
      </c>
      <c r="AW219" s="12" t="s">
        <v>1342</v>
      </c>
      <c r="AX219" s="12" t="s">
        <v>1342</v>
      </c>
      <c r="AY219" s="12" t="s">
        <v>868</v>
      </c>
      <c r="AZ219" s="12" t="s">
        <v>6339</v>
      </c>
      <c r="BA219" s="12" t="s">
        <v>6340</v>
      </c>
      <c r="BB219" s="12" t="s">
        <v>868</v>
      </c>
      <c r="BC219" s="12" t="s">
        <v>866</v>
      </c>
      <c r="BD219" s="12" t="s">
        <v>867</v>
      </c>
      <c r="BE219" s="12" t="s">
        <v>868</v>
      </c>
      <c r="BF219" s="12" t="s">
        <v>869</v>
      </c>
      <c r="BG219" s="12" t="s">
        <v>870</v>
      </c>
      <c r="BH219" s="12" t="s">
        <v>841</v>
      </c>
      <c r="BI219" s="12" t="s">
        <v>871</v>
      </c>
      <c r="BJ219" s="12" t="s">
        <v>841</v>
      </c>
      <c r="BK219" s="12" t="s">
        <v>841</v>
      </c>
      <c r="BL219" s="12" t="s">
        <v>872</v>
      </c>
      <c r="BM219" s="12" t="s">
        <v>873</v>
      </c>
      <c r="BN219" s="12" t="s">
        <v>866</v>
      </c>
      <c r="BO219" s="12" t="s">
        <v>874</v>
      </c>
      <c r="BP219" s="12" t="s">
        <v>875</v>
      </c>
      <c r="BQ219" s="12" t="s">
        <v>876</v>
      </c>
      <c r="BR219" s="12" t="s">
        <v>869</v>
      </c>
      <c r="BS219" s="12" t="s">
        <v>869</v>
      </c>
      <c r="BT219" s="12" t="s">
        <v>877</v>
      </c>
      <c r="BU219" s="12" t="s">
        <v>877</v>
      </c>
      <c r="BV219" s="12" t="s">
        <v>877</v>
      </c>
      <c r="BW219" s="12" t="s">
        <v>841</v>
      </c>
      <c r="BX219" s="12" t="s">
        <v>878</v>
      </c>
      <c r="BY219" s="12" t="s">
        <v>841</v>
      </c>
      <c r="BZ219" s="12" t="s">
        <v>841</v>
      </c>
      <c r="CA219" s="12" t="s">
        <v>841</v>
      </c>
      <c r="CB219" s="12" t="s">
        <v>841</v>
      </c>
      <c r="CC219" s="12" t="s">
        <v>6341</v>
      </c>
      <c r="CD219" s="12" t="s">
        <v>6342</v>
      </c>
      <c r="CE219" s="12" t="s">
        <v>6343</v>
      </c>
      <c r="CF219" s="12" t="s">
        <v>6344</v>
      </c>
      <c r="CG219" s="12" t="s">
        <v>6345</v>
      </c>
      <c r="CH219" s="12" t="s">
        <v>6346</v>
      </c>
      <c r="CI219" s="12" t="s">
        <v>6347</v>
      </c>
      <c r="CJ219" s="12" t="s">
        <v>6348</v>
      </c>
      <c r="CK219" s="12" t="s">
        <v>6330</v>
      </c>
      <c r="CL219" s="12" t="s">
        <v>1496</v>
      </c>
      <c r="CM219" s="12" t="s">
        <v>888</v>
      </c>
      <c r="CN219" s="12" t="s">
        <v>841</v>
      </c>
      <c r="CO219" s="12" t="s">
        <v>847</v>
      </c>
      <c r="CP219" s="12" t="s">
        <v>889</v>
      </c>
      <c r="CQ219" s="12" t="s">
        <v>890</v>
      </c>
      <c r="CR219" s="12" t="s">
        <v>847</v>
      </c>
      <c r="CS219" s="12" t="s">
        <v>891</v>
      </c>
      <c r="CT219" s="12" t="s">
        <v>892</v>
      </c>
      <c r="CU219" s="12" t="s">
        <v>893</v>
      </c>
      <c r="CV219" s="12" t="s">
        <v>841</v>
      </c>
      <c r="CW219" s="12" t="s">
        <v>6329</v>
      </c>
      <c r="CX219" s="12" t="s">
        <v>894</v>
      </c>
      <c r="CY219" s="12" t="s">
        <v>895</v>
      </c>
      <c r="CZ219" s="12" t="s">
        <v>896</v>
      </c>
      <c r="DA219" s="12" t="s">
        <v>897</v>
      </c>
      <c r="DB219" s="12" t="s">
        <v>898</v>
      </c>
      <c r="DC219" s="12" t="s">
        <v>899</v>
      </c>
    </row>
    <row r="220">
      <c r="A220" s="12" t="s">
        <v>1810</v>
      </c>
      <c r="B220" s="12" t="s">
        <v>616</v>
      </c>
      <c r="C220" s="12" t="s">
        <v>366</v>
      </c>
      <c r="D220" s="12" t="s">
        <v>833</v>
      </c>
      <c r="E220" s="12" t="s">
        <v>834</v>
      </c>
      <c r="F220" s="12"/>
      <c r="G220" s="12" t="s">
        <v>364</v>
      </c>
      <c r="H220" s="12" t="s">
        <v>613</v>
      </c>
      <c r="I220" s="12"/>
      <c r="J220" s="43">
        <f t="shared" si="1"/>
        <v>0.0008907451741</v>
      </c>
      <c r="K220" s="43">
        <f t="shared" si="2"/>
        <v>2.91139968</v>
      </c>
      <c r="L220" s="43">
        <f t="shared" si="3"/>
        <v>0.0008904727333</v>
      </c>
      <c r="M220" s="43">
        <f t="shared" si="4"/>
        <v>0.02938042993</v>
      </c>
      <c r="N220" s="12" t="s">
        <v>6349</v>
      </c>
      <c r="O220" s="12" t="s">
        <v>6350</v>
      </c>
      <c r="P220" s="43">
        <f t="shared" si="5"/>
        <v>3.975462586</v>
      </c>
      <c r="Q220" s="43">
        <f t="shared" si="6"/>
        <v>3.148297586</v>
      </c>
      <c r="R220" s="12" t="s">
        <v>6351</v>
      </c>
      <c r="S220" s="12" t="s">
        <v>6352</v>
      </c>
      <c r="T220" s="43">
        <f t="shared" si="7"/>
        <v>40.64059074</v>
      </c>
      <c r="U220" s="43">
        <f t="shared" si="8"/>
        <v>0.4417875</v>
      </c>
      <c r="V220" s="12" t="s">
        <v>839</v>
      </c>
      <c r="W220" s="12" t="s">
        <v>6353</v>
      </c>
      <c r="X220" s="12" t="s">
        <v>841</v>
      </c>
      <c r="Y220" s="12" t="s">
        <v>841</v>
      </c>
      <c r="Z220" s="12" t="s">
        <v>841</v>
      </c>
      <c r="AA220" s="12" t="s">
        <v>6354</v>
      </c>
      <c r="AB220" s="12" t="s">
        <v>6355</v>
      </c>
      <c r="AC220" s="12" t="s">
        <v>6356</v>
      </c>
      <c r="AD220" s="12" t="s">
        <v>845</v>
      </c>
      <c r="AE220" s="12" t="s">
        <v>846</v>
      </c>
      <c r="AF220" s="43">
        <f t="shared" si="9"/>
        <v>25.3232056</v>
      </c>
      <c r="AG220" s="12" t="s">
        <v>847</v>
      </c>
      <c r="AH220" s="12" t="s">
        <v>6357</v>
      </c>
      <c r="AI220" s="12" t="s">
        <v>6358</v>
      </c>
      <c r="AJ220" s="12" t="s">
        <v>6359</v>
      </c>
      <c r="AK220" s="12" t="s">
        <v>6360</v>
      </c>
      <c r="AL220" s="43">
        <f t="shared" si="10"/>
        <v>28.8</v>
      </c>
      <c r="AM220" s="12" t="s">
        <v>6361</v>
      </c>
      <c r="AN220" s="12" t="s">
        <v>1337</v>
      </c>
      <c r="AO220" s="12" t="s">
        <v>6362</v>
      </c>
      <c r="AP220" s="12" t="s">
        <v>6363</v>
      </c>
      <c r="AQ220" s="12" t="s">
        <v>6364</v>
      </c>
      <c r="AR220" s="12" t="s">
        <v>6338</v>
      </c>
      <c r="AS220" s="12" t="s">
        <v>6266</v>
      </c>
      <c r="AT220" s="12" t="s">
        <v>366</v>
      </c>
      <c r="AU220" s="12" t="s">
        <v>6267</v>
      </c>
      <c r="AV220" s="12" t="s">
        <v>832</v>
      </c>
      <c r="AW220" s="12" t="s">
        <v>1542</v>
      </c>
      <c r="AX220" s="12" t="s">
        <v>1286</v>
      </c>
      <c r="AY220" s="12" t="s">
        <v>1543</v>
      </c>
      <c r="AZ220" s="12" t="s">
        <v>6365</v>
      </c>
      <c r="BA220" s="12" t="s">
        <v>6366</v>
      </c>
      <c r="BB220" s="12" t="s">
        <v>6367</v>
      </c>
      <c r="BC220" s="12" t="s">
        <v>866</v>
      </c>
      <c r="BD220" s="12" t="s">
        <v>867</v>
      </c>
      <c r="BE220" s="12" t="s">
        <v>868</v>
      </c>
      <c r="BF220" s="12" t="s">
        <v>869</v>
      </c>
      <c r="BG220" s="12" t="s">
        <v>870</v>
      </c>
      <c r="BH220" s="12" t="s">
        <v>841</v>
      </c>
      <c r="BI220" s="12" t="s">
        <v>871</v>
      </c>
      <c r="BJ220" s="12" t="s">
        <v>841</v>
      </c>
      <c r="BK220" s="12" t="s">
        <v>841</v>
      </c>
      <c r="BL220" s="12" t="s">
        <v>872</v>
      </c>
      <c r="BM220" s="12" t="s">
        <v>873</v>
      </c>
      <c r="BN220" s="12" t="s">
        <v>866</v>
      </c>
      <c r="BO220" s="12" t="s">
        <v>874</v>
      </c>
      <c r="BP220" s="12" t="s">
        <v>875</v>
      </c>
      <c r="BQ220" s="12" t="s">
        <v>876</v>
      </c>
      <c r="BR220" s="12" t="s">
        <v>869</v>
      </c>
      <c r="BS220" s="12" t="s">
        <v>869</v>
      </c>
      <c r="BT220" s="12" t="s">
        <v>877</v>
      </c>
      <c r="BU220" s="12" t="s">
        <v>877</v>
      </c>
      <c r="BV220" s="12" t="s">
        <v>877</v>
      </c>
      <c r="BW220" s="12" t="s">
        <v>841</v>
      </c>
      <c r="BX220" s="12" t="s">
        <v>878</v>
      </c>
      <c r="BY220" s="12" t="s">
        <v>841</v>
      </c>
      <c r="BZ220" s="12" t="s">
        <v>841</v>
      </c>
      <c r="CA220" s="12" t="s">
        <v>841</v>
      </c>
      <c r="CB220" s="12" t="s">
        <v>841</v>
      </c>
      <c r="CC220" s="12" t="s">
        <v>6368</v>
      </c>
      <c r="CD220" s="12" t="s">
        <v>6369</v>
      </c>
      <c r="CE220" s="12" t="s">
        <v>6370</v>
      </c>
      <c r="CF220" s="12" t="s">
        <v>6371</v>
      </c>
      <c r="CG220" s="12" t="s">
        <v>6372</v>
      </c>
      <c r="CH220" s="12" t="s">
        <v>6373</v>
      </c>
      <c r="CI220" s="12" t="s">
        <v>6374</v>
      </c>
      <c r="CJ220" s="12" t="s">
        <v>6375</v>
      </c>
      <c r="CK220" s="12" t="s">
        <v>6376</v>
      </c>
      <c r="CL220" s="12" t="s">
        <v>1324</v>
      </c>
      <c r="CM220" s="12" t="s">
        <v>888</v>
      </c>
      <c r="CN220" s="12" t="s">
        <v>841</v>
      </c>
      <c r="CO220" s="12" t="s">
        <v>847</v>
      </c>
      <c r="CP220" s="12" t="s">
        <v>889</v>
      </c>
      <c r="CQ220" s="12" t="s">
        <v>890</v>
      </c>
      <c r="CR220" s="12" t="s">
        <v>847</v>
      </c>
      <c r="CS220" s="12" t="s">
        <v>891</v>
      </c>
      <c r="CT220" s="12" t="s">
        <v>892</v>
      </c>
      <c r="CU220" s="12" t="s">
        <v>893</v>
      </c>
      <c r="CV220" s="12" t="s">
        <v>841</v>
      </c>
      <c r="CW220" s="12" t="s">
        <v>6353</v>
      </c>
      <c r="CX220" s="12" t="s">
        <v>894</v>
      </c>
      <c r="CY220" s="12" t="s">
        <v>895</v>
      </c>
      <c r="CZ220" s="12" t="s">
        <v>896</v>
      </c>
      <c r="DA220" s="12" t="s">
        <v>897</v>
      </c>
      <c r="DB220" s="12" t="s">
        <v>898</v>
      </c>
      <c r="DC220" s="12" t="s">
        <v>899</v>
      </c>
    </row>
    <row r="221">
      <c r="A221" s="12" t="s">
        <v>2232</v>
      </c>
      <c r="B221" s="12" t="s">
        <v>617</v>
      </c>
      <c r="C221" s="12" t="s">
        <v>366</v>
      </c>
      <c r="D221" s="12" t="s">
        <v>833</v>
      </c>
      <c r="E221" s="12" t="s">
        <v>834</v>
      </c>
      <c r="F221" s="12"/>
      <c r="G221" s="12" t="s">
        <v>364</v>
      </c>
      <c r="H221" s="12" t="s">
        <v>613</v>
      </c>
      <c r="I221" s="12"/>
      <c r="J221" s="43">
        <f t="shared" si="1"/>
        <v>0.02417366687</v>
      </c>
      <c r="K221" s="43">
        <f t="shared" si="2"/>
        <v>2.90822672</v>
      </c>
      <c r="L221" s="43">
        <f t="shared" si="3"/>
        <v>0.02397438775</v>
      </c>
      <c r="M221" s="43">
        <f t="shared" si="4"/>
        <v>0.8279110897</v>
      </c>
      <c r="N221" s="12" t="s">
        <v>6377</v>
      </c>
      <c r="O221" s="12" t="s">
        <v>6378</v>
      </c>
      <c r="P221" s="43">
        <f t="shared" si="5"/>
        <v>4.144387472</v>
      </c>
      <c r="Q221" s="43">
        <f t="shared" si="6"/>
        <v>3.292104472</v>
      </c>
      <c r="R221" s="12" t="s">
        <v>6379</v>
      </c>
      <c r="S221" s="12" t="s">
        <v>6380</v>
      </c>
      <c r="T221" s="43">
        <f t="shared" si="7"/>
        <v>42.36315519</v>
      </c>
      <c r="U221" s="43">
        <f t="shared" si="8"/>
        <v>0.4417875</v>
      </c>
      <c r="V221" s="12" t="s">
        <v>839</v>
      </c>
      <c r="W221" s="12" t="s">
        <v>6381</v>
      </c>
      <c r="X221" s="12" t="s">
        <v>841</v>
      </c>
      <c r="Y221" s="12" t="s">
        <v>841</v>
      </c>
      <c r="Z221" s="12" t="s">
        <v>841</v>
      </c>
      <c r="AA221" s="12" t="s">
        <v>6382</v>
      </c>
      <c r="AB221" s="12" t="s">
        <v>6383</v>
      </c>
      <c r="AC221" s="12" t="s">
        <v>6384</v>
      </c>
      <c r="AD221" s="12" t="s">
        <v>845</v>
      </c>
      <c r="AE221" s="12" t="s">
        <v>846</v>
      </c>
      <c r="AF221" s="43">
        <f t="shared" si="9"/>
        <v>18.249576</v>
      </c>
      <c r="AG221" s="12" t="s">
        <v>847</v>
      </c>
      <c r="AH221" s="12" t="s">
        <v>5689</v>
      </c>
      <c r="AI221" s="12" t="s">
        <v>6385</v>
      </c>
      <c r="AJ221" s="12" t="s">
        <v>6359</v>
      </c>
      <c r="AK221" s="12" t="s">
        <v>5976</v>
      </c>
      <c r="AL221" s="43">
        <f t="shared" si="10"/>
        <v>29.52</v>
      </c>
      <c r="AM221" s="12" t="s">
        <v>6171</v>
      </c>
      <c r="AN221" s="12" t="s">
        <v>853</v>
      </c>
      <c r="AO221" s="12" t="s">
        <v>6386</v>
      </c>
      <c r="AP221" s="12" t="s">
        <v>1983</v>
      </c>
      <c r="AQ221" s="12" t="s">
        <v>3068</v>
      </c>
      <c r="AR221" s="12" t="s">
        <v>6387</v>
      </c>
      <c r="AS221" s="12" t="s">
        <v>6266</v>
      </c>
      <c r="AT221" s="12" t="s">
        <v>366</v>
      </c>
      <c r="AU221" s="12" t="s">
        <v>6267</v>
      </c>
      <c r="AV221" s="12" t="s">
        <v>832</v>
      </c>
      <c r="AW221" s="12" t="s">
        <v>1342</v>
      </c>
      <c r="AX221" s="12" t="s">
        <v>1542</v>
      </c>
      <c r="AY221" s="12" t="s">
        <v>1287</v>
      </c>
      <c r="AZ221" s="12" t="s">
        <v>6388</v>
      </c>
      <c r="BA221" s="12" t="s">
        <v>6389</v>
      </c>
      <c r="BB221" s="12" t="s">
        <v>6390</v>
      </c>
      <c r="BC221" s="12" t="s">
        <v>866</v>
      </c>
      <c r="BD221" s="12" t="s">
        <v>867</v>
      </c>
      <c r="BE221" s="12" t="s">
        <v>868</v>
      </c>
      <c r="BF221" s="12" t="s">
        <v>869</v>
      </c>
      <c r="BG221" s="12" t="s">
        <v>870</v>
      </c>
      <c r="BH221" s="12" t="s">
        <v>841</v>
      </c>
      <c r="BI221" s="12" t="s">
        <v>871</v>
      </c>
      <c r="BJ221" s="12" t="s">
        <v>841</v>
      </c>
      <c r="BK221" s="12" t="s">
        <v>841</v>
      </c>
      <c r="BL221" s="12" t="s">
        <v>872</v>
      </c>
      <c r="BM221" s="12" t="s">
        <v>873</v>
      </c>
      <c r="BN221" s="12" t="s">
        <v>866</v>
      </c>
      <c r="BO221" s="12" t="s">
        <v>874</v>
      </c>
      <c r="BP221" s="12" t="s">
        <v>875</v>
      </c>
      <c r="BQ221" s="12" t="s">
        <v>876</v>
      </c>
      <c r="BR221" s="12" t="s">
        <v>869</v>
      </c>
      <c r="BS221" s="12" t="s">
        <v>869</v>
      </c>
      <c r="BT221" s="12" t="s">
        <v>877</v>
      </c>
      <c r="BU221" s="12" t="s">
        <v>877</v>
      </c>
      <c r="BV221" s="12" t="s">
        <v>877</v>
      </c>
      <c r="BW221" s="12" t="s">
        <v>841</v>
      </c>
      <c r="BX221" s="12" t="s">
        <v>878</v>
      </c>
      <c r="BY221" s="12" t="s">
        <v>841</v>
      </c>
      <c r="BZ221" s="12" t="s">
        <v>841</v>
      </c>
      <c r="CA221" s="12" t="s">
        <v>841</v>
      </c>
      <c r="CB221" s="12" t="s">
        <v>841</v>
      </c>
      <c r="CC221" s="12" t="s">
        <v>6391</v>
      </c>
      <c r="CD221" s="12" t="s">
        <v>6392</v>
      </c>
      <c r="CE221" s="12" t="s">
        <v>4095</v>
      </c>
      <c r="CF221" s="12" t="s">
        <v>6393</v>
      </c>
      <c r="CG221" s="12" t="s">
        <v>6394</v>
      </c>
      <c r="CH221" s="12" t="s">
        <v>6395</v>
      </c>
      <c r="CI221" s="12" t="s">
        <v>6396</v>
      </c>
      <c r="CJ221" s="12" t="s">
        <v>6397</v>
      </c>
      <c r="CK221" s="12" t="s">
        <v>6382</v>
      </c>
      <c r="CL221" s="12" t="s">
        <v>1496</v>
      </c>
      <c r="CM221" s="12" t="s">
        <v>888</v>
      </c>
      <c r="CN221" s="12" t="s">
        <v>841</v>
      </c>
      <c r="CO221" s="12" t="s">
        <v>847</v>
      </c>
      <c r="CP221" s="12" t="s">
        <v>889</v>
      </c>
      <c r="CQ221" s="12" t="s">
        <v>890</v>
      </c>
      <c r="CR221" s="12" t="s">
        <v>847</v>
      </c>
      <c r="CS221" s="12" t="s">
        <v>891</v>
      </c>
      <c r="CT221" s="12" t="s">
        <v>892</v>
      </c>
      <c r="CU221" s="12" t="s">
        <v>893</v>
      </c>
      <c r="CV221" s="12" t="s">
        <v>841</v>
      </c>
      <c r="CW221" s="12" t="s">
        <v>6381</v>
      </c>
      <c r="CX221" s="12" t="s">
        <v>894</v>
      </c>
      <c r="CY221" s="12" t="s">
        <v>895</v>
      </c>
      <c r="CZ221" s="12" t="s">
        <v>896</v>
      </c>
      <c r="DA221" s="12" t="s">
        <v>897</v>
      </c>
      <c r="DB221" s="12" t="s">
        <v>898</v>
      </c>
      <c r="DC221" s="12" t="s">
        <v>899</v>
      </c>
    </row>
    <row r="222">
      <c r="A222" s="12" t="s">
        <v>1835</v>
      </c>
      <c r="B222" s="12" t="s">
        <v>618</v>
      </c>
      <c r="C222" s="12" t="s">
        <v>366</v>
      </c>
      <c r="D222" s="12" t="s">
        <v>833</v>
      </c>
      <c r="E222" s="12" t="s">
        <v>834</v>
      </c>
      <c r="F222" s="12"/>
      <c r="G222" s="12" t="s">
        <v>364</v>
      </c>
      <c r="H222" s="12" t="s">
        <v>613</v>
      </c>
      <c r="I222" s="12"/>
      <c r="J222" s="43">
        <f t="shared" si="1"/>
        <v>0.004563566163</v>
      </c>
      <c r="K222" s="43">
        <f t="shared" si="2"/>
        <v>2.90822672</v>
      </c>
      <c r="L222" s="43">
        <f t="shared" si="3"/>
        <v>0.004556416271</v>
      </c>
      <c r="M222" s="43">
        <f t="shared" si="4"/>
        <v>0.1634515724</v>
      </c>
      <c r="N222" s="12" t="s">
        <v>6398</v>
      </c>
      <c r="O222" s="12" t="s">
        <v>6399</v>
      </c>
      <c r="P222" s="43">
        <f t="shared" si="5"/>
        <v>4.272700933</v>
      </c>
      <c r="Q222" s="43">
        <f t="shared" si="6"/>
        <v>3.417418933</v>
      </c>
      <c r="R222" s="12" t="s">
        <v>6400</v>
      </c>
      <c r="S222" s="12" t="s">
        <v>6401</v>
      </c>
      <c r="T222" s="43">
        <f t="shared" si="7"/>
        <v>43.67475144</v>
      </c>
      <c r="U222" s="43">
        <f t="shared" si="8"/>
        <v>0.4417875</v>
      </c>
      <c r="V222" s="12" t="s">
        <v>839</v>
      </c>
      <c r="W222" s="12" t="s">
        <v>6402</v>
      </c>
      <c r="X222" s="12" t="s">
        <v>841</v>
      </c>
      <c r="Y222" s="12" t="s">
        <v>841</v>
      </c>
      <c r="Z222" s="12" t="s">
        <v>841</v>
      </c>
      <c r="AA222" s="12" t="s">
        <v>6403</v>
      </c>
      <c r="AB222" s="12" t="s">
        <v>6404</v>
      </c>
      <c r="AC222" s="12" t="s">
        <v>6405</v>
      </c>
      <c r="AD222" s="12" t="s">
        <v>845</v>
      </c>
      <c r="AE222" s="12" t="s">
        <v>846</v>
      </c>
      <c r="AF222" s="43">
        <f t="shared" si="9"/>
        <v>20.404384</v>
      </c>
      <c r="AG222" s="12" t="s">
        <v>847</v>
      </c>
      <c r="AH222" s="12" t="s">
        <v>5762</v>
      </c>
      <c r="AI222" s="12" t="s">
        <v>5712</v>
      </c>
      <c r="AJ222" s="12" t="s">
        <v>6406</v>
      </c>
      <c r="AK222" s="12" t="s">
        <v>6407</v>
      </c>
      <c r="AL222" s="43">
        <f t="shared" si="10"/>
        <v>30.05</v>
      </c>
      <c r="AM222" s="12" t="s">
        <v>6171</v>
      </c>
      <c r="AN222" s="12" t="s">
        <v>853</v>
      </c>
      <c r="AO222" s="12" t="s">
        <v>6408</v>
      </c>
      <c r="AP222" s="12" t="s">
        <v>6409</v>
      </c>
      <c r="AQ222" s="12" t="s">
        <v>6410</v>
      </c>
      <c r="AR222" s="12" t="s">
        <v>6411</v>
      </c>
      <c r="AS222" s="12" t="s">
        <v>6266</v>
      </c>
      <c r="AT222" s="12" t="s">
        <v>366</v>
      </c>
      <c r="AU222" s="12" t="s">
        <v>6267</v>
      </c>
      <c r="AV222" s="12" t="s">
        <v>832</v>
      </c>
      <c r="AW222" s="12" t="s">
        <v>1286</v>
      </c>
      <c r="AX222" s="12" t="s">
        <v>1164</v>
      </c>
      <c r="AY222" s="12" t="s">
        <v>919</v>
      </c>
      <c r="AZ222" s="12" t="s">
        <v>6412</v>
      </c>
      <c r="BA222" s="12" t="s">
        <v>6413</v>
      </c>
      <c r="BB222" s="12" t="s">
        <v>6414</v>
      </c>
      <c r="BC222" s="12" t="s">
        <v>866</v>
      </c>
      <c r="BD222" s="12" t="s">
        <v>867</v>
      </c>
      <c r="BE222" s="12" t="s">
        <v>868</v>
      </c>
      <c r="BF222" s="12" t="s">
        <v>869</v>
      </c>
      <c r="BG222" s="12" t="s">
        <v>870</v>
      </c>
      <c r="BH222" s="12" t="s">
        <v>841</v>
      </c>
      <c r="BI222" s="12" t="s">
        <v>871</v>
      </c>
      <c r="BJ222" s="12" t="s">
        <v>841</v>
      </c>
      <c r="BK222" s="12" t="s">
        <v>841</v>
      </c>
      <c r="BL222" s="12" t="s">
        <v>872</v>
      </c>
      <c r="BM222" s="12" t="s">
        <v>873</v>
      </c>
      <c r="BN222" s="12" t="s">
        <v>866</v>
      </c>
      <c r="BO222" s="12" t="s">
        <v>874</v>
      </c>
      <c r="BP222" s="12" t="s">
        <v>875</v>
      </c>
      <c r="BQ222" s="12" t="s">
        <v>876</v>
      </c>
      <c r="BR222" s="12" t="s">
        <v>869</v>
      </c>
      <c r="BS222" s="12" t="s">
        <v>869</v>
      </c>
      <c r="BT222" s="12" t="s">
        <v>877</v>
      </c>
      <c r="BU222" s="12" t="s">
        <v>877</v>
      </c>
      <c r="BV222" s="12" t="s">
        <v>877</v>
      </c>
      <c r="BW222" s="12" t="s">
        <v>841</v>
      </c>
      <c r="BX222" s="12" t="s">
        <v>878</v>
      </c>
      <c r="BY222" s="12" t="s">
        <v>841</v>
      </c>
      <c r="BZ222" s="12" t="s">
        <v>841</v>
      </c>
      <c r="CA222" s="12" t="s">
        <v>841</v>
      </c>
      <c r="CB222" s="12" t="s">
        <v>841</v>
      </c>
      <c r="CC222" s="12" t="s">
        <v>6415</v>
      </c>
      <c r="CD222" s="12" t="s">
        <v>6416</v>
      </c>
      <c r="CE222" s="12" t="s">
        <v>6417</v>
      </c>
      <c r="CF222" s="12" t="s">
        <v>6418</v>
      </c>
      <c r="CG222" s="12" t="s">
        <v>6419</v>
      </c>
      <c r="CH222" s="12" t="s">
        <v>6420</v>
      </c>
      <c r="CI222" s="12" t="s">
        <v>6421</v>
      </c>
      <c r="CJ222" s="12" t="s">
        <v>6422</v>
      </c>
      <c r="CK222" s="12" t="s">
        <v>6403</v>
      </c>
      <c r="CL222" s="12" t="s">
        <v>1997</v>
      </c>
      <c r="CM222" s="12" t="s">
        <v>888</v>
      </c>
      <c r="CN222" s="12" t="s">
        <v>841</v>
      </c>
      <c r="CO222" s="12" t="s">
        <v>847</v>
      </c>
      <c r="CP222" s="12" t="s">
        <v>889</v>
      </c>
      <c r="CQ222" s="12" t="s">
        <v>890</v>
      </c>
      <c r="CR222" s="12" t="s">
        <v>847</v>
      </c>
      <c r="CS222" s="12" t="s">
        <v>891</v>
      </c>
      <c r="CT222" s="12" t="s">
        <v>892</v>
      </c>
      <c r="CU222" s="12" t="s">
        <v>893</v>
      </c>
      <c r="CV222" s="12" t="s">
        <v>841</v>
      </c>
      <c r="CW222" s="12" t="s">
        <v>6402</v>
      </c>
      <c r="CX222" s="12" t="s">
        <v>894</v>
      </c>
      <c r="CY222" s="12" t="s">
        <v>895</v>
      </c>
      <c r="CZ222" s="12" t="s">
        <v>896</v>
      </c>
      <c r="DA222" s="12" t="s">
        <v>897</v>
      </c>
      <c r="DB222" s="12" t="s">
        <v>898</v>
      </c>
      <c r="DC222" s="12" t="s">
        <v>899</v>
      </c>
    </row>
    <row r="223">
      <c r="A223" s="12" t="s">
        <v>2285</v>
      </c>
      <c r="B223" s="12" t="s">
        <v>620</v>
      </c>
      <c r="C223" s="12" t="s">
        <v>366</v>
      </c>
      <c r="D223" s="12" t="s">
        <v>833</v>
      </c>
      <c r="E223" s="12" t="s">
        <v>834</v>
      </c>
      <c r="F223" s="12"/>
      <c r="G223" s="12" t="s">
        <v>364</v>
      </c>
      <c r="H223" s="12" t="s">
        <v>613</v>
      </c>
      <c r="I223" s="12"/>
      <c r="J223" s="43">
        <f t="shared" si="1"/>
        <v>0.03625046713</v>
      </c>
      <c r="K223" s="43">
        <f t="shared" si="2"/>
        <v>2.91060848</v>
      </c>
      <c r="L223" s="43">
        <f t="shared" si="3"/>
        <v>0.03580453592</v>
      </c>
      <c r="M223" s="43">
        <f t="shared" si="4"/>
        <v>1.346174021</v>
      </c>
      <c r="N223" s="12" t="s">
        <v>6423</v>
      </c>
      <c r="O223" s="12" t="s">
        <v>6424</v>
      </c>
      <c r="P223" s="43">
        <f t="shared" si="5"/>
        <v>4.4806028</v>
      </c>
      <c r="Q223" s="43">
        <f t="shared" si="6"/>
        <v>3.5770068</v>
      </c>
      <c r="R223" s="12" t="s">
        <v>6425</v>
      </c>
      <c r="S223" s="12" t="s">
        <v>6426</v>
      </c>
      <c r="T223" s="43">
        <f t="shared" si="7"/>
        <v>45.79988551</v>
      </c>
      <c r="U223" s="43">
        <f t="shared" si="8"/>
        <v>0.4417875</v>
      </c>
      <c r="V223" s="12" t="s">
        <v>839</v>
      </c>
      <c r="W223" s="12" t="s">
        <v>6427</v>
      </c>
      <c r="X223" s="12" t="s">
        <v>841</v>
      </c>
      <c r="Y223" s="12" t="s">
        <v>841</v>
      </c>
      <c r="Z223" s="12" t="s">
        <v>841</v>
      </c>
      <c r="AA223" s="12" t="s">
        <v>6428</v>
      </c>
      <c r="AB223" s="12" t="s">
        <v>6429</v>
      </c>
      <c r="AC223" s="12" t="s">
        <v>6430</v>
      </c>
      <c r="AD223" s="12" t="s">
        <v>845</v>
      </c>
      <c r="AE223" s="12" t="s">
        <v>846</v>
      </c>
      <c r="AF223" s="43">
        <f t="shared" si="9"/>
        <v>26.6418432</v>
      </c>
      <c r="AG223" s="12" t="s">
        <v>847</v>
      </c>
      <c r="AH223" s="12" t="s">
        <v>6431</v>
      </c>
      <c r="AI223" s="12" t="s">
        <v>6432</v>
      </c>
      <c r="AJ223" s="12" t="s">
        <v>6433</v>
      </c>
      <c r="AK223" s="12" t="s">
        <v>3033</v>
      </c>
      <c r="AL223" s="43">
        <f t="shared" si="10"/>
        <v>30.88</v>
      </c>
      <c r="AM223" s="12" t="s">
        <v>6171</v>
      </c>
      <c r="AN223" s="12" t="s">
        <v>1159</v>
      </c>
      <c r="AO223" s="12" t="s">
        <v>5237</v>
      </c>
      <c r="AP223" s="12" t="s">
        <v>5763</v>
      </c>
      <c r="AQ223" s="12" t="s">
        <v>2603</v>
      </c>
      <c r="AR223" s="12" t="s">
        <v>6434</v>
      </c>
      <c r="AS223" s="12" t="s">
        <v>6266</v>
      </c>
      <c r="AT223" s="12" t="s">
        <v>366</v>
      </c>
      <c r="AU223" s="12" t="s">
        <v>6267</v>
      </c>
      <c r="AV223" s="12" t="s">
        <v>832</v>
      </c>
      <c r="AW223" s="12" t="s">
        <v>919</v>
      </c>
      <c r="AX223" s="12" t="s">
        <v>1047</v>
      </c>
      <c r="AY223" s="12" t="s">
        <v>1372</v>
      </c>
      <c r="AZ223" s="12" t="s">
        <v>6435</v>
      </c>
      <c r="BA223" s="12" t="s">
        <v>6436</v>
      </c>
      <c r="BB223" s="12" t="s">
        <v>6437</v>
      </c>
      <c r="BC223" s="12" t="s">
        <v>866</v>
      </c>
      <c r="BD223" s="12" t="s">
        <v>867</v>
      </c>
      <c r="BE223" s="12" t="s">
        <v>868</v>
      </c>
      <c r="BF223" s="12" t="s">
        <v>869</v>
      </c>
      <c r="BG223" s="12" t="s">
        <v>870</v>
      </c>
      <c r="BH223" s="12" t="s">
        <v>841</v>
      </c>
      <c r="BI223" s="12" t="s">
        <v>871</v>
      </c>
      <c r="BJ223" s="12" t="s">
        <v>841</v>
      </c>
      <c r="BK223" s="12" t="s">
        <v>841</v>
      </c>
      <c r="BL223" s="12" t="s">
        <v>872</v>
      </c>
      <c r="BM223" s="12" t="s">
        <v>873</v>
      </c>
      <c r="BN223" s="12" t="s">
        <v>866</v>
      </c>
      <c r="BO223" s="12" t="s">
        <v>874</v>
      </c>
      <c r="BP223" s="12" t="s">
        <v>875</v>
      </c>
      <c r="BQ223" s="12" t="s">
        <v>876</v>
      </c>
      <c r="BR223" s="12" t="s">
        <v>869</v>
      </c>
      <c r="BS223" s="12" t="s">
        <v>869</v>
      </c>
      <c r="BT223" s="12" t="s">
        <v>877</v>
      </c>
      <c r="BU223" s="12" t="s">
        <v>877</v>
      </c>
      <c r="BV223" s="12" t="s">
        <v>877</v>
      </c>
      <c r="BW223" s="12" t="s">
        <v>841</v>
      </c>
      <c r="BX223" s="12" t="s">
        <v>878</v>
      </c>
      <c r="BY223" s="12" t="s">
        <v>841</v>
      </c>
      <c r="BZ223" s="12" t="s">
        <v>841</v>
      </c>
      <c r="CA223" s="12" t="s">
        <v>841</v>
      </c>
      <c r="CB223" s="12" t="s">
        <v>841</v>
      </c>
      <c r="CC223" s="12" t="s">
        <v>6438</v>
      </c>
      <c r="CD223" s="12" t="s">
        <v>6439</v>
      </c>
      <c r="CE223" s="12" t="s">
        <v>6440</v>
      </c>
      <c r="CF223" s="12" t="s">
        <v>6441</v>
      </c>
      <c r="CG223" s="12" t="s">
        <v>6442</v>
      </c>
      <c r="CH223" s="12" t="s">
        <v>6443</v>
      </c>
      <c r="CI223" s="12" t="s">
        <v>6444</v>
      </c>
      <c r="CJ223" s="12" t="s">
        <v>6445</v>
      </c>
      <c r="CK223" s="12" t="s">
        <v>6428</v>
      </c>
      <c r="CL223" s="12" t="s">
        <v>3211</v>
      </c>
      <c r="CM223" s="12" t="s">
        <v>888</v>
      </c>
      <c r="CN223" s="12" t="s">
        <v>841</v>
      </c>
      <c r="CO223" s="12" t="s">
        <v>847</v>
      </c>
      <c r="CP223" s="12" t="s">
        <v>889</v>
      </c>
      <c r="CQ223" s="12" t="s">
        <v>890</v>
      </c>
      <c r="CR223" s="12" t="s">
        <v>847</v>
      </c>
      <c r="CS223" s="12" t="s">
        <v>891</v>
      </c>
      <c r="CT223" s="12" t="s">
        <v>892</v>
      </c>
      <c r="CU223" s="12" t="s">
        <v>893</v>
      </c>
      <c r="CV223" s="12" t="s">
        <v>841</v>
      </c>
      <c r="CW223" s="12" t="s">
        <v>6427</v>
      </c>
      <c r="CX223" s="12" t="s">
        <v>894</v>
      </c>
      <c r="CY223" s="12" t="s">
        <v>895</v>
      </c>
      <c r="CZ223" s="12" t="s">
        <v>896</v>
      </c>
      <c r="DA223" s="12" t="s">
        <v>897</v>
      </c>
      <c r="DB223" s="12" t="s">
        <v>898</v>
      </c>
      <c r="DC223" s="12" t="s">
        <v>899</v>
      </c>
    </row>
    <row r="224">
      <c r="A224" s="12" t="s">
        <v>2274</v>
      </c>
      <c r="B224" s="12" t="s">
        <v>621</v>
      </c>
      <c r="C224" s="12" t="s">
        <v>366</v>
      </c>
      <c r="D224" s="12" t="s">
        <v>833</v>
      </c>
      <c r="E224" s="12" t="s">
        <v>834</v>
      </c>
      <c r="F224" s="12"/>
      <c r="G224" s="12" t="s">
        <v>364</v>
      </c>
      <c r="H224" s="12" t="s">
        <v>613</v>
      </c>
      <c r="I224" s="12"/>
      <c r="J224" s="43">
        <f t="shared" si="1"/>
        <v>0.02321845414</v>
      </c>
      <c r="K224" s="43">
        <f t="shared" si="2"/>
        <v>2.90743008</v>
      </c>
      <c r="L224" s="43">
        <f t="shared" si="3"/>
        <v>0.02303450284</v>
      </c>
      <c r="M224" s="43">
        <f t="shared" si="4"/>
        <v>0.8265414049</v>
      </c>
      <c r="N224" s="12" t="s">
        <v>6446</v>
      </c>
      <c r="O224" s="12" t="s">
        <v>6447</v>
      </c>
      <c r="P224" s="43">
        <f t="shared" si="5"/>
        <v>4.297295388</v>
      </c>
      <c r="Q224" s="43">
        <f t="shared" si="6"/>
        <v>3.417923388</v>
      </c>
      <c r="R224" s="12" t="s">
        <v>6448</v>
      </c>
      <c r="S224" s="12" t="s">
        <v>6449</v>
      </c>
      <c r="T224" s="43">
        <f t="shared" si="7"/>
        <v>43.92166178</v>
      </c>
      <c r="U224" s="43">
        <f t="shared" si="8"/>
        <v>0.4417875</v>
      </c>
      <c r="V224" s="12" t="s">
        <v>839</v>
      </c>
      <c r="W224" s="12" t="s">
        <v>6450</v>
      </c>
      <c r="X224" s="12" t="s">
        <v>841</v>
      </c>
      <c r="Y224" s="12" t="s">
        <v>841</v>
      </c>
      <c r="Z224" s="12" t="s">
        <v>841</v>
      </c>
      <c r="AA224" s="12" t="s">
        <v>6451</v>
      </c>
      <c r="AB224" s="12" t="s">
        <v>6452</v>
      </c>
      <c r="AC224" s="12" t="s">
        <v>6453</v>
      </c>
      <c r="AD224" s="12" t="s">
        <v>845</v>
      </c>
      <c r="AE224" s="12" t="s">
        <v>846</v>
      </c>
      <c r="AF224" s="43">
        <f t="shared" si="9"/>
        <v>11.4397584</v>
      </c>
      <c r="AG224" s="12" t="s">
        <v>847</v>
      </c>
      <c r="AH224" s="12" t="s">
        <v>6454</v>
      </c>
      <c r="AI224" s="12" t="s">
        <v>6455</v>
      </c>
      <c r="AJ224" s="12" t="s">
        <v>6433</v>
      </c>
      <c r="AK224" s="12" t="s">
        <v>6456</v>
      </c>
      <c r="AL224" s="43">
        <f t="shared" si="10"/>
        <v>30.15</v>
      </c>
      <c r="AM224" s="12" t="s">
        <v>6216</v>
      </c>
      <c r="AN224" s="12" t="s">
        <v>1009</v>
      </c>
      <c r="AO224" s="12" t="s">
        <v>6457</v>
      </c>
      <c r="AP224" s="12" t="s">
        <v>6458</v>
      </c>
      <c r="AQ224" s="12" t="s">
        <v>2247</v>
      </c>
      <c r="AR224" s="12" t="s">
        <v>6459</v>
      </c>
      <c r="AS224" s="12" t="s">
        <v>6266</v>
      </c>
      <c r="AT224" s="12" t="s">
        <v>366</v>
      </c>
      <c r="AU224" s="12" t="s">
        <v>6267</v>
      </c>
      <c r="AV224" s="12" t="s">
        <v>832</v>
      </c>
      <c r="AW224" s="12" t="s">
        <v>860</v>
      </c>
      <c r="AX224" s="12" t="s">
        <v>868</v>
      </c>
      <c r="AY224" s="12" t="s">
        <v>868</v>
      </c>
      <c r="AZ224" s="12" t="s">
        <v>6460</v>
      </c>
      <c r="BA224" s="12" t="s">
        <v>868</v>
      </c>
      <c r="BB224" s="12" t="s">
        <v>868</v>
      </c>
      <c r="BC224" s="12" t="s">
        <v>866</v>
      </c>
      <c r="BD224" s="12" t="s">
        <v>867</v>
      </c>
      <c r="BE224" s="12" t="s">
        <v>868</v>
      </c>
      <c r="BF224" s="12" t="s">
        <v>869</v>
      </c>
      <c r="BG224" s="12" t="s">
        <v>870</v>
      </c>
      <c r="BH224" s="12" t="s">
        <v>841</v>
      </c>
      <c r="BI224" s="12" t="s">
        <v>871</v>
      </c>
      <c r="BJ224" s="12" t="s">
        <v>841</v>
      </c>
      <c r="BK224" s="12" t="s">
        <v>841</v>
      </c>
      <c r="BL224" s="12" t="s">
        <v>872</v>
      </c>
      <c r="BM224" s="12" t="s">
        <v>873</v>
      </c>
      <c r="BN224" s="12" t="s">
        <v>866</v>
      </c>
      <c r="BO224" s="12" t="s">
        <v>874</v>
      </c>
      <c r="BP224" s="12" t="s">
        <v>875</v>
      </c>
      <c r="BQ224" s="12" t="s">
        <v>876</v>
      </c>
      <c r="BR224" s="12" t="s">
        <v>869</v>
      </c>
      <c r="BS224" s="12" t="s">
        <v>869</v>
      </c>
      <c r="BT224" s="12" t="s">
        <v>877</v>
      </c>
      <c r="BU224" s="12" t="s">
        <v>877</v>
      </c>
      <c r="BV224" s="12" t="s">
        <v>877</v>
      </c>
      <c r="BW224" s="12" t="s">
        <v>841</v>
      </c>
      <c r="BX224" s="12" t="s">
        <v>878</v>
      </c>
      <c r="BY224" s="12" t="s">
        <v>841</v>
      </c>
      <c r="BZ224" s="12" t="s">
        <v>841</v>
      </c>
      <c r="CA224" s="12" t="s">
        <v>841</v>
      </c>
      <c r="CB224" s="12" t="s">
        <v>841</v>
      </c>
      <c r="CC224" s="12" t="s">
        <v>6461</v>
      </c>
      <c r="CD224" s="12" t="s">
        <v>6462</v>
      </c>
      <c r="CE224" s="12" t="s">
        <v>6463</v>
      </c>
      <c r="CF224" s="12" t="s">
        <v>6464</v>
      </c>
      <c r="CG224" s="12" t="s">
        <v>6465</v>
      </c>
      <c r="CH224" s="12" t="s">
        <v>6466</v>
      </c>
      <c r="CI224" s="12" t="s">
        <v>6467</v>
      </c>
      <c r="CJ224" s="12" t="s">
        <v>6468</v>
      </c>
      <c r="CK224" s="12" t="s">
        <v>6451</v>
      </c>
      <c r="CL224" s="12" t="s">
        <v>1093</v>
      </c>
      <c r="CM224" s="12" t="s">
        <v>888</v>
      </c>
      <c r="CN224" s="12" t="s">
        <v>841</v>
      </c>
      <c r="CO224" s="12" t="s">
        <v>847</v>
      </c>
      <c r="CP224" s="12" t="s">
        <v>889</v>
      </c>
      <c r="CQ224" s="12" t="s">
        <v>890</v>
      </c>
      <c r="CR224" s="12" t="s">
        <v>847</v>
      </c>
      <c r="CS224" s="12" t="s">
        <v>891</v>
      </c>
      <c r="CT224" s="12" t="s">
        <v>892</v>
      </c>
      <c r="CU224" s="12" t="s">
        <v>893</v>
      </c>
      <c r="CV224" s="12" t="s">
        <v>841</v>
      </c>
      <c r="CW224" s="12" t="s">
        <v>6450</v>
      </c>
      <c r="CX224" s="12" t="s">
        <v>894</v>
      </c>
      <c r="CY224" s="12" t="s">
        <v>895</v>
      </c>
      <c r="CZ224" s="12" t="s">
        <v>896</v>
      </c>
      <c r="DA224" s="12" t="s">
        <v>897</v>
      </c>
      <c r="DB224" s="12" t="s">
        <v>898</v>
      </c>
      <c r="DC224" s="12" t="s">
        <v>899</v>
      </c>
    </row>
    <row r="225">
      <c r="A225" s="12" t="s">
        <v>832</v>
      </c>
      <c r="B225" s="12" t="s">
        <v>622</v>
      </c>
      <c r="C225" s="12" t="s">
        <v>366</v>
      </c>
      <c r="D225" s="12" t="s">
        <v>833</v>
      </c>
      <c r="E225" s="12" t="s">
        <v>834</v>
      </c>
      <c r="F225" s="12"/>
      <c r="G225" s="12" t="s">
        <v>364</v>
      </c>
      <c r="H225" s="12" t="s">
        <v>570</v>
      </c>
      <c r="I225" s="12"/>
      <c r="J225" s="43">
        <f t="shared" si="1"/>
        <v>0.007352955627</v>
      </c>
      <c r="K225" s="43">
        <f t="shared" si="2"/>
        <v>2.909022</v>
      </c>
      <c r="L225" s="43">
        <f t="shared" si="3"/>
        <v>0.007334416873</v>
      </c>
      <c r="M225" s="43">
        <f t="shared" si="4"/>
        <v>0.2720923568</v>
      </c>
      <c r="N225" s="12" t="s">
        <v>6469</v>
      </c>
      <c r="O225" s="12" t="s">
        <v>6470</v>
      </c>
      <c r="P225" s="43">
        <f t="shared" si="5"/>
        <v>4.351837858</v>
      </c>
      <c r="Q225" s="43">
        <f t="shared" si="6"/>
        <v>3.533422858</v>
      </c>
      <c r="R225" s="12" t="s">
        <v>6471</v>
      </c>
      <c r="S225" s="12" t="s">
        <v>6472</v>
      </c>
      <c r="T225" s="43">
        <f t="shared" si="7"/>
        <v>44.48367431</v>
      </c>
      <c r="U225" s="43">
        <f t="shared" si="8"/>
        <v>0.4417875</v>
      </c>
      <c r="V225" s="12" t="s">
        <v>839</v>
      </c>
      <c r="W225" s="12" t="s">
        <v>6473</v>
      </c>
      <c r="X225" s="12" t="s">
        <v>841</v>
      </c>
      <c r="Y225" s="12" t="s">
        <v>841</v>
      </c>
      <c r="Z225" s="12" t="s">
        <v>841</v>
      </c>
      <c r="AA225" s="12" t="s">
        <v>6474</v>
      </c>
      <c r="AB225" s="12" t="s">
        <v>6475</v>
      </c>
      <c r="AC225" s="12" t="s">
        <v>6476</v>
      </c>
      <c r="AD225" s="12" t="s">
        <v>845</v>
      </c>
      <c r="AE225" s="12" t="s">
        <v>846</v>
      </c>
      <c r="AF225" s="43">
        <f t="shared" si="9"/>
        <v>10.9726904</v>
      </c>
      <c r="AG225" s="12" t="s">
        <v>847</v>
      </c>
      <c r="AH225" s="12" t="s">
        <v>6477</v>
      </c>
      <c r="AI225" s="12" t="s">
        <v>6478</v>
      </c>
      <c r="AJ225" s="12" t="s">
        <v>6479</v>
      </c>
      <c r="AK225" s="12" t="s">
        <v>6480</v>
      </c>
      <c r="AL225" s="43">
        <f t="shared" si="10"/>
        <v>30.37</v>
      </c>
      <c r="AM225" s="12" t="s">
        <v>6171</v>
      </c>
      <c r="AN225" s="12" t="s">
        <v>1072</v>
      </c>
      <c r="AO225" s="12" t="s">
        <v>6481</v>
      </c>
      <c r="AP225" s="12" t="s">
        <v>6482</v>
      </c>
      <c r="AQ225" s="12" t="s">
        <v>2232</v>
      </c>
      <c r="AR225" s="12" t="s">
        <v>6483</v>
      </c>
      <c r="AS225" s="12" t="s">
        <v>6484</v>
      </c>
      <c r="AT225" s="12" t="s">
        <v>366</v>
      </c>
      <c r="AU225" s="12" t="s">
        <v>6485</v>
      </c>
      <c r="AV225" s="12" t="s">
        <v>832</v>
      </c>
      <c r="AW225" s="12" t="s">
        <v>1286</v>
      </c>
      <c r="AX225" s="12" t="s">
        <v>1543</v>
      </c>
      <c r="AY225" s="12" t="s">
        <v>1342</v>
      </c>
      <c r="AZ225" s="12" t="s">
        <v>6486</v>
      </c>
      <c r="BA225" s="12" t="s">
        <v>6487</v>
      </c>
      <c r="BB225" s="12" t="s">
        <v>6488</v>
      </c>
      <c r="BC225" s="12" t="s">
        <v>866</v>
      </c>
      <c r="BD225" s="12" t="s">
        <v>867</v>
      </c>
      <c r="BE225" s="12" t="s">
        <v>868</v>
      </c>
      <c r="BF225" s="12" t="s">
        <v>869</v>
      </c>
      <c r="BG225" s="12" t="s">
        <v>870</v>
      </c>
      <c r="BH225" s="12" t="s">
        <v>841</v>
      </c>
      <c r="BI225" s="12" t="s">
        <v>871</v>
      </c>
      <c r="BJ225" s="12" t="s">
        <v>841</v>
      </c>
      <c r="BK225" s="12" t="s">
        <v>841</v>
      </c>
      <c r="BL225" s="12" t="s">
        <v>872</v>
      </c>
      <c r="BM225" s="12" t="s">
        <v>873</v>
      </c>
      <c r="BN225" s="12" t="s">
        <v>866</v>
      </c>
      <c r="BO225" s="12" t="s">
        <v>874</v>
      </c>
      <c r="BP225" s="12" t="s">
        <v>875</v>
      </c>
      <c r="BQ225" s="12" t="s">
        <v>876</v>
      </c>
      <c r="BR225" s="12" t="s">
        <v>869</v>
      </c>
      <c r="BS225" s="12" t="s">
        <v>869</v>
      </c>
      <c r="BT225" s="12" t="s">
        <v>877</v>
      </c>
      <c r="BU225" s="12" t="s">
        <v>877</v>
      </c>
      <c r="BV225" s="12" t="s">
        <v>877</v>
      </c>
      <c r="BW225" s="12" t="s">
        <v>841</v>
      </c>
      <c r="BX225" s="12" t="s">
        <v>878</v>
      </c>
      <c r="BY225" s="12" t="s">
        <v>841</v>
      </c>
      <c r="BZ225" s="12" t="s">
        <v>841</v>
      </c>
      <c r="CA225" s="12" t="s">
        <v>841</v>
      </c>
      <c r="CB225" s="12" t="s">
        <v>841</v>
      </c>
      <c r="CC225" s="12" t="s">
        <v>6489</v>
      </c>
      <c r="CD225" s="12" t="s">
        <v>6490</v>
      </c>
      <c r="CE225" s="12" t="s">
        <v>6491</v>
      </c>
      <c r="CF225" s="12" t="s">
        <v>6492</v>
      </c>
      <c r="CG225" s="12" t="s">
        <v>6493</v>
      </c>
      <c r="CH225" s="12" t="s">
        <v>6494</v>
      </c>
      <c r="CI225" s="12" t="s">
        <v>6495</v>
      </c>
      <c r="CJ225" s="12" t="s">
        <v>6496</v>
      </c>
      <c r="CK225" s="12" t="s">
        <v>6474</v>
      </c>
      <c r="CL225" s="12" t="s">
        <v>1299</v>
      </c>
      <c r="CM225" s="12" t="s">
        <v>888</v>
      </c>
      <c r="CN225" s="12" t="s">
        <v>841</v>
      </c>
      <c r="CO225" s="12" t="s">
        <v>847</v>
      </c>
      <c r="CP225" s="12" t="s">
        <v>889</v>
      </c>
      <c r="CQ225" s="12" t="s">
        <v>890</v>
      </c>
      <c r="CR225" s="12" t="s">
        <v>847</v>
      </c>
      <c r="CS225" s="12" t="s">
        <v>891</v>
      </c>
      <c r="CT225" s="12" t="s">
        <v>892</v>
      </c>
      <c r="CU225" s="12" t="s">
        <v>893</v>
      </c>
      <c r="CV225" s="12" t="s">
        <v>841</v>
      </c>
      <c r="CW225" s="12" t="s">
        <v>6473</v>
      </c>
      <c r="CX225" s="12" t="s">
        <v>894</v>
      </c>
      <c r="CY225" s="12" t="s">
        <v>895</v>
      </c>
      <c r="CZ225" s="12" t="s">
        <v>896</v>
      </c>
      <c r="DA225" s="12" t="s">
        <v>897</v>
      </c>
      <c r="DB225" s="12" t="s">
        <v>898</v>
      </c>
      <c r="DC225" s="12" t="s">
        <v>899</v>
      </c>
    </row>
    <row r="226">
      <c r="A226" s="12" t="s">
        <v>900</v>
      </c>
      <c r="B226" s="12" t="s">
        <v>623</v>
      </c>
      <c r="C226" s="12" t="s">
        <v>366</v>
      </c>
      <c r="D226" s="12" t="s">
        <v>833</v>
      </c>
      <c r="E226" s="12" t="s">
        <v>834</v>
      </c>
      <c r="F226" s="12"/>
      <c r="G226" s="12" t="s">
        <v>364</v>
      </c>
      <c r="H226" s="12" t="s">
        <v>570</v>
      </c>
      <c r="I226" s="12"/>
      <c r="J226" s="43">
        <f t="shared" si="1"/>
        <v>0.03515221683</v>
      </c>
      <c r="K226" s="43">
        <f t="shared" si="2"/>
        <v>2.90663208</v>
      </c>
      <c r="L226" s="43">
        <f t="shared" si="3"/>
        <v>0.034732173</v>
      </c>
      <c r="M226" s="43">
        <f t="shared" si="4"/>
        <v>1.13745977</v>
      </c>
      <c r="N226" s="12" t="s">
        <v>6497</v>
      </c>
      <c r="O226" s="12" t="s">
        <v>6498</v>
      </c>
      <c r="P226" s="43">
        <f t="shared" si="5"/>
        <v>4.014796398</v>
      </c>
      <c r="Q226" s="43">
        <f t="shared" si="6"/>
        <v>3.123519398</v>
      </c>
      <c r="R226" s="12" t="s">
        <v>6499</v>
      </c>
      <c r="S226" s="12" t="s">
        <v>6500</v>
      </c>
      <c r="T226" s="43">
        <f t="shared" si="7"/>
        <v>41.03849941</v>
      </c>
      <c r="U226" s="43">
        <f t="shared" si="8"/>
        <v>0.4417875</v>
      </c>
      <c r="V226" s="12" t="s">
        <v>839</v>
      </c>
      <c r="W226" s="12" t="s">
        <v>6501</v>
      </c>
      <c r="X226" s="12" t="s">
        <v>841</v>
      </c>
      <c r="Y226" s="12" t="s">
        <v>841</v>
      </c>
      <c r="Z226" s="12" t="s">
        <v>841</v>
      </c>
      <c r="AA226" s="12" t="s">
        <v>6502</v>
      </c>
      <c r="AB226" s="12" t="s">
        <v>6503</v>
      </c>
      <c r="AC226" s="12" t="s">
        <v>6504</v>
      </c>
      <c r="AD226" s="12" t="s">
        <v>845</v>
      </c>
      <c r="AE226" s="12" t="s">
        <v>846</v>
      </c>
      <c r="AF226" s="43">
        <f t="shared" si="9"/>
        <v>9.2090212</v>
      </c>
      <c r="AG226" s="12" t="s">
        <v>847</v>
      </c>
      <c r="AH226" s="12" t="s">
        <v>6505</v>
      </c>
      <c r="AI226" s="12" t="s">
        <v>6385</v>
      </c>
      <c r="AJ226" s="12" t="s">
        <v>5662</v>
      </c>
      <c r="AK226" s="12" t="s">
        <v>3511</v>
      </c>
      <c r="AL226" s="43">
        <f t="shared" si="10"/>
        <v>28.97</v>
      </c>
      <c r="AM226" s="12" t="s">
        <v>6171</v>
      </c>
      <c r="AN226" s="12" t="s">
        <v>6506</v>
      </c>
      <c r="AO226" s="12" t="s">
        <v>6507</v>
      </c>
      <c r="AP226" s="12" t="s">
        <v>6508</v>
      </c>
      <c r="AQ226" s="12" t="s">
        <v>917</v>
      </c>
      <c r="AR226" s="12" t="s">
        <v>6434</v>
      </c>
      <c r="AS226" s="12" t="s">
        <v>6484</v>
      </c>
      <c r="AT226" s="12" t="s">
        <v>366</v>
      </c>
      <c r="AU226" s="12" t="s">
        <v>6485</v>
      </c>
      <c r="AV226" s="12" t="s">
        <v>832</v>
      </c>
      <c r="AW226" s="12" t="s">
        <v>1286</v>
      </c>
      <c r="AX226" s="12" t="s">
        <v>919</v>
      </c>
      <c r="AY226" s="12" t="s">
        <v>868</v>
      </c>
      <c r="AZ226" s="12" t="s">
        <v>6509</v>
      </c>
      <c r="BA226" s="12" t="s">
        <v>6510</v>
      </c>
      <c r="BB226" s="12" t="s">
        <v>868</v>
      </c>
      <c r="BC226" s="12" t="s">
        <v>866</v>
      </c>
      <c r="BD226" s="12" t="s">
        <v>867</v>
      </c>
      <c r="BE226" s="12" t="s">
        <v>868</v>
      </c>
      <c r="BF226" s="12" t="s">
        <v>869</v>
      </c>
      <c r="BG226" s="12" t="s">
        <v>870</v>
      </c>
      <c r="BH226" s="12" t="s">
        <v>841</v>
      </c>
      <c r="BI226" s="12" t="s">
        <v>871</v>
      </c>
      <c r="BJ226" s="12" t="s">
        <v>841</v>
      </c>
      <c r="BK226" s="12" t="s">
        <v>841</v>
      </c>
      <c r="BL226" s="12" t="s">
        <v>872</v>
      </c>
      <c r="BM226" s="12" t="s">
        <v>873</v>
      </c>
      <c r="BN226" s="12" t="s">
        <v>866</v>
      </c>
      <c r="BO226" s="12" t="s">
        <v>874</v>
      </c>
      <c r="BP226" s="12" t="s">
        <v>875</v>
      </c>
      <c r="BQ226" s="12" t="s">
        <v>876</v>
      </c>
      <c r="BR226" s="12" t="s">
        <v>869</v>
      </c>
      <c r="BS226" s="12" t="s">
        <v>869</v>
      </c>
      <c r="BT226" s="12" t="s">
        <v>877</v>
      </c>
      <c r="BU226" s="12" t="s">
        <v>877</v>
      </c>
      <c r="BV226" s="12" t="s">
        <v>877</v>
      </c>
      <c r="BW226" s="12" t="s">
        <v>841</v>
      </c>
      <c r="BX226" s="12" t="s">
        <v>878</v>
      </c>
      <c r="BY226" s="12" t="s">
        <v>841</v>
      </c>
      <c r="BZ226" s="12" t="s">
        <v>841</v>
      </c>
      <c r="CA226" s="12" t="s">
        <v>841</v>
      </c>
      <c r="CB226" s="12" t="s">
        <v>841</v>
      </c>
      <c r="CC226" s="12" t="s">
        <v>6511</v>
      </c>
      <c r="CD226" s="12" t="s">
        <v>6512</v>
      </c>
      <c r="CE226" s="12" t="s">
        <v>6513</v>
      </c>
      <c r="CF226" s="12" t="s">
        <v>6514</v>
      </c>
      <c r="CG226" s="12" t="s">
        <v>6515</v>
      </c>
      <c r="CH226" s="12" t="s">
        <v>6516</v>
      </c>
      <c r="CI226" s="12" t="s">
        <v>6517</v>
      </c>
      <c r="CJ226" s="12" t="s">
        <v>6518</v>
      </c>
      <c r="CK226" s="12" t="s">
        <v>6502</v>
      </c>
      <c r="CL226" s="12" t="s">
        <v>1299</v>
      </c>
      <c r="CM226" s="12" t="s">
        <v>888</v>
      </c>
      <c r="CN226" s="12" t="s">
        <v>841</v>
      </c>
      <c r="CO226" s="12" t="s">
        <v>847</v>
      </c>
      <c r="CP226" s="12" t="s">
        <v>889</v>
      </c>
      <c r="CQ226" s="12" t="s">
        <v>890</v>
      </c>
      <c r="CR226" s="12" t="s">
        <v>847</v>
      </c>
      <c r="CS226" s="12" t="s">
        <v>891</v>
      </c>
      <c r="CT226" s="12" t="s">
        <v>892</v>
      </c>
      <c r="CU226" s="12" t="s">
        <v>893</v>
      </c>
      <c r="CV226" s="12" t="s">
        <v>841</v>
      </c>
      <c r="CW226" s="12" t="s">
        <v>6501</v>
      </c>
      <c r="CX226" s="12" t="s">
        <v>894</v>
      </c>
      <c r="CY226" s="12" t="s">
        <v>895</v>
      </c>
      <c r="CZ226" s="12" t="s">
        <v>896</v>
      </c>
      <c r="DA226" s="12" t="s">
        <v>897</v>
      </c>
      <c r="DB226" s="12" t="s">
        <v>898</v>
      </c>
      <c r="DC226" s="12" t="s">
        <v>899</v>
      </c>
    </row>
    <row r="227">
      <c r="A227" s="12" t="s">
        <v>934</v>
      </c>
      <c r="B227" s="12" t="s">
        <v>624</v>
      </c>
      <c r="C227" s="12" t="s">
        <v>366</v>
      </c>
      <c r="D227" s="12" t="s">
        <v>833</v>
      </c>
      <c r="E227" s="12" t="s">
        <v>834</v>
      </c>
      <c r="F227" s="12"/>
      <c r="G227" s="12" t="s">
        <v>364</v>
      </c>
      <c r="H227" s="12" t="s">
        <v>570</v>
      </c>
      <c r="I227" s="12"/>
      <c r="J227" s="43">
        <f t="shared" si="1"/>
        <v>0.02621205268</v>
      </c>
      <c r="K227" s="43">
        <f t="shared" si="2"/>
        <v>2.91060848</v>
      </c>
      <c r="L227" s="43">
        <f t="shared" si="3"/>
        <v>0.02597810182</v>
      </c>
      <c r="M227" s="43">
        <f t="shared" si="4"/>
        <v>0.9080483102</v>
      </c>
      <c r="N227" s="12" t="s">
        <v>6519</v>
      </c>
      <c r="O227" s="12" t="s">
        <v>6520</v>
      </c>
      <c r="P227" s="43">
        <f t="shared" si="5"/>
        <v>4.236039263</v>
      </c>
      <c r="Q227" s="43">
        <f t="shared" si="6"/>
        <v>3.329359263</v>
      </c>
      <c r="R227" s="12" t="s">
        <v>6521</v>
      </c>
      <c r="S227" s="12" t="s">
        <v>6522</v>
      </c>
      <c r="T227" s="43">
        <f t="shared" si="7"/>
        <v>43.30442918</v>
      </c>
      <c r="U227" s="43">
        <f t="shared" si="8"/>
        <v>0.4417875</v>
      </c>
      <c r="V227" s="12" t="s">
        <v>839</v>
      </c>
      <c r="W227" s="12" t="s">
        <v>6523</v>
      </c>
      <c r="X227" s="12" t="s">
        <v>841</v>
      </c>
      <c r="Y227" s="12" t="s">
        <v>841</v>
      </c>
      <c r="Z227" s="12" t="s">
        <v>841</v>
      </c>
      <c r="AA227" s="12" t="s">
        <v>6524</v>
      </c>
      <c r="AB227" s="12" t="s">
        <v>6525</v>
      </c>
      <c r="AC227" s="12" t="s">
        <v>6526</v>
      </c>
      <c r="AD227" s="12" t="s">
        <v>845</v>
      </c>
      <c r="AE227" s="12" t="s">
        <v>846</v>
      </c>
      <c r="AF227" s="43">
        <f t="shared" si="9"/>
        <v>8.4139216</v>
      </c>
      <c r="AG227" s="12" t="s">
        <v>847</v>
      </c>
      <c r="AH227" s="12" t="s">
        <v>6527</v>
      </c>
      <c r="AI227" s="12" t="s">
        <v>6528</v>
      </c>
      <c r="AJ227" s="12" t="s">
        <v>6529</v>
      </c>
      <c r="AK227" s="12" t="s">
        <v>6530</v>
      </c>
      <c r="AL227" s="43">
        <f t="shared" si="10"/>
        <v>29.9</v>
      </c>
      <c r="AM227" s="12" t="s">
        <v>6361</v>
      </c>
      <c r="AN227" s="12" t="s">
        <v>1159</v>
      </c>
      <c r="AO227" s="12" t="s">
        <v>6531</v>
      </c>
      <c r="AP227" s="12" t="s">
        <v>6532</v>
      </c>
      <c r="AQ227" s="12" t="s">
        <v>1998</v>
      </c>
      <c r="AR227" s="12" t="s">
        <v>6533</v>
      </c>
      <c r="AS227" s="12" t="s">
        <v>6484</v>
      </c>
      <c r="AT227" s="12" t="s">
        <v>366</v>
      </c>
      <c r="AU227" s="12" t="s">
        <v>6485</v>
      </c>
      <c r="AV227" s="12" t="s">
        <v>832</v>
      </c>
      <c r="AW227" s="12" t="s">
        <v>1542</v>
      </c>
      <c r="AX227" s="12" t="s">
        <v>868</v>
      </c>
      <c r="AY227" s="12" t="s">
        <v>868</v>
      </c>
      <c r="AZ227" s="12" t="s">
        <v>6534</v>
      </c>
      <c r="BA227" s="12" t="s">
        <v>868</v>
      </c>
      <c r="BB227" s="12" t="s">
        <v>868</v>
      </c>
      <c r="BC227" s="12" t="s">
        <v>866</v>
      </c>
      <c r="BD227" s="12" t="s">
        <v>867</v>
      </c>
      <c r="BE227" s="12" t="s">
        <v>868</v>
      </c>
      <c r="BF227" s="12" t="s">
        <v>869</v>
      </c>
      <c r="BG227" s="12" t="s">
        <v>870</v>
      </c>
      <c r="BH227" s="12" t="s">
        <v>841</v>
      </c>
      <c r="BI227" s="12" t="s">
        <v>871</v>
      </c>
      <c r="BJ227" s="12" t="s">
        <v>841</v>
      </c>
      <c r="BK227" s="12" t="s">
        <v>841</v>
      </c>
      <c r="BL227" s="12" t="s">
        <v>872</v>
      </c>
      <c r="BM227" s="12" t="s">
        <v>873</v>
      </c>
      <c r="BN227" s="12" t="s">
        <v>866</v>
      </c>
      <c r="BO227" s="12" t="s">
        <v>874</v>
      </c>
      <c r="BP227" s="12" t="s">
        <v>875</v>
      </c>
      <c r="BQ227" s="12" t="s">
        <v>876</v>
      </c>
      <c r="BR227" s="12" t="s">
        <v>869</v>
      </c>
      <c r="BS227" s="12" t="s">
        <v>869</v>
      </c>
      <c r="BT227" s="12" t="s">
        <v>877</v>
      </c>
      <c r="BU227" s="12" t="s">
        <v>877</v>
      </c>
      <c r="BV227" s="12" t="s">
        <v>877</v>
      </c>
      <c r="BW227" s="12" t="s">
        <v>841</v>
      </c>
      <c r="BX227" s="12" t="s">
        <v>878</v>
      </c>
      <c r="BY227" s="12" t="s">
        <v>841</v>
      </c>
      <c r="BZ227" s="12" t="s">
        <v>841</v>
      </c>
      <c r="CA227" s="12" t="s">
        <v>841</v>
      </c>
      <c r="CB227" s="12" t="s">
        <v>841</v>
      </c>
      <c r="CC227" s="12" t="s">
        <v>6535</v>
      </c>
      <c r="CD227" s="12" t="s">
        <v>6536</v>
      </c>
      <c r="CE227" s="12" t="s">
        <v>6537</v>
      </c>
      <c r="CF227" s="12" t="s">
        <v>6538</v>
      </c>
      <c r="CG227" s="12" t="s">
        <v>6539</v>
      </c>
      <c r="CH227" s="12" t="s">
        <v>6540</v>
      </c>
      <c r="CI227" s="12" t="s">
        <v>6541</v>
      </c>
      <c r="CJ227" s="12" t="s">
        <v>6542</v>
      </c>
      <c r="CK227" s="12" t="s">
        <v>6524</v>
      </c>
      <c r="CL227" s="12" t="s">
        <v>1028</v>
      </c>
      <c r="CM227" s="12" t="s">
        <v>888</v>
      </c>
      <c r="CN227" s="12" t="s">
        <v>841</v>
      </c>
      <c r="CO227" s="12" t="s">
        <v>847</v>
      </c>
      <c r="CP227" s="12" t="s">
        <v>889</v>
      </c>
      <c r="CQ227" s="12" t="s">
        <v>890</v>
      </c>
      <c r="CR227" s="12" t="s">
        <v>847</v>
      </c>
      <c r="CS227" s="12" t="s">
        <v>891</v>
      </c>
      <c r="CT227" s="12" t="s">
        <v>892</v>
      </c>
      <c r="CU227" s="12" t="s">
        <v>893</v>
      </c>
      <c r="CV227" s="12" t="s">
        <v>841</v>
      </c>
      <c r="CW227" s="12" t="s">
        <v>6523</v>
      </c>
      <c r="CX227" s="12" t="s">
        <v>894</v>
      </c>
      <c r="CY227" s="12" t="s">
        <v>895</v>
      </c>
      <c r="CZ227" s="12" t="s">
        <v>896</v>
      </c>
      <c r="DA227" s="12" t="s">
        <v>897</v>
      </c>
      <c r="DB227" s="12" t="s">
        <v>898</v>
      </c>
      <c r="DC227" s="12" t="s">
        <v>899</v>
      </c>
    </row>
    <row r="228">
      <c r="A228" s="12" t="s">
        <v>968</v>
      </c>
      <c r="B228" s="12" t="s">
        <v>626</v>
      </c>
      <c r="C228" s="12" t="s">
        <v>366</v>
      </c>
      <c r="D228" s="12" t="s">
        <v>833</v>
      </c>
      <c r="E228" s="12" t="s">
        <v>834</v>
      </c>
      <c r="F228" s="12"/>
      <c r="G228" s="12" t="s">
        <v>364</v>
      </c>
      <c r="H228" s="12" t="s">
        <v>625</v>
      </c>
      <c r="I228" s="12"/>
      <c r="J228" s="43">
        <f t="shared" si="1"/>
        <v>0.04995740386</v>
      </c>
      <c r="K228" s="43">
        <f t="shared" si="2"/>
        <v>2.90822672</v>
      </c>
      <c r="L228" s="43">
        <f t="shared" si="3"/>
        <v>0.04911373014</v>
      </c>
      <c r="M228" s="43">
        <f t="shared" si="4"/>
        <v>1.713491996</v>
      </c>
      <c r="N228" s="12" t="s">
        <v>6543</v>
      </c>
      <c r="O228" s="12" t="s">
        <v>6544</v>
      </c>
      <c r="P228" s="43">
        <f t="shared" si="5"/>
        <v>4.265346558</v>
      </c>
      <c r="Q228" s="43">
        <f t="shared" si="6"/>
        <v>3.322263558</v>
      </c>
      <c r="R228" s="12" t="s">
        <v>6545</v>
      </c>
      <c r="S228" s="12" t="s">
        <v>6546</v>
      </c>
      <c r="T228" s="43">
        <f t="shared" si="7"/>
        <v>43.59957639</v>
      </c>
      <c r="U228" s="43">
        <f t="shared" si="8"/>
        <v>0.4417875</v>
      </c>
      <c r="V228" s="12" t="s">
        <v>839</v>
      </c>
      <c r="W228" s="12" t="s">
        <v>6547</v>
      </c>
      <c r="X228" s="12" t="s">
        <v>841</v>
      </c>
      <c r="Y228" s="12" t="s">
        <v>841</v>
      </c>
      <c r="Z228" s="12" t="s">
        <v>841</v>
      </c>
      <c r="AA228" s="12" t="s">
        <v>6548</v>
      </c>
      <c r="AB228" s="12" t="s">
        <v>6549</v>
      </c>
      <c r="AC228" s="12" t="s">
        <v>6550</v>
      </c>
      <c r="AD228" s="12" t="s">
        <v>845</v>
      </c>
      <c r="AE228" s="12" t="s">
        <v>846</v>
      </c>
      <c r="AF228" s="43">
        <f t="shared" si="9"/>
        <v>8.2759968</v>
      </c>
      <c r="AG228" s="12" t="s">
        <v>847</v>
      </c>
      <c r="AH228" s="12" t="s">
        <v>4515</v>
      </c>
      <c r="AI228" s="12" t="s">
        <v>6551</v>
      </c>
      <c r="AJ228" s="12" t="s">
        <v>6552</v>
      </c>
      <c r="AK228" s="12" t="s">
        <v>6553</v>
      </c>
      <c r="AL228" s="43">
        <f t="shared" si="10"/>
        <v>30.02</v>
      </c>
      <c r="AM228" s="12" t="s">
        <v>6171</v>
      </c>
      <c r="AN228" s="12" t="s">
        <v>853</v>
      </c>
      <c r="AO228" s="12" t="s">
        <v>6554</v>
      </c>
      <c r="AP228" s="12" t="s">
        <v>6555</v>
      </c>
      <c r="AQ228" s="12" t="s">
        <v>1970</v>
      </c>
      <c r="AR228" s="12" t="s">
        <v>6533</v>
      </c>
      <c r="AS228" s="12" t="s">
        <v>6484</v>
      </c>
      <c r="AT228" s="12" t="s">
        <v>366</v>
      </c>
      <c r="AU228" s="12" t="s">
        <v>6485</v>
      </c>
      <c r="AV228" s="12" t="s">
        <v>832</v>
      </c>
      <c r="AW228" s="12" t="s">
        <v>1164</v>
      </c>
      <c r="AX228" s="12" t="s">
        <v>1164</v>
      </c>
      <c r="AY228" s="12" t="s">
        <v>1286</v>
      </c>
      <c r="AZ228" s="12" t="s">
        <v>6556</v>
      </c>
      <c r="BA228" s="12" t="s">
        <v>6557</v>
      </c>
      <c r="BB228" s="12" t="s">
        <v>6558</v>
      </c>
      <c r="BC228" s="12" t="s">
        <v>866</v>
      </c>
      <c r="BD228" s="12" t="s">
        <v>867</v>
      </c>
      <c r="BE228" s="12" t="s">
        <v>868</v>
      </c>
      <c r="BF228" s="12" t="s">
        <v>869</v>
      </c>
      <c r="BG228" s="12" t="s">
        <v>870</v>
      </c>
      <c r="BH228" s="12" t="s">
        <v>841</v>
      </c>
      <c r="BI228" s="12" t="s">
        <v>871</v>
      </c>
      <c r="BJ228" s="12" t="s">
        <v>841</v>
      </c>
      <c r="BK228" s="12" t="s">
        <v>841</v>
      </c>
      <c r="BL228" s="12" t="s">
        <v>872</v>
      </c>
      <c r="BM228" s="12" t="s">
        <v>873</v>
      </c>
      <c r="BN228" s="12" t="s">
        <v>866</v>
      </c>
      <c r="BO228" s="12" t="s">
        <v>874</v>
      </c>
      <c r="BP228" s="12" t="s">
        <v>875</v>
      </c>
      <c r="BQ228" s="12" t="s">
        <v>876</v>
      </c>
      <c r="BR228" s="12" t="s">
        <v>869</v>
      </c>
      <c r="BS228" s="12" t="s">
        <v>869</v>
      </c>
      <c r="BT228" s="12" t="s">
        <v>877</v>
      </c>
      <c r="BU228" s="12" t="s">
        <v>877</v>
      </c>
      <c r="BV228" s="12" t="s">
        <v>877</v>
      </c>
      <c r="BW228" s="12" t="s">
        <v>841</v>
      </c>
      <c r="BX228" s="12" t="s">
        <v>878</v>
      </c>
      <c r="BY228" s="12" t="s">
        <v>841</v>
      </c>
      <c r="BZ228" s="12" t="s">
        <v>841</v>
      </c>
      <c r="CA228" s="12" t="s">
        <v>841</v>
      </c>
      <c r="CB228" s="12" t="s">
        <v>841</v>
      </c>
      <c r="CC228" s="12" t="s">
        <v>6559</v>
      </c>
      <c r="CD228" s="12" t="s">
        <v>6560</v>
      </c>
      <c r="CE228" s="12" t="s">
        <v>6561</v>
      </c>
      <c r="CF228" s="12" t="s">
        <v>6562</v>
      </c>
      <c r="CG228" s="12" t="s">
        <v>6563</v>
      </c>
      <c r="CH228" s="12" t="s">
        <v>6564</v>
      </c>
      <c r="CI228" s="12" t="s">
        <v>6565</v>
      </c>
      <c r="CJ228" s="12" t="s">
        <v>6566</v>
      </c>
      <c r="CK228" s="12" t="s">
        <v>6548</v>
      </c>
      <c r="CL228" s="12" t="s">
        <v>2231</v>
      </c>
      <c r="CM228" s="12" t="s">
        <v>888</v>
      </c>
      <c r="CN228" s="12" t="s">
        <v>841</v>
      </c>
      <c r="CO228" s="12" t="s">
        <v>847</v>
      </c>
      <c r="CP228" s="12" t="s">
        <v>889</v>
      </c>
      <c r="CQ228" s="12" t="s">
        <v>890</v>
      </c>
      <c r="CR228" s="12" t="s">
        <v>847</v>
      </c>
      <c r="CS228" s="12" t="s">
        <v>891</v>
      </c>
      <c r="CT228" s="12" t="s">
        <v>892</v>
      </c>
      <c r="CU228" s="12" t="s">
        <v>893</v>
      </c>
      <c r="CV228" s="12" t="s">
        <v>841</v>
      </c>
      <c r="CW228" s="12" t="s">
        <v>6547</v>
      </c>
      <c r="CX228" s="12" t="s">
        <v>894</v>
      </c>
      <c r="CY228" s="12" t="s">
        <v>895</v>
      </c>
      <c r="CZ228" s="12" t="s">
        <v>896</v>
      </c>
      <c r="DA228" s="12" t="s">
        <v>897</v>
      </c>
      <c r="DB228" s="12" t="s">
        <v>898</v>
      </c>
      <c r="DC228" s="12" t="s">
        <v>899</v>
      </c>
    </row>
    <row r="229">
      <c r="A229" s="12" t="s">
        <v>997</v>
      </c>
      <c r="B229" s="12" t="s">
        <v>628</v>
      </c>
      <c r="C229" s="12" t="s">
        <v>366</v>
      </c>
      <c r="D229" s="12" t="s">
        <v>833</v>
      </c>
      <c r="E229" s="12" t="s">
        <v>834</v>
      </c>
      <c r="F229" s="12"/>
      <c r="G229" s="12" t="s">
        <v>364</v>
      </c>
      <c r="H229" s="12" t="s">
        <v>625</v>
      </c>
      <c r="I229" s="12"/>
      <c r="J229" s="43">
        <f t="shared" si="1"/>
        <v>0.03763768978</v>
      </c>
      <c r="K229" s="43">
        <f t="shared" si="2"/>
        <v>2.909022</v>
      </c>
      <c r="L229" s="43">
        <f t="shared" si="3"/>
        <v>0.0371569435</v>
      </c>
      <c r="M229" s="43">
        <f t="shared" si="4"/>
        <v>1.412686981</v>
      </c>
      <c r="N229" s="12" t="s">
        <v>6567</v>
      </c>
      <c r="O229" s="12" t="s">
        <v>6568</v>
      </c>
      <c r="P229" s="43">
        <f t="shared" si="5"/>
        <v>4.52425568</v>
      </c>
      <c r="Q229" s="43">
        <f t="shared" si="6"/>
        <v>3.61657868</v>
      </c>
      <c r="R229" s="12" t="s">
        <v>6569</v>
      </c>
      <c r="S229" s="12" t="s">
        <v>6570</v>
      </c>
      <c r="T229" s="43">
        <f t="shared" si="7"/>
        <v>46.2413704</v>
      </c>
      <c r="U229" s="43">
        <f t="shared" si="8"/>
        <v>0.4417875</v>
      </c>
      <c r="V229" s="12" t="s">
        <v>839</v>
      </c>
      <c r="W229" s="12" t="s">
        <v>6571</v>
      </c>
      <c r="X229" s="12" t="s">
        <v>841</v>
      </c>
      <c r="Y229" s="12" t="s">
        <v>841</v>
      </c>
      <c r="Z229" s="12" t="s">
        <v>841</v>
      </c>
      <c r="AA229" s="12" t="s">
        <v>6572</v>
      </c>
      <c r="AB229" s="12" t="s">
        <v>6573</v>
      </c>
      <c r="AC229" s="12" t="s">
        <v>6574</v>
      </c>
      <c r="AD229" s="12" t="s">
        <v>845</v>
      </c>
      <c r="AE229" s="12" t="s">
        <v>846</v>
      </c>
      <c r="AF229" s="43">
        <f t="shared" si="9"/>
        <v>8.5808376</v>
      </c>
      <c r="AG229" s="12" t="s">
        <v>847</v>
      </c>
      <c r="AH229" s="12" t="s">
        <v>4413</v>
      </c>
      <c r="AI229" s="12" t="s">
        <v>6575</v>
      </c>
      <c r="AJ229" s="12" t="s">
        <v>6576</v>
      </c>
      <c r="AK229" s="12" t="s">
        <v>6577</v>
      </c>
      <c r="AL229" s="43">
        <f t="shared" si="10"/>
        <v>31.05</v>
      </c>
      <c r="AM229" s="12" t="s">
        <v>6216</v>
      </c>
      <c r="AN229" s="12" t="s">
        <v>1072</v>
      </c>
      <c r="AO229" s="12" t="s">
        <v>6578</v>
      </c>
      <c r="AP229" s="12" t="s">
        <v>6579</v>
      </c>
      <c r="AQ229" s="12" t="s">
        <v>1970</v>
      </c>
      <c r="AR229" s="12" t="s">
        <v>6580</v>
      </c>
      <c r="AS229" s="12" t="s">
        <v>6484</v>
      </c>
      <c r="AT229" s="12" t="s">
        <v>366</v>
      </c>
      <c r="AU229" s="12" t="s">
        <v>6485</v>
      </c>
      <c r="AV229" s="12" t="s">
        <v>832</v>
      </c>
      <c r="AW229" s="12" t="s">
        <v>868</v>
      </c>
      <c r="AX229" s="12" t="s">
        <v>868</v>
      </c>
      <c r="AY229" s="12" t="s">
        <v>868</v>
      </c>
      <c r="AZ229" s="12" t="s">
        <v>868</v>
      </c>
      <c r="BA229" s="12" t="s">
        <v>868</v>
      </c>
      <c r="BB229" s="12" t="s">
        <v>868</v>
      </c>
      <c r="BC229" s="12" t="s">
        <v>866</v>
      </c>
      <c r="BD229" s="12" t="s">
        <v>867</v>
      </c>
      <c r="BE229" s="12" t="s">
        <v>868</v>
      </c>
      <c r="BF229" s="12" t="s">
        <v>869</v>
      </c>
      <c r="BG229" s="12" t="s">
        <v>870</v>
      </c>
      <c r="BH229" s="12" t="s">
        <v>841</v>
      </c>
      <c r="BI229" s="12" t="s">
        <v>871</v>
      </c>
      <c r="BJ229" s="12" t="s">
        <v>841</v>
      </c>
      <c r="BK229" s="12" t="s">
        <v>841</v>
      </c>
      <c r="BL229" s="12" t="s">
        <v>872</v>
      </c>
      <c r="BM229" s="12" t="s">
        <v>873</v>
      </c>
      <c r="BN229" s="12" t="s">
        <v>866</v>
      </c>
      <c r="BO229" s="12" t="s">
        <v>874</v>
      </c>
      <c r="BP229" s="12" t="s">
        <v>875</v>
      </c>
      <c r="BQ229" s="12" t="s">
        <v>876</v>
      </c>
      <c r="BR229" s="12" t="s">
        <v>869</v>
      </c>
      <c r="BS229" s="12" t="s">
        <v>869</v>
      </c>
      <c r="BT229" s="12" t="s">
        <v>877</v>
      </c>
      <c r="BU229" s="12" t="s">
        <v>877</v>
      </c>
      <c r="BV229" s="12" t="s">
        <v>877</v>
      </c>
      <c r="BW229" s="12" t="s">
        <v>841</v>
      </c>
      <c r="BX229" s="12" t="s">
        <v>878</v>
      </c>
      <c r="BY229" s="12" t="s">
        <v>841</v>
      </c>
      <c r="BZ229" s="12" t="s">
        <v>841</v>
      </c>
      <c r="CA229" s="12" t="s">
        <v>841</v>
      </c>
      <c r="CB229" s="12" t="s">
        <v>841</v>
      </c>
      <c r="CC229" s="12" t="s">
        <v>6581</v>
      </c>
      <c r="CD229" s="12" t="s">
        <v>6582</v>
      </c>
      <c r="CE229" s="12" t="s">
        <v>6583</v>
      </c>
      <c r="CF229" s="12" t="s">
        <v>6584</v>
      </c>
      <c r="CG229" s="12" t="s">
        <v>6585</v>
      </c>
      <c r="CH229" s="12" t="s">
        <v>6586</v>
      </c>
      <c r="CI229" s="12" t="s">
        <v>6587</v>
      </c>
      <c r="CJ229" s="12" t="s">
        <v>6588</v>
      </c>
      <c r="CK229" s="12" t="s">
        <v>6572</v>
      </c>
      <c r="CL229" s="12" t="s">
        <v>3211</v>
      </c>
      <c r="CM229" s="12" t="s">
        <v>888</v>
      </c>
      <c r="CN229" s="12" t="s">
        <v>841</v>
      </c>
      <c r="CO229" s="12" t="s">
        <v>847</v>
      </c>
      <c r="CP229" s="12" t="s">
        <v>889</v>
      </c>
      <c r="CQ229" s="12" t="s">
        <v>890</v>
      </c>
      <c r="CR229" s="12" t="s">
        <v>847</v>
      </c>
      <c r="CS229" s="12" t="s">
        <v>891</v>
      </c>
      <c r="CT229" s="12" t="s">
        <v>892</v>
      </c>
      <c r="CU229" s="12" t="s">
        <v>893</v>
      </c>
      <c r="CV229" s="12" t="s">
        <v>841</v>
      </c>
      <c r="CW229" s="12" t="s">
        <v>6571</v>
      </c>
      <c r="CX229" s="12" t="s">
        <v>894</v>
      </c>
      <c r="CY229" s="12" t="s">
        <v>895</v>
      </c>
      <c r="CZ229" s="12" t="s">
        <v>896</v>
      </c>
      <c r="DA229" s="12" t="s">
        <v>897</v>
      </c>
      <c r="DB229" s="12" t="s">
        <v>898</v>
      </c>
      <c r="DC229" s="12" t="s">
        <v>899</v>
      </c>
    </row>
    <row r="230">
      <c r="A230" s="12" t="s">
        <v>1029</v>
      </c>
      <c r="B230" s="12" t="s">
        <v>629</v>
      </c>
      <c r="C230" s="12" t="s">
        <v>366</v>
      </c>
      <c r="D230" s="12" t="s">
        <v>833</v>
      </c>
      <c r="E230" s="12" t="s">
        <v>834</v>
      </c>
      <c r="F230" s="12"/>
      <c r="G230" s="12" t="s">
        <v>364</v>
      </c>
      <c r="H230" s="12" t="s">
        <v>625</v>
      </c>
      <c r="I230" s="12"/>
      <c r="J230" s="43">
        <f t="shared" si="1"/>
        <v>0.02147510803</v>
      </c>
      <c r="K230" s="43">
        <f t="shared" si="2"/>
        <v>2.909022</v>
      </c>
      <c r="L230" s="43">
        <f t="shared" si="3"/>
        <v>0.02131773532</v>
      </c>
      <c r="M230" s="43">
        <f t="shared" si="4"/>
        <v>0.7347403094</v>
      </c>
      <c r="N230" s="12" t="s">
        <v>6589</v>
      </c>
      <c r="O230" s="12" t="s">
        <v>6590</v>
      </c>
      <c r="P230" s="43">
        <f t="shared" si="5"/>
        <v>4.16113962</v>
      </c>
      <c r="Q230" s="43">
        <f t="shared" si="6"/>
        <v>3.28538462</v>
      </c>
      <c r="R230" s="12" t="s">
        <v>6591</v>
      </c>
      <c r="S230" s="12" t="s">
        <v>6592</v>
      </c>
      <c r="T230" s="43">
        <f t="shared" si="7"/>
        <v>42.53004518</v>
      </c>
      <c r="U230" s="43">
        <f t="shared" si="8"/>
        <v>0.4417875</v>
      </c>
      <c r="V230" s="12" t="s">
        <v>839</v>
      </c>
      <c r="W230" s="12" t="s">
        <v>6593</v>
      </c>
      <c r="X230" s="12" t="s">
        <v>841</v>
      </c>
      <c r="Y230" s="12" t="s">
        <v>841</v>
      </c>
      <c r="Z230" s="12" t="s">
        <v>841</v>
      </c>
      <c r="AA230" s="12" t="s">
        <v>6594</v>
      </c>
      <c r="AB230" s="12" t="s">
        <v>6595</v>
      </c>
      <c r="AC230" s="12" t="s">
        <v>6596</v>
      </c>
      <c r="AD230" s="12" t="s">
        <v>845</v>
      </c>
      <c r="AE230" s="12" t="s">
        <v>846</v>
      </c>
      <c r="AF230" s="43">
        <f t="shared" si="9"/>
        <v>7.5396768</v>
      </c>
      <c r="AG230" s="12" t="s">
        <v>847</v>
      </c>
      <c r="AH230" s="12" t="s">
        <v>6597</v>
      </c>
      <c r="AI230" s="12" t="s">
        <v>6598</v>
      </c>
      <c r="AJ230" s="12" t="s">
        <v>6599</v>
      </c>
      <c r="AK230" s="12" t="s">
        <v>3956</v>
      </c>
      <c r="AL230" s="43">
        <f t="shared" si="10"/>
        <v>29.59</v>
      </c>
      <c r="AM230" s="12" t="s">
        <v>6216</v>
      </c>
      <c r="AN230" s="12" t="s">
        <v>1072</v>
      </c>
      <c r="AO230" s="12" t="s">
        <v>6600</v>
      </c>
      <c r="AP230" s="12" t="s">
        <v>6601</v>
      </c>
      <c r="AQ230" s="12" t="s">
        <v>1894</v>
      </c>
      <c r="AR230" s="12" t="s">
        <v>6580</v>
      </c>
      <c r="AS230" s="12" t="s">
        <v>6484</v>
      </c>
      <c r="AT230" s="12" t="s">
        <v>366</v>
      </c>
      <c r="AU230" s="12" t="s">
        <v>6485</v>
      </c>
      <c r="AV230" s="12" t="s">
        <v>832</v>
      </c>
      <c r="AW230" s="12" t="s">
        <v>868</v>
      </c>
      <c r="AX230" s="12" t="s">
        <v>868</v>
      </c>
      <c r="AY230" s="12" t="s">
        <v>868</v>
      </c>
      <c r="AZ230" s="12" t="s">
        <v>868</v>
      </c>
      <c r="BA230" s="12" t="s">
        <v>868</v>
      </c>
      <c r="BB230" s="12" t="s">
        <v>868</v>
      </c>
      <c r="BC230" s="12" t="s">
        <v>866</v>
      </c>
      <c r="BD230" s="12" t="s">
        <v>867</v>
      </c>
      <c r="BE230" s="12" t="s">
        <v>868</v>
      </c>
      <c r="BF230" s="12" t="s">
        <v>869</v>
      </c>
      <c r="BG230" s="12" t="s">
        <v>870</v>
      </c>
      <c r="BH230" s="12" t="s">
        <v>841</v>
      </c>
      <c r="BI230" s="12" t="s">
        <v>871</v>
      </c>
      <c r="BJ230" s="12" t="s">
        <v>841</v>
      </c>
      <c r="BK230" s="12" t="s">
        <v>841</v>
      </c>
      <c r="BL230" s="12" t="s">
        <v>872</v>
      </c>
      <c r="BM230" s="12" t="s">
        <v>873</v>
      </c>
      <c r="BN230" s="12" t="s">
        <v>866</v>
      </c>
      <c r="BO230" s="12" t="s">
        <v>874</v>
      </c>
      <c r="BP230" s="12" t="s">
        <v>875</v>
      </c>
      <c r="BQ230" s="12" t="s">
        <v>876</v>
      </c>
      <c r="BR230" s="12" t="s">
        <v>869</v>
      </c>
      <c r="BS230" s="12" t="s">
        <v>869</v>
      </c>
      <c r="BT230" s="12" t="s">
        <v>877</v>
      </c>
      <c r="BU230" s="12" t="s">
        <v>877</v>
      </c>
      <c r="BV230" s="12" t="s">
        <v>877</v>
      </c>
      <c r="BW230" s="12" t="s">
        <v>841</v>
      </c>
      <c r="BX230" s="12" t="s">
        <v>878</v>
      </c>
      <c r="BY230" s="12" t="s">
        <v>841</v>
      </c>
      <c r="BZ230" s="12" t="s">
        <v>841</v>
      </c>
      <c r="CA230" s="12" t="s">
        <v>841</v>
      </c>
      <c r="CB230" s="12" t="s">
        <v>841</v>
      </c>
      <c r="CC230" s="12" t="s">
        <v>6602</v>
      </c>
      <c r="CD230" s="12" t="s">
        <v>6603</v>
      </c>
      <c r="CE230" s="12" t="s">
        <v>6604</v>
      </c>
      <c r="CF230" s="12" t="s">
        <v>6605</v>
      </c>
      <c r="CG230" s="12" t="s">
        <v>6606</v>
      </c>
      <c r="CH230" s="12" t="s">
        <v>6607</v>
      </c>
      <c r="CI230" s="12" t="s">
        <v>6608</v>
      </c>
      <c r="CJ230" s="12" t="s">
        <v>6609</v>
      </c>
      <c r="CK230" s="12" t="s">
        <v>6610</v>
      </c>
      <c r="CL230" s="12" t="s">
        <v>1299</v>
      </c>
      <c r="CM230" s="12" t="s">
        <v>888</v>
      </c>
      <c r="CN230" s="12" t="s">
        <v>841</v>
      </c>
      <c r="CO230" s="12" t="s">
        <v>847</v>
      </c>
      <c r="CP230" s="12" t="s">
        <v>889</v>
      </c>
      <c r="CQ230" s="12" t="s">
        <v>890</v>
      </c>
      <c r="CR230" s="12" t="s">
        <v>847</v>
      </c>
      <c r="CS230" s="12" t="s">
        <v>891</v>
      </c>
      <c r="CT230" s="12" t="s">
        <v>892</v>
      </c>
      <c r="CU230" s="12" t="s">
        <v>893</v>
      </c>
      <c r="CV230" s="12" t="s">
        <v>841</v>
      </c>
      <c r="CW230" s="12" t="s">
        <v>6593</v>
      </c>
      <c r="CX230" s="12" t="s">
        <v>894</v>
      </c>
      <c r="CY230" s="12" t="s">
        <v>895</v>
      </c>
      <c r="CZ230" s="12" t="s">
        <v>896</v>
      </c>
      <c r="DA230" s="12" t="s">
        <v>897</v>
      </c>
      <c r="DB230" s="12" t="s">
        <v>898</v>
      </c>
      <c r="DC230" s="12" t="s">
        <v>899</v>
      </c>
    </row>
    <row r="231">
      <c r="A231" s="12" t="s">
        <v>832</v>
      </c>
      <c r="B231" s="12" t="s">
        <v>630</v>
      </c>
      <c r="C231" s="12" t="s">
        <v>366</v>
      </c>
      <c r="D231" s="12" t="s">
        <v>833</v>
      </c>
      <c r="E231" s="12" t="s">
        <v>834</v>
      </c>
      <c r="F231" s="12"/>
      <c r="G231" s="12" t="s">
        <v>350</v>
      </c>
      <c r="H231" s="12" t="s">
        <v>351</v>
      </c>
      <c r="I231" s="12"/>
      <c r="J231" s="43">
        <f t="shared" si="1"/>
        <v>0.01672062752</v>
      </c>
      <c r="K231" s="43">
        <f t="shared" si="2"/>
        <v>2.909022</v>
      </c>
      <c r="L231" s="43">
        <f t="shared" si="3"/>
        <v>0.01662506909</v>
      </c>
      <c r="M231" s="43">
        <f t="shared" si="4"/>
        <v>0.6515284737</v>
      </c>
      <c r="N231" s="12" t="s">
        <v>6611</v>
      </c>
      <c r="O231" s="12" t="s">
        <v>6612</v>
      </c>
      <c r="P231" s="43">
        <f t="shared" si="5"/>
        <v>4.610052117</v>
      </c>
      <c r="Q231" s="43">
        <f t="shared" si="6"/>
        <v>3.740686117</v>
      </c>
      <c r="R231" s="12" t="s">
        <v>6613</v>
      </c>
      <c r="S231" s="12" t="s">
        <v>6614</v>
      </c>
      <c r="T231" s="43">
        <f t="shared" si="7"/>
        <v>46.950322</v>
      </c>
      <c r="U231" s="43">
        <f t="shared" si="8"/>
        <v>0.4417875</v>
      </c>
      <c r="V231" s="12" t="s">
        <v>839</v>
      </c>
      <c r="W231" s="12" t="s">
        <v>6615</v>
      </c>
      <c r="X231" s="12" t="s">
        <v>841</v>
      </c>
      <c r="Y231" s="12" t="s">
        <v>841</v>
      </c>
      <c r="Z231" s="12" t="s">
        <v>841</v>
      </c>
      <c r="AA231" s="12" t="s">
        <v>6616</v>
      </c>
      <c r="AB231" s="12" t="s">
        <v>6617</v>
      </c>
      <c r="AC231" s="12" t="s">
        <v>6618</v>
      </c>
      <c r="AD231" s="12" t="s">
        <v>845</v>
      </c>
      <c r="AE231" s="12" t="s">
        <v>846</v>
      </c>
      <c r="AF231" s="43">
        <f t="shared" si="9"/>
        <v>13.1428288</v>
      </c>
      <c r="AG231" s="12" t="s">
        <v>847</v>
      </c>
      <c r="AH231" s="12" t="s">
        <v>6046</v>
      </c>
      <c r="AI231" s="12" t="s">
        <v>6619</v>
      </c>
      <c r="AJ231" s="12" t="s">
        <v>6620</v>
      </c>
      <c r="AK231" s="12" t="s">
        <v>6621</v>
      </c>
      <c r="AL231" s="43">
        <f t="shared" si="10"/>
        <v>31.38</v>
      </c>
      <c r="AM231" s="12" t="s">
        <v>6622</v>
      </c>
      <c r="AN231" s="12" t="s">
        <v>1072</v>
      </c>
      <c r="AO231" s="12" t="s">
        <v>6623</v>
      </c>
      <c r="AP231" s="12" t="s">
        <v>2298</v>
      </c>
      <c r="AQ231" s="12" t="s">
        <v>2464</v>
      </c>
      <c r="AR231" s="12" t="s">
        <v>6624</v>
      </c>
      <c r="AS231" s="12" t="s">
        <v>6625</v>
      </c>
      <c r="AT231" s="12" t="s">
        <v>366</v>
      </c>
      <c r="AU231" s="12" t="s">
        <v>6626</v>
      </c>
      <c r="AV231" s="12" t="s">
        <v>832</v>
      </c>
      <c r="AW231" s="12" t="s">
        <v>860</v>
      </c>
      <c r="AX231" s="12" t="s">
        <v>861</v>
      </c>
      <c r="AY231" s="12" t="s">
        <v>1164</v>
      </c>
      <c r="AZ231" s="12" t="s">
        <v>6627</v>
      </c>
      <c r="BA231" s="12" t="s">
        <v>6628</v>
      </c>
      <c r="BB231" s="12" t="s">
        <v>6629</v>
      </c>
      <c r="BC231" s="12" t="s">
        <v>866</v>
      </c>
      <c r="BD231" s="12" t="s">
        <v>867</v>
      </c>
      <c r="BE231" s="12" t="s">
        <v>868</v>
      </c>
      <c r="BF231" s="12" t="s">
        <v>869</v>
      </c>
      <c r="BG231" s="12" t="s">
        <v>870</v>
      </c>
      <c r="BH231" s="12" t="s">
        <v>841</v>
      </c>
      <c r="BI231" s="12" t="s">
        <v>871</v>
      </c>
      <c r="BJ231" s="12" t="s">
        <v>841</v>
      </c>
      <c r="BK231" s="12" t="s">
        <v>841</v>
      </c>
      <c r="BL231" s="12" t="s">
        <v>872</v>
      </c>
      <c r="BM231" s="12" t="s">
        <v>873</v>
      </c>
      <c r="BN231" s="12" t="s">
        <v>866</v>
      </c>
      <c r="BO231" s="12" t="s">
        <v>874</v>
      </c>
      <c r="BP231" s="12" t="s">
        <v>875</v>
      </c>
      <c r="BQ231" s="12" t="s">
        <v>876</v>
      </c>
      <c r="BR231" s="12" t="s">
        <v>869</v>
      </c>
      <c r="BS231" s="12" t="s">
        <v>869</v>
      </c>
      <c r="BT231" s="12" t="s">
        <v>877</v>
      </c>
      <c r="BU231" s="12" t="s">
        <v>877</v>
      </c>
      <c r="BV231" s="12" t="s">
        <v>877</v>
      </c>
      <c r="BW231" s="12" t="s">
        <v>841</v>
      </c>
      <c r="BX231" s="12" t="s">
        <v>878</v>
      </c>
      <c r="BY231" s="12" t="s">
        <v>841</v>
      </c>
      <c r="BZ231" s="12" t="s">
        <v>841</v>
      </c>
      <c r="CA231" s="12" t="s">
        <v>841</v>
      </c>
      <c r="CB231" s="12" t="s">
        <v>841</v>
      </c>
      <c r="CC231" s="12" t="s">
        <v>6630</v>
      </c>
      <c r="CD231" s="12" t="s">
        <v>6631</v>
      </c>
      <c r="CE231" s="12" t="s">
        <v>6632</v>
      </c>
      <c r="CF231" s="12" t="s">
        <v>6633</v>
      </c>
      <c r="CG231" s="12" t="s">
        <v>6634</v>
      </c>
      <c r="CH231" s="12" t="s">
        <v>6635</v>
      </c>
      <c r="CI231" s="12" t="s">
        <v>6636</v>
      </c>
      <c r="CJ231" s="12" t="s">
        <v>6637</v>
      </c>
      <c r="CK231" s="12" t="s">
        <v>6616</v>
      </c>
      <c r="CL231" s="12" t="s">
        <v>1324</v>
      </c>
      <c r="CM231" s="12" t="s">
        <v>888</v>
      </c>
      <c r="CN231" s="12" t="s">
        <v>841</v>
      </c>
      <c r="CO231" s="12" t="s">
        <v>847</v>
      </c>
      <c r="CP231" s="12" t="s">
        <v>889</v>
      </c>
      <c r="CQ231" s="12" t="s">
        <v>890</v>
      </c>
      <c r="CR231" s="12" t="s">
        <v>847</v>
      </c>
      <c r="CS231" s="12" t="s">
        <v>891</v>
      </c>
      <c r="CT231" s="12" t="s">
        <v>892</v>
      </c>
      <c r="CU231" s="12" t="s">
        <v>893</v>
      </c>
      <c r="CV231" s="12" t="s">
        <v>841</v>
      </c>
      <c r="CW231" s="12" t="s">
        <v>6615</v>
      </c>
      <c r="CX231" s="12" t="s">
        <v>894</v>
      </c>
      <c r="CY231" s="12" t="s">
        <v>895</v>
      </c>
      <c r="CZ231" s="12" t="s">
        <v>896</v>
      </c>
      <c r="DA231" s="12" t="s">
        <v>897</v>
      </c>
      <c r="DB231" s="12" t="s">
        <v>898</v>
      </c>
      <c r="DC231" s="12" t="s">
        <v>899</v>
      </c>
    </row>
    <row r="232">
      <c r="A232" s="12" t="s">
        <v>900</v>
      </c>
      <c r="B232" s="12" t="s">
        <v>631</v>
      </c>
      <c r="C232" s="12" t="s">
        <v>366</v>
      </c>
      <c r="D232" s="12" t="s">
        <v>833</v>
      </c>
      <c r="E232" s="12" t="s">
        <v>834</v>
      </c>
      <c r="F232" s="12"/>
      <c r="G232" s="12" t="s">
        <v>350</v>
      </c>
      <c r="H232" s="12" t="s">
        <v>351</v>
      </c>
      <c r="I232" s="12"/>
      <c r="J232" s="43">
        <f t="shared" si="1"/>
        <v>0.01547223956</v>
      </c>
      <c r="K232" s="43">
        <f t="shared" si="2"/>
        <v>2.909022</v>
      </c>
      <c r="L232" s="43">
        <f t="shared" si="3"/>
        <v>0.0153903826</v>
      </c>
      <c r="M232" s="43">
        <f t="shared" si="4"/>
        <v>0.6219227443</v>
      </c>
      <c r="N232" s="12" t="s">
        <v>6638</v>
      </c>
      <c r="O232" s="12" t="s">
        <v>6639</v>
      </c>
      <c r="P232" s="43">
        <f t="shared" si="5"/>
        <v>4.723971213</v>
      </c>
      <c r="Q232" s="43">
        <f t="shared" si="6"/>
        <v>3.854824213</v>
      </c>
      <c r="R232" s="12" t="s">
        <v>6640</v>
      </c>
      <c r="S232" s="12" t="s">
        <v>6641</v>
      </c>
      <c r="T232" s="43">
        <f t="shared" si="7"/>
        <v>48.1105124</v>
      </c>
      <c r="U232" s="43">
        <f t="shared" si="8"/>
        <v>0.4417875</v>
      </c>
      <c r="V232" s="12" t="s">
        <v>839</v>
      </c>
      <c r="W232" s="12" t="s">
        <v>6642</v>
      </c>
      <c r="X232" s="12" t="s">
        <v>841</v>
      </c>
      <c r="Y232" s="12" t="s">
        <v>841</v>
      </c>
      <c r="Z232" s="12" t="s">
        <v>841</v>
      </c>
      <c r="AA232" s="12" t="s">
        <v>6643</v>
      </c>
      <c r="AB232" s="12" t="s">
        <v>6644</v>
      </c>
      <c r="AC232" s="12" t="s">
        <v>6645</v>
      </c>
      <c r="AD232" s="12" t="s">
        <v>845</v>
      </c>
      <c r="AE232" s="12" t="s">
        <v>846</v>
      </c>
      <c r="AF232" s="43">
        <f t="shared" si="9"/>
        <v>15.8081212</v>
      </c>
      <c r="AG232" s="12" t="s">
        <v>847</v>
      </c>
      <c r="AH232" s="12" t="s">
        <v>6046</v>
      </c>
      <c r="AI232" s="12" t="s">
        <v>6646</v>
      </c>
      <c r="AJ232" s="12" t="s">
        <v>6647</v>
      </c>
      <c r="AK232" s="12" t="s">
        <v>6648</v>
      </c>
      <c r="AL232" s="43">
        <f t="shared" si="10"/>
        <v>31.81</v>
      </c>
      <c r="AM232" s="12" t="s">
        <v>6622</v>
      </c>
      <c r="AN232" s="12" t="s">
        <v>1072</v>
      </c>
      <c r="AO232" s="12" t="s">
        <v>6649</v>
      </c>
      <c r="AP232" s="12" t="s">
        <v>2357</v>
      </c>
      <c r="AQ232" s="12" t="s">
        <v>6650</v>
      </c>
      <c r="AR232" s="12" t="s">
        <v>6651</v>
      </c>
      <c r="AS232" s="12" t="s">
        <v>6625</v>
      </c>
      <c r="AT232" s="12" t="s">
        <v>366</v>
      </c>
      <c r="AU232" s="12" t="s">
        <v>6626</v>
      </c>
      <c r="AV232" s="12" t="s">
        <v>832</v>
      </c>
      <c r="AW232" s="12" t="s">
        <v>1286</v>
      </c>
      <c r="AX232" s="12" t="s">
        <v>868</v>
      </c>
      <c r="AY232" s="12" t="s">
        <v>868</v>
      </c>
      <c r="AZ232" s="12" t="s">
        <v>6652</v>
      </c>
      <c r="BA232" s="12" t="s">
        <v>868</v>
      </c>
      <c r="BB232" s="12" t="s">
        <v>868</v>
      </c>
      <c r="BC232" s="12" t="s">
        <v>866</v>
      </c>
      <c r="BD232" s="12" t="s">
        <v>867</v>
      </c>
      <c r="BE232" s="12" t="s">
        <v>868</v>
      </c>
      <c r="BF232" s="12" t="s">
        <v>869</v>
      </c>
      <c r="BG232" s="12" t="s">
        <v>870</v>
      </c>
      <c r="BH232" s="12" t="s">
        <v>841</v>
      </c>
      <c r="BI232" s="12" t="s">
        <v>871</v>
      </c>
      <c r="BJ232" s="12" t="s">
        <v>841</v>
      </c>
      <c r="BK232" s="12" t="s">
        <v>841</v>
      </c>
      <c r="BL232" s="12" t="s">
        <v>872</v>
      </c>
      <c r="BM232" s="12" t="s">
        <v>873</v>
      </c>
      <c r="BN232" s="12" t="s">
        <v>866</v>
      </c>
      <c r="BO232" s="12" t="s">
        <v>874</v>
      </c>
      <c r="BP232" s="12" t="s">
        <v>875</v>
      </c>
      <c r="BQ232" s="12" t="s">
        <v>876</v>
      </c>
      <c r="BR232" s="12" t="s">
        <v>869</v>
      </c>
      <c r="BS232" s="12" t="s">
        <v>869</v>
      </c>
      <c r="BT232" s="12" t="s">
        <v>877</v>
      </c>
      <c r="BU232" s="12" t="s">
        <v>877</v>
      </c>
      <c r="BV232" s="12" t="s">
        <v>877</v>
      </c>
      <c r="BW232" s="12" t="s">
        <v>841</v>
      </c>
      <c r="BX232" s="12" t="s">
        <v>878</v>
      </c>
      <c r="BY232" s="12" t="s">
        <v>841</v>
      </c>
      <c r="BZ232" s="12" t="s">
        <v>841</v>
      </c>
      <c r="CA232" s="12" t="s">
        <v>841</v>
      </c>
      <c r="CB232" s="12" t="s">
        <v>841</v>
      </c>
      <c r="CC232" s="12" t="s">
        <v>6653</v>
      </c>
      <c r="CD232" s="12" t="s">
        <v>6654</v>
      </c>
      <c r="CE232" s="12" t="s">
        <v>6655</v>
      </c>
      <c r="CF232" s="12" t="s">
        <v>6656</v>
      </c>
      <c r="CG232" s="12" t="s">
        <v>6657</v>
      </c>
      <c r="CH232" s="12" t="s">
        <v>6658</v>
      </c>
      <c r="CI232" s="12" t="s">
        <v>6659</v>
      </c>
      <c r="CJ232" s="12" t="s">
        <v>6660</v>
      </c>
      <c r="CK232" s="12" t="s">
        <v>6643</v>
      </c>
      <c r="CL232" s="12" t="s">
        <v>2231</v>
      </c>
      <c r="CM232" s="12" t="s">
        <v>888</v>
      </c>
      <c r="CN232" s="12" t="s">
        <v>841</v>
      </c>
      <c r="CO232" s="12" t="s">
        <v>847</v>
      </c>
      <c r="CP232" s="12" t="s">
        <v>889</v>
      </c>
      <c r="CQ232" s="12" t="s">
        <v>890</v>
      </c>
      <c r="CR232" s="12" t="s">
        <v>847</v>
      </c>
      <c r="CS232" s="12" t="s">
        <v>891</v>
      </c>
      <c r="CT232" s="12" t="s">
        <v>892</v>
      </c>
      <c r="CU232" s="12" t="s">
        <v>893</v>
      </c>
      <c r="CV232" s="12" t="s">
        <v>841</v>
      </c>
      <c r="CW232" s="12" t="s">
        <v>6642</v>
      </c>
      <c r="CX232" s="12" t="s">
        <v>894</v>
      </c>
      <c r="CY232" s="12" t="s">
        <v>895</v>
      </c>
      <c r="CZ232" s="12" t="s">
        <v>896</v>
      </c>
      <c r="DA232" s="12" t="s">
        <v>897</v>
      </c>
      <c r="DB232" s="12" t="s">
        <v>898</v>
      </c>
      <c r="DC232" s="12" t="s">
        <v>899</v>
      </c>
    </row>
    <row r="233">
      <c r="A233" s="12" t="s">
        <v>934</v>
      </c>
      <c r="B233" s="12" t="s">
        <v>632</v>
      </c>
      <c r="C233" s="12" t="s">
        <v>366</v>
      </c>
      <c r="D233" s="12" t="s">
        <v>833</v>
      </c>
      <c r="E233" s="12" t="s">
        <v>834</v>
      </c>
      <c r="F233" s="12"/>
      <c r="G233" s="12" t="s">
        <v>350</v>
      </c>
      <c r="H233" s="12" t="s">
        <v>351</v>
      </c>
      <c r="I233" s="12"/>
      <c r="J233" s="43">
        <f t="shared" si="1"/>
        <v>0.008005449737</v>
      </c>
      <c r="K233" s="43">
        <f t="shared" si="2"/>
        <v>2.90981592</v>
      </c>
      <c r="L233" s="43">
        <f t="shared" si="3"/>
        <v>0.007983485669</v>
      </c>
      <c r="M233" s="43">
        <f t="shared" si="4"/>
        <v>0.3156446672</v>
      </c>
      <c r="N233" s="12" t="s">
        <v>6661</v>
      </c>
      <c r="O233" s="12" t="s">
        <v>6662</v>
      </c>
      <c r="P233" s="43">
        <f t="shared" si="5"/>
        <v>4.617921588</v>
      </c>
      <c r="Q233" s="43">
        <f t="shared" si="6"/>
        <v>3.774229588</v>
      </c>
      <c r="R233" s="12" t="s">
        <v>6663</v>
      </c>
      <c r="S233" s="12" t="s">
        <v>6664</v>
      </c>
      <c r="T233" s="43">
        <f t="shared" si="7"/>
        <v>47.03046734</v>
      </c>
      <c r="U233" s="43">
        <f t="shared" si="8"/>
        <v>0.4417875</v>
      </c>
      <c r="V233" s="12" t="s">
        <v>839</v>
      </c>
      <c r="W233" s="12" t="s">
        <v>6665</v>
      </c>
      <c r="X233" s="12" t="s">
        <v>841</v>
      </c>
      <c r="Y233" s="12" t="s">
        <v>841</v>
      </c>
      <c r="Z233" s="12" t="s">
        <v>841</v>
      </c>
      <c r="AA233" s="12" t="s">
        <v>6666</v>
      </c>
      <c r="AB233" s="12" t="s">
        <v>6667</v>
      </c>
      <c r="AC233" s="12" t="s">
        <v>6668</v>
      </c>
      <c r="AD233" s="12" t="s">
        <v>845</v>
      </c>
      <c r="AE233" s="12" t="s">
        <v>846</v>
      </c>
      <c r="AF233" s="43">
        <f t="shared" si="9"/>
        <v>14.7657968</v>
      </c>
      <c r="AG233" s="12" t="s">
        <v>847</v>
      </c>
      <c r="AH233" s="12" t="s">
        <v>6669</v>
      </c>
      <c r="AI233" s="12" t="s">
        <v>6670</v>
      </c>
      <c r="AJ233" s="12" t="s">
        <v>6671</v>
      </c>
      <c r="AK233" s="12" t="s">
        <v>6672</v>
      </c>
      <c r="AL233" s="43">
        <f t="shared" si="10"/>
        <v>31.41</v>
      </c>
      <c r="AM233" s="12" t="s">
        <v>6622</v>
      </c>
      <c r="AN233" s="12" t="s">
        <v>914</v>
      </c>
      <c r="AO233" s="12" t="s">
        <v>6673</v>
      </c>
      <c r="AP233" s="12" t="s">
        <v>2412</v>
      </c>
      <c r="AQ233" s="12" t="s">
        <v>2512</v>
      </c>
      <c r="AR233" s="12" t="s">
        <v>6674</v>
      </c>
      <c r="AS233" s="12" t="s">
        <v>6625</v>
      </c>
      <c r="AT233" s="12" t="s">
        <v>366</v>
      </c>
      <c r="AU233" s="12" t="s">
        <v>6626</v>
      </c>
      <c r="AV233" s="12" t="s">
        <v>832</v>
      </c>
      <c r="AW233" s="12" t="s">
        <v>1286</v>
      </c>
      <c r="AX233" s="12" t="s">
        <v>868</v>
      </c>
      <c r="AY233" s="12" t="s">
        <v>868</v>
      </c>
      <c r="AZ233" s="12" t="s">
        <v>6675</v>
      </c>
      <c r="BA233" s="12" t="s">
        <v>868</v>
      </c>
      <c r="BB233" s="12" t="s">
        <v>868</v>
      </c>
      <c r="BC233" s="12" t="s">
        <v>866</v>
      </c>
      <c r="BD233" s="12" t="s">
        <v>867</v>
      </c>
      <c r="BE233" s="12" t="s">
        <v>868</v>
      </c>
      <c r="BF233" s="12" t="s">
        <v>869</v>
      </c>
      <c r="BG233" s="12" t="s">
        <v>870</v>
      </c>
      <c r="BH233" s="12" t="s">
        <v>841</v>
      </c>
      <c r="BI233" s="12" t="s">
        <v>871</v>
      </c>
      <c r="BJ233" s="12" t="s">
        <v>841</v>
      </c>
      <c r="BK233" s="12" t="s">
        <v>841</v>
      </c>
      <c r="BL233" s="12" t="s">
        <v>872</v>
      </c>
      <c r="BM233" s="12" t="s">
        <v>873</v>
      </c>
      <c r="BN233" s="12" t="s">
        <v>866</v>
      </c>
      <c r="BO233" s="12" t="s">
        <v>874</v>
      </c>
      <c r="BP233" s="12" t="s">
        <v>875</v>
      </c>
      <c r="BQ233" s="12" t="s">
        <v>876</v>
      </c>
      <c r="BR233" s="12" t="s">
        <v>869</v>
      </c>
      <c r="BS233" s="12" t="s">
        <v>869</v>
      </c>
      <c r="BT233" s="12" t="s">
        <v>877</v>
      </c>
      <c r="BU233" s="12" t="s">
        <v>877</v>
      </c>
      <c r="BV233" s="12" t="s">
        <v>877</v>
      </c>
      <c r="BW233" s="12" t="s">
        <v>841</v>
      </c>
      <c r="BX233" s="12" t="s">
        <v>878</v>
      </c>
      <c r="BY233" s="12" t="s">
        <v>841</v>
      </c>
      <c r="BZ233" s="12" t="s">
        <v>841</v>
      </c>
      <c r="CA233" s="12" t="s">
        <v>841</v>
      </c>
      <c r="CB233" s="12" t="s">
        <v>841</v>
      </c>
      <c r="CC233" s="12" t="s">
        <v>6676</v>
      </c>
      <c r="CD233" s="12" t="s">
        <v>6677</v>
      </c>
      <c r="CE233" s="12" t="s">
        <v>6678</v>
      </c>
      <c r="CF233" s="12" t="s">
        <v>6679</v>
      </c>
      <c r="CG233" s="12" t="s">
        <v>6680</v>
      </c>
      <c r="CH233" s="12" t="s">
        <v>6681</v>
      </c>
      <c r="CI233" s="12" t="s">
        <v>6682</v>
      </c>
      <c r="CJ233" s="12" t="s">
        <v>6683</v>
      </c>
      <c r="CK233" s="12" t="s">
        <v>6666</v>
      </c>
      <c r="CL233" s="12" t="s">
        <v>933</v>
      </c>
      <c r="CM233" s="12" t="s">
        <v>888</v>
      </c>
      <c r="CN233" s="12" t="s">
        <v>841</v>
      </c>
      <c r="CO233" s="12" t="s">
        <v>847</v>
      </c>
      <c r="CP233" s="12" t="s">
        <v>889</v>
      </c>
      <c r="CQ233" s="12" t="s">
        <v>890</v>
      </c>
      <c r="CR233" s="12" t="s">
        <v>847</v>
      </c>
      <c r="CS233" s="12" t="s">
        <v>891</v>
      </c>
      <c r="CT233" s="12" t="s">
        <v>892</v>
      </c>
      <c r="CU233" s="12" t="s">
        <v>893</v>
      </c>
      <c r="CV233" s="12" t="s">
        <v>841</v>
      </c>
      <c r="CW233" s="12" t="s">
        <v>6665</v>
      </c>
      <c r="CX233" s="12" t="s">
        <v>894</v>
      </c>
      <c r="CY233" s="12" t="s">
        <v>895</v>
      </c>
      <c r="CZ233" s="12" t="s">
        <v>896</v>
      </c>
      <c r="DA233" s="12" t="s">
        <v>897</v>
      </c>
      <c r="DB233" s="12" t="s">
        <v>898</v>
      </c>
      <c r="DC233" s="12" t="s">
        <v>899</v>
      </c>
    </row>
    <row r="234">
      <c r="A234" s="12" t="s">
        <v>968</v>
      </c>
      <c r="B234" s="12" t="s">
        <v>633</v>
      </c>
      <c r="C234" s="12" t="s">
        <v>366</v>
      </c>
      <c r="D234" s="12" t="s">
        <v>833</v>
      </c>
      <c r="E234" s="12" t="s">
        <v>834</v>
      </c>
      <c r="F234" s="12"/>
      <c r="G234" s="12" t="s">
        <v>350</v>
      </c>
      <c r="H234" s="12" t="s">
        <v>455</v>
      </c>
      <c r="I234" s="12"/>
      <c r="J234" s="43">
        <f t="shared" si="1"/>
        <v>0.01450878483</v>
      </c>
      <c r="K234" s="43">
        <f t="shared" si="2"/>
        <v>2.90981592</v>
      </c>
      <c r="L234" s="43">
        <f t="shared" si="3"/>
        <v>0.01443680075</v>
      </c>
      <c r="M234" s="43">
        <f t="shared" si="4"/>
        <v>0.8231526031</v>
      </c>
      <c r="N234" s="12" t="s">
        <v>6684</v>
      </c>
      <c r="O234" s="12" t="s">
        <v>6685</v>
      </c>
      <c r="P234" s="43">
        <f t="shared" si="5"/>
        <v>6.311764723</v>
      </c>
      <c r="Q234" s="43">
        <f t="shared" si="6"/>
        <v>5.392396723</v>
      </c>
      <c r="R234" s="12" t="s">
        <v>6686</v>
      </c>
      <c r="S234" s="12" t="s">
        <v>6687</v>
      </c>
      <c r="T234" s="43">
        <f t="shared" si="7"/>
        <v>64.28113578</v>
      </c>
      <c r="U234" s="43">
        <f t="shared" si="8"/>
        <v>0.4417875</v>
      </c>
      <c r="V234" s="12" t="s">
        <v>839</v>
      </c>
      <c r="W234" s="12" t="s">
        <v>6688</v>
      </c>
      <c r="X234" s="12" t="s">
        <v>841</v>
      </c>
      <c r="Y234" s="12" t="s">
        <v>841</v>
      </c>
      <c r="Z234" s="12" t="s">
        <v>841</v>
      </c>
      <c r="AA234" s="12" t="s">
        <v>6689</v>
      </c>
      <c r="AB234" s="12" t="s">
        <v>6690</v>
      </c>
      <c r="AC234" s="12" t="s">
        <v>6691</v>
      </c>
      <c r="AD234" s="12" t="s">
        <v>845</v>
      </c>
      <c r="AE234" s="12" t="s">
        <v>846</v>
      </c>
      <c r="AF234" s="43">
        <f t="shared" si="9"/>
        <v>78.338178</v>
      </c>
      <c r="AG234" s="12" t="s">
        <v>847</v>
      </c>
      <c r="AH234" s="12" t="s">
        <v>6287</v>
      </c>
      <c r="AI234" s="12" t="s">
        <v>6692</v>
      </c>
      <c r="AJ234" s="12" t="s">
        <v>4086</v>
      </c>
      <c r="AK234" s="12" t="s">
        <v>6693</v>
      </c>
      <c r="AL234" s="43">
        <f t="shared" si="10"/>
        <v>37.02</v>
      </c>
      <c r="AM234" s="12" t="s">
        <v>6622</v>
      </c>
      <c r="AN234" s="12" t="s">
        <v>914</v>
      </c>
      <c r="AO234" s="12" t="s">
        <v>6694</v>
      </c>
      <c r="AP234" s="12" t="s">
        <v>6695</v>
      </c>
      <c r="AQ234" s="12" t="s">
        <v>6696</v>
      </c>
      <c r="AR234" s="12" t="s">
        <v>6674</v>
      </c>
      <c r="AS234" s="12" t="s">
        <v>6625</v>
      </c>
      <c r="AT234" s="12" t="s">
        <v>366</v>
      </c>
      <c r="AU234" s="12" t="s">
        <v>6626</v>
      </c>
      <c r="AV234" s="12" t="s">
        <v>832</v>
      </c>
      <c r="AW234" s="12" t="s">
        <v>1286</v>
      </c>
      <c r="AX234" s="12" t="s">
        <v>868</v>
      </c>
      <c r="AY234" s="12" t="s">
        <v>868</v>
      </c>
      <c r="AZ234" s="12" t="s">
        <v>6697</v>
      </c>
      <c r="BA234" s="12" t="s">
        <v>868</v>
      </c>
      <c r="BB234" s="12" t="s">
        <v>868</v>
      </c>
      <c r="BC234" s="12" t="s">
        <v>866</v>
      </c>
      <c r="BD234" s="12" t="s">
        <v>867</v>
      </c>
      <c r="BE234" s="12" t="s">
        <v>868</v>
      </c>
      <c r="BF234" s="12" t="s">
        <v>869</v>
      </c>
      <c r="BG234" s="12" t="s">
        <v>870</v>
      </c>
      <c r="BH234" s="12" t="s">
        <v>841</v>
      </c>
      <c r="BI234" s="12" t="s">
        <v>871</v>
      </c>
      <c r="BJ234" s="12" t="s">
        <v>841</v>
      </c>
      <c r="BK234" s="12" t="s">
        <v>841</v>
      </c>
      <c r="BL234" s="12" t="s">
        <v>872</v>
      </c>
      <c r="BM234" s="12" t="s">
        <v>873</v>
      </c>
      <c r="BN234" s="12" t="s">
        <v>866</v>
      </c>
      <c r="BO234" s="12" t="s">
        <v>874</v>
      </c>
      <c r="BP234" s="12" t="s">
        <v>875</v>
      </c>
      <c r="BQ234" s="12" t="s">
        <v>876</v>
      </c>
      <c r="BR234" s="12" t="s">
        <v>869</v>
      </c>
      <c r="BS234" s="12" t="s">
        <v>869</v>
      </c>
      <c r="BT234" s="12" t="s">
        <v>877</v>
      </c>
      <c r="BU234" s="12" t="s">
        <v>877</v>
      </c>
      <c r="BV234" s="12" t="s">
        <v>877</v>
      </c>
      <c r="BW234" s="12" t="s">
        <v>841</v>
      </c>
      <c r="BX234" s="12" t="s">
        <v>878</v>
      </c>
      <c r="BY234" s="12" t="s">
        <v>841</v>
      </c>
      <c r="BZ234" s="12" t="s">
        <v>841</v>
      </c>
      <c r="CA234" s="12" t="s">
        <v>841</v>
      </c>
      <c r="CB234" s="12" t="s">
        <v>841</v>
      </c>
      <c r="CC234" s="12" t="s">
        <v>6698</v>
      </c>
      <c r="CD234" s="12" t="s">
        <v>6699</v>
      </c>
      <c r="CE234" s="12" t="s">
        <v>6700</v>
      </c>
      <c r="CF234" s="12" t="s">
        <v>6701</v>
      </c>
      <c r="CG234" s="12" t="s">
        <v>6702</v>
      </c>
      <c r="CH234" s="12" t="s">
        <v>6703</v>
      </c>
      <c r="CI234" s="12" t="s">
        <v>6704</v>
      </c>
      <c r="CJ234" s="12" t="s">
        <v>6705</v>
      </c>
      <c r="CK234" s="12" t="s">
        <v>6706</v>
      </c>
      <c r="CL234" s="12" t="s">
        <v>887</v>
      </c>
      <c r="CM234" s="12" t="s">
        <v>888</v>
      </c>
      <c r="CN234" s="12" t="s">
        <v>841</v>
      </c>
      <c r="CO234" s="12" t="s">
        <v>847</v>
      </c>
      <c r="CP234" s="12" t="s">
        <v>889</v>
      </c>
      <c r="CQ234" s="12" t="s">
        <v>890</v>
      </c>
      <c r="CR234" s="12" t="s">
        <v>847</v>
      </c>
      <c r="CS234" s="12" t="s">
        <v>891</v>
      </c>
      <c r="CT234" s="12" t="s">
        <v>892</v>
      </c>
      <c r="CU234" s="12" t="s">
        <v>893</v>
      </c>
      <c r="CV234" s="12" t="s">
        <v>841</v>
      </c>
      <c r="CW234" s="12" t="s">
        <v>6688</v>
      </c>
      <c r="CX234" s="12" t="s">
        <v>894</v>
      </c>
      <c r="CY234" s="12" t="s">
        <v>895</v>
      </c>
      <c r="CZ234" s="12" t="s">
        <v>896</v>
      </c>
      <c r="DA234" s="12" t="s">
        <v>897</v>
      </c>
      <c r="DB234" s="12" t="s">
        <v>898</v>
      </c>
      <c r="DC234" s="12" t="s">
        <v>899</v>
      </c>
    </row>
    <row r="235">
      <c r="A235" s="12" t="s">
        <v>997</v>
      </c>
      <c r="B235" s="12" t="s">
        <v>634</v>
      </c>
      <c r="C235" s="12" t="s">
        <v>366</v>
      </c>
      <c r="D235" s="12" t="s">
        <v>833</v>
      </c>
      <c r="E235" s="12" t="s">
        <v>834</v>
      </c>
      <c r="F235" s="12"/>
      <c r="G235" s="12" t="s">
        <v>350</v>
      </c>
      <c r="H235" s="12" t="s">
        <v>455</v>
      </c>
      <c r="I235" s="12"/>
      <c r="J235" s="43">
        <f t="shared" si="1"/>
        <v>0.01429102634</v>
      </c>
      <c r="K235" s="43">
        <f t="shared" si="2"/>
        <v>2.909022</v>
      </c>
      <c r="L235" s="43">
        <f t="shared" si="3"/>
        <v>0.01422116266</v>
      </c>
      <c r="M235" s="43">
        <f t="shared" si="4"/>
        <v>0.5960997689</v>
      </c>
      <c r="N235" s="12" t="s">
        <v>6707</v>
      </c>
      <c r="O235" s="12" t="s">
        <v>6708</v>
      </c>
      <c r="P235" s="43">
        <f t="shared" si="5"/>
        <v>4.884263492</v>
      </c>
      <c r="Q235" s="43">
        <f t="shared" si="6"/>
        <v>3.994732492</v>
      </c>
      <c r="R235" s="12" t="s">
        <v>6709</v>
      </c>
      <c r="S235" s="12" t="s">
        <v>6710</v>
      </c>
      <c r="T235" s="43">
        <f t="shared" si="7"/>
        <v>49.74298291</v>
      </c>
      <c r="U235" s="43">
        <f t="shared" si="8"/>
        <v>0.4417875</v>
      </c>
      <c r="V235" s="12" t="s">
        <v>839</v>
      </c>
      <c r="W235" s="12" t="s">
        <v>6711</v>
      </c>
      <c r="X235" s="12" t="s">
        <v>841</v>
      </c>
      <c r="Y235" s="12" t="s">
        <v>841</v>
      </c>
      <c r="Z235" s="12" t="s">
        <v>841</v>
      </c>
      <c r="AA235" s="12" t="s">
        <v>6712</v>
      </c>
      <c r="AB235" s="12" t="s">
        <v>6713</v>
      </c>
      <c r="AC235" s="12" t="s">
        <v>6714</v>
      </c>
      <c r="AD235" s="12" t="s">
        <v>845</v>
      </c>
      <c r="AE235" s="12" t="s">
        <v>846</v>
      </c>
      <c r="AF235" s="43">
        <f t="shared" si="9"/>
        <v>309.022862</v>
      </c>
      <c r="AG235" s="12" t="s">
        <v>847</v>
      </c>
      <c r="AH235" s="12" t="s">
        <v>6715</v>
      </c>
      <c r="AI235" s="12" t="s">
        <v>6716</v>
      </c>
      <c r="AJ235" s="12" t="s">
        <v>6647</v>
      </c>
      <c r="AK235" s="12" t="s">
        <v>4111</v>
      </c>
      <c r="AL235" s="43">
        <f t="shared" si="10"/>
        <v>32.4</v>
      </c>
      <c r="AM235" s="12" t="s">
        <v>6622</v>
      </c>
      <c r="AN235" s="12" t="s">
        <v>1072</v>
      </c>
      <c r="AO235" s="12" t="s">
        <v>3753</v>
      </c>
      <c r="AP235" s="12" t="s">
        <v>6717</v>
      </c>
      <c r="AQ235" s="12" t="s">
        <v>6718</v>
      </c>
      <c r="AR235" s="12" t="s">
        <v>6674</v>
      </c>
      <c r="AS235" s="12" t="s">
        <v>6625</v>
      </c>
      <c r="AT235" s="12" t="s">
        <v>366</v>
      </c>
      <c r="AU235" s="12" t="s">
        <v>6626</v>
      </c>
      <c r="AV235" s="12" t="s">
        <v>832</v>
      </c>
      <c r="AW235" s="12" t="s">
        <v>1542</v>
      </c>
      <c r="AX235" s="12" t="s">
        <v>868</v>
      </c>
      <c r="AY235" s="12" t="s">
        <v>868</v>
      </c>
      <c r="AZ235" s="12" t="s">
        <v>6719</v>
      </c>
      <c r="BA235" s="12" t="s">
        <v>868</v>
      </c>
      <c r="BB235" s="12" t="s">
        <v>868</v>
      </c>
      <c r="BC235" s="12" t="s">
        <v>866</v>
      </c>
      <c r="BD235" s="12" t="s">
        <v>867</v>
      </c>
      <c r="BE235" s="12" t="s">
        <v>868</v>
      </c>
      <c r="BF235" s="12" t="s">
        <v>869</v>
      </c>
      <c r="BG235" s="12" t="s">
        <v>870</v>
      </c>
      <c r="BH235" s="12" t="s">
        <v>841</v>
      </c>
      <c r="BI235" s="12" t="s">
        <v>871</v>
      </c>
      <c r="BJ235" s="12" t="s">
        <v>841</v>
      </c>
      <c r="BK235" s="12" t="s">
        <v>841</v>
      </c>
      <c r="BL235" s="12" t="s">
        <v>872</v>
      </c>
      <c r="BM235" s="12" t="s">
        <v>873</v>
      </c>
      <c r="BN235" s="12" t="s">
        <v>866</v>
      </c>
      <c r="BO235" s="12" t="s">
        <v>874</v>
      </c>
      <c r="BP235" s="12" t="s">
        <v>875</v>
      </c>
      <c r="BQ235" s="12" t="s">
        <v>876</v>
      </c>
      <c r="BR235" s="12" t="s">
        <v>869</v>
      </c>
      <c r="BS235" s="12" t="s">
        <v>869</v>
      </c>
      <c r="BT235" s="12" t="s">
        <v>877</v>
      </c>
      <c r="BU235" s="12" t="s">
        <v>877</v>
      </c>
      <c r="BV235" s="12" t="s">
        <v>877</v>
      </c>
      <c r="BW235" s="12" t="s">
        <v>841</v>
      </c>
      <c r="BX235" s="12" t="s">
        <v>878</v>
      </c>
      <c r="BY235" s="12" t="s">
        <v>841</v>
      </c>
      <c r="BZ235" s="12" t="s">
        <v>841</v>
      </c>
      <c r="CA235" s="12" t="s">
        <v>841</v>
      </c>
      <c r="CB235" s="12" t="s">
        <v>841</v>
      </c>
      <c r="CC235" s="12" t="s">
        <v>6720</v>
      </c>
      <c r="CD235" s="12" t="s">
        <v>6721</v>
      </c>
      <c r="CE235" s="12" t="s">
        <v>6722</v>
      </c>
      <c r="CF235" s="12" t="s">
        <v>6723</v>
      </c>
      <c r="CG235" s="12" t="s">
        <v>6724</v>
      </c>
      <c r="CH235" s="12" t="s">
        <v>6725</v>
      </c>
      <c r="CI235" s="12" t="s">
        <v>6726</v>
      </c>
      <c r="CJ235" s="12" t="s">
        <v>6727</v>
      </c>
      <c r="CK235" s="12" t="s">
        <v>6712</v>
      </c>
      <c r="CL235" s="12" t="s">
        <v>967</v>
      </c>
      <c r="CM235" s="12" t="s">
        <v>888</v>
      </c>
      <c r="CN235" s="12" t="s">
        <v>841</v>
      </c>
      <c r="CO235" s="12" t="s">
        <v>847</v>
      </c>
      <c r="CP235" s="12" t="s">
        <v>889</v>
      </c>
      <c r="CQ235" s="12" t="s">
        <v>890</v>
      </c>
      <c r="CR235" s="12" t="s">
        <v>847</v>
      </c>
      <c r="CS235" s="12" t="s">
        <v>891</v>
      </c>
      <c r="CT235" s="12" t="s">
        <v>892</v>
      </c>
      <c r="CU235" s="12" t="s">
        <v>893</v>
      </c>
      <c r="CV235" s="12" t="s">
        <v>841</v>
      </c>
      <c r="CW235" s="12" t="s">
        <v>6711</v>
      </c>
      <c r="CX235" s="12" t="s">
        <v>894</v>
      </c>
      <c r="CY235" s="12" t="s">
        <v>895</v>
      </c>
      <c r="CZ235" s="12" t="s">
        <v>896</v>
      </c>
      <c r="DA235" s="12" t="s">
        <v>897</v>
      </c>
      <c r="DB235" s="12" t="s">
        <v>898</v>
      </c>
      <c r="DC235" s="12" t="s">
        <v>899</v>
      </c>
    </row>
    <row r="236">
      <c r="A236" s="12" t="s">
        <v>1029</v>
      </c>
      <c r="B236" s="12" t="s">
        <v>635</v>
      </c>
      <c r="C236" s="12" t="s">
        <v>366</v>
      </c>
      <c r="D236" s="12" t="s">
        <v>833</v>
      </c>
      <c r="E236" s="12" t="s">
        <v>834</v>
      </c>
      <c r="F236" s="12"/>
      <c r="G236" s="12" t="s">
        <v>350</v>
      </c>
      <c r="H236" s="12" t="s">
        <v>455</v>
      </c>
      <c r="I236" s="12"/>
      <c r="J236" s="43">
        <f t="shared" si="1"/>
        <v>0.00724730751</v>
      </c>
      <c r="K236" s="43">
        <f t="shared" si="2"/>
        <v>2.909022</v>
      </c>
      <c r="L236" s="43">
        <f t="shared" si="3"/>
        <v>0.007229297011</v>
      </c>
      <c r="M236" s="43">
        <f t="shared" si="4"/>
        <v>0.3650234708</v>
      </c>
      <c r="N236" s="12" t="s">
        <v>6728</v>
      </c>
      <c r="O236" s="12" t="s">
        <v>6729</v>
      </c>
      <c r="P236" s="43">
        <f t="shared" si="5"/>
        <v>5.657761771</v>
      </c>
      <c r="Q236" s="43">
        <f t="shared" si="6"/>
        <v>4.793169771</v>
      </c>
      <c r="R236" s="12" t="s">
        <v>6730</v>
      </c>
      <c r="S236" s="12" t="s">
        <v>6731</v>
      </c>
      <c r="T236" s="43">
        <f t="shared" si="7"/>
        <v>57.62054965</v>
      </c>
      <c r="U236" s="43">
        <f t="shared" si="8"/>
        <v>0.4417875</v>
      </c>
      <c r="V236" s="12" t="s">
        <v>839</v>
      </c>
      <c r="W236" s="12" t="s">
        <v>6732</v>
      </c>
      <c r="X236" s="12" t="s">
        <v>841</v>
      </c>
      <c r="Y236" s="12" t="s">
        <v>841</v>
      </c>
      <c r="Z236" s="12" t="s">
        <v>841</v>
      </c>
      <c r="AA236" s="12" t="s">
        <v>6733</v>
      </c>
      <c r="AB236" s="12" t="s">
        <v>6734</v>
      </c>
      <c r="AC236" s="12" t="s">
        <v>6735</v>
      </c>
      <c r="AD236" s="12" t="s">
        <v>845</v>
      </c>
      <c r="AE236" s="12" t="s">
        <v>846</v>
      </c>
      <c r="AF236" s="43">
        <f t="shared" si="9"/>
        <v>61.81656</v>
      </c>
      <c r="AG236" s="12" t="s">
        <v>847</v>
      </c>
      <c r="AH236" s="12" t="s">
        <v>5350</v>
      </c>
      <c r="AI236" s="12" t="s">
        <v>6736</v>
      </c>
      <c r="AJ236" s="12" t="s">
        <v>6620</v>
      </c>
      <c r="AK236" s="12" t="s">
        <v>6737</v>
      </c>
      <c r="AL236" s="43">
        <f t="shared" si="10"/>
        <v>35.03</v>
      </c>
      <c r="AM236" s="12" t="s">
        <v>6622</v>
      </c>
      <c r="AN236" s="12" t="s">
        <v>1072</v>
      </c>
      <c r="AO236" s="12" t="s">
        <v>6738</v>
      </c>
      <c r="AP236" s="12" t="s">
        <v>6739</v>
      </c>
      <c r="AQ236" s="12" t="s">
        <v>6740</v>
      </c>
      <c r="AR236" s="12" t="s">
        <v>6741</v>
      </c>
      <c r="AS236" s="12" t="s">
        <v>6625</v>
      </c>
      <c r="AT236" s="12" t="s">
        <v>366</v>
      </c>
      <c r="AU236" s="12" t="s">
        <v>6626</v>
      </c>
      <c r="AV236" s="12" t="s">
        <v>832</v>
      </c>
      <c r="AW236" s="12" t="s">
        <v>1286</v>
      </c>
      <c r="AX236" s="12" t="s">
        <v>868</v>
      </c>
      <c r="AY236" s="12" t="s">
        <v>868</v>
      </c>
      <c r="AZ236" s="12" t="s">
        <v>6742</v>
      </c>
      <c r="BA236" s="12" t="s">
        <v>868</v>
      </c>
      <c r="BB236" s="12" t="s">
        <v>868</v>
      </c>
      <c r="BC236" s="12" t="s">
        <v>866</v>
      </c>
      <c r="BD236" s="12" t="s">
        <v>867</v>
      </c>
      <c r="BE236" s="12" t="s">
        <v>868</v>
      </c>
      <c r="BF236" s="12" t="s">
        <v>869</v>
      </c>
      <c r="BG236" s="12" t="s">
        <v>870</v>
      </c>
      <c r="BH236" s="12" t="s">
        <v>841</v>
      </c>
      <c r="BI236" s="12" t="s">
        <v>871</v>
      </c>
      <c r="BJ236" s="12" t="s">
        <v>841</v>
      </c>
      <c r="BK236" s="12" t="s">
        <v>841</v>
      </c>
      <c r="BL236" s="12" t="s">
        <v>872</v>
      </c>
      <c r="BM236" s="12" t="s">
        <v>873</v>
      </c>
      <c r="BN236" s="12" t="s">
        <v>866</v>
      </c>
      <c r="BO236" s="12" t="s">
        <v>874</v>
      </c>
      <c r="BP236" s="12" t="s">
        <v>875</v>
      </c>
      <c r="BQ236" s="12" t="s">
        <v>876</v>
      </c>
      <c r="BR236" s="12" t="s">
        <v>869</v>
      </c>
      <c r="BS236" s="12" t="s">
        <v>869</v>
      </c>
      <c r="BT236" s="12" t="s">
        <v>877</v>
      </c>
      <c r="BU236" s="12" t="s">
        <v>877</v>
      </c>
      <c r="BV236" s="12" t="s">
        <v>877</v>
      </c>
      <c r="BW236" s="12" t="s">
        <v>841</v>
      </c>
      <c r="BX236" s="12" t="s">
        <v>878</v>
      </c>
      <c r="BY236" s="12" t="s">
        <v>841</v>
      </c>
      <c r="BZ236" s="12" t="s">
        <v>841</v>
      </c>
      <c r="CA236" s="12" t="s">
        <v>841</v>
      </c>
      <c r="CB236" s="12" t="s">
        <v>841</v>
      </c>
      <c r="CC236" s="12" t="s">
        <v>6743</v>
      </c>
      <c r="CD236" s="12" t="s">
        <v>6744</v>
      </c>
      <c r="CE236" s="12" t="s">
        <v>1761</v>
      </c>
      <c r="CF236" s="12" t="s">
        <v>6745</v>
      </c>
      <c r="CG236" s="12" t="s">
        <v>6746</v>
      </c>
      <c r="CH236" s="12" t="s">
        <v>6747</v>
      </c>
      <c r="CI236" s="12" t="s">
        <v>6748</v>
      </c>
      <c r="CJ236" s="12" t="s">
        <v>6749</v>
      </c>
      <c r="CK236" s="12" t="s">
        <v>6733</v>
      </c>
      <c r="CL236" s="12" t="s">
        <v>1997</v>
      </c>
      <c r="CM236" s="12" t="s">
        <v>888</v>
      </c>
      <c r="CN236" s="12" t="s">
        <v>841</v>
      </c>
      <c r="CO236" s="12" t="s">
        <v>847</v>
      </c>
      <c r="CP236" s="12" t="s">
        <v>889</v>
      </c>
      <c r="CQ236" s="12" t="s">
        <v>890</v>
      </c>
      <c r="CR236" s="12" t="s">
        <v>847</v>
      </c>
      <c r="CS236" s="12" t="s">
        <v>891</v>
      </c>
      <c r="CT236" s="12" t="s">
        <v>892</v>
      </c>
      <c r="CU236" s="12" t="s">
        <v>893</v>
      </c>
      <c r="CV236" s="12" t="s">
        <v>841</v>
      </c>
      <c r="CW236" s="12" t="s">
        <v>6732</v>
      </c>
      <c r="CX236" s="12" t="s">
        <v>894</v>
      </c>
      <c r="CY236" s="12" t="s">
        <v>895</v>
      </c>
      <c r="CZ236" s="12" t="s">
        <v>896</v>
      </c>
      <c r="DA236" s="12" t="s">
        <v>897</v>
      </c>
      <c r="DB236" s="12" t="s">
        <v>898</v>
      </c>
      <c r="DC236" s="12" t="s">
        <v>899</v>
      </c>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c r="CV476" s="12"/>
      <c r="CW476" s="12"/>
      <c r="CX476" s="12"/>
      <c r="CY476" s="12"/>
      <c r="CZ476" s="12"/>
      <c r="DA476" s="12"/>
      <c r="DB476" s="12"/>
      <c r="DC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c r="DB477" s="12"/>
      <c r="DC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c r="DB503" s="12"/>
      <c r="DC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c r="CN526" s="12"/>
      <c r="CO526" s="12"/>
      <c r="CP526" s="12"/>
      <c r="CQ526" s="12"/>
      <c r="CR526" s="12"/>
      <c r="CS526" s="12"/>
      <c r="CT526" s="12"/>
      <c r="CU526" s="12"/>
      <c r="CV526" s="12"/>
      <c r="CW526" s="12"/>
      <c r="CX526" s="12"/>
      <c r="CY526" s="12"/>
      <c r="CZ526" s="12"/>
      <c r="DA526" s="12"/>
      <c r="DB526" s="12"/>
      <c r="DC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c r="DB527" s="12"/>
      <c r="DC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c r="DB537" s="12"/>
      <c r="DC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c r="DB540" s="12"/>
      <c r="DC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c r="CN546" s="12"/>
      <c r="CO546" s="12"/>
      <c r="CP546" s="12"/>
      <c r="CQ546" s="12"/>
      <c r="CR546" s="12"/>
      <c r="CS546" s="12"/>
      <c r="CT546" s="12"/>
      <c r="CU546" s="12"/>
      <c r="CV546" s="12"/>
      <c r="CW546" s="12"/>
      <c r="CX546" s="12"/>
      <c r="CY546" s="12"/>
      <c r="CZ546" s="12"/>
      <c r="DA546" s="12"/>
      <c r="DB546" s="12"/>
      <c r="DC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c r="CX547" s="12"/>
      <c r="CY547" s="12"/>
      <c r="CZ547" s="12"/>
      <c r="DA547" s="12"/>
      <c r="DB547" s="12"/>
      <c r="DC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c r="CN549" s="12"/>
      <c r="CO549" s="12"/>
      <c r="CP549" s="12"/>
      <c r="CQ549" s="12"/>
      <c r="CR549" s="12"/>
      <c r="CS549" s="12"/>
      <c r="CT549" s="12"/>
      <c r="CU549" s="12"/>
      <c r="CV549" s="12"/>
      <c r="CW549" s="12"/>
      <c r="CX549" s="12"/>
      <c r="CY549" s="12"/>
      <c r="CZ549" s="12"/>
      <c r="DA549" s="12"/>
      <c r="DB549" s="12"/>
      <c r="DC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c r="DB552" s="12"/>
      <c r="DC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c r="DB562" s="12"/>
      <c r="DC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c r="CN583" s="12"/>
      <c r="CO583" s="12"/>
      <c r="CP583" s="12"/>
      <c r="CQ583" s="12"/>
      <c r="CR583" s="12"/>
      <c r="CS583" s="12"/>
      <c r="CT583" s="12"/>
      <c r="CU583" s="12"/>
      <c r="CV583" s="12"/>
      <c r="CW583" s="12"/>
      <c r="CX583" s="12"/>
      <c r="CY583" s="12"/>
      <c r="CZ583" s="12"/>
      <c r="DA583" s="12"/>
      <c r="DB583" s="12"/>
      <c r="DC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c r="CN584" s="12"/>
      <c r="CO584" s="12"/>
      <c r="CP584" s="12"/>
      <c r="CQ584" s="12"/>
      <c r="CR584" s="12"/>
      <c r="CS584" s="12"/>
      <c r="CT584" s="12"/>
      <c r="CU584" s="12"/>
      <c r="CV584" s="12"/>
      <c r="CW584" s="12"/>
      <c r="CX584" s="12"/>
      <c r="CY584" s="12"/>
      <c r="CZ584" s="12"/>
      <c r="DA584" s="12"/>
      <c r="DB584" s="12"/>
      <c r="DC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c r="CN604" s="12"/>
      <c r="CO604" s="12"/>
      <c r="CP604" s="12"/>
      <c r="CQ604" s="12"/>
      <c r="CR604" s="12"/>
      <c r="CS604" s="12"/>
      <c r="CT604" s="12"/>
      <c r="CU604" s="12"/>
      <c r="CV604" s="12"/>
      <c r="CW604" s="12"/>
      <c r="CX604" s="12"/>
      <c r="CY604" s="12"/>
      <c r="CZ604" s="12"/>
      <c r="DA604" s="12"/>
      <c r="DB604" s="12"/>
      <c r="DC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c r="CX605" s="12"/>
      <c r="CY605" s="12"/>
      <c r="CZ605" s="12"/>
      <c r="DA605" s="12"/>
      <c r="DB605" s="12"/>
      <c r="DC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c r="CN610" s="12"/>
      <c r="CO610" s="12"/>
      <c r="CP610" s="12"/>
      <c r="CQ610" s="12"/>
      <c r="CR610" s="12"/>
      <c r="CS610" s="12"/>
      <c r="CT610" s="12"/>
      <c r="CU610" s="12"/>
      <c r="CV610" s="12"/>
      <c r="CW610" s="12"/>
      <c r="CX610" s="12"/>
      <c r="CY610" s="12"/>
      <c r="CZ610" s="12"/>
      <c r="DA610" s="12"/>
      <c r="DB610" s="12"/>
      <c r="DC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c r="CX621" s="12"/>
      <c r="CY621" s="12"/>
      <c r="CZ621" s="12"/>
      <c r="DA621" s="12"/>
      <c r="DB621" s="12"/>
      <c r="DC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c r="CX622" s="12"/>
      <c r="CY622" s="12"/>
      <c r="CZ622" s="12"/>
      <c r="DA622" s="12"/>
      <c r="DB622" s="12"/>
      <c r="DC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c r="CN623" s="12"/>
      <c r="CO623" s="12"/>
      <c r="CP623" s="12"/>
      <c r="CQ623" s="12"/>
      <c r="CR623" s="12"/>
      <c r="CS623" s="12"/>
      <c r="CT623" s="12"/>
      <c r="CU623" s="12"/>
      <c r="CV623" s="12"/>
      <c r="CW623" s="12"/>
      <c r="CX623" s="12"/>
      <c r="CY623" s="12"/>
      <c r="CZ623" s="12"/>
      <c r="DA623" s="12"/>
      <c r="DB623" s="12"/>
      <c r="DC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c r="CN627" s="12"/>
      <c r="CO627" s="12"/>
      <c r="CP627" s="12"/>
      <c r="CQ627" s="12"/>
      <c r="CR627" s="12"/>
      <c r="CS627" s="12"/>
      <c r="CT627" s="12"/>
      <c r="CU627" s="12"/>
      <c r="CV627" s="12"/>
      <c r="CW627" s="12"/>
      <c r="CX627" s="12"/>
      <c r="CY627" s="12"/>
      <c r="CZ627" s="12"/>
      <c r="DA627" s="12"/>
      <c r="DB627" s="12"/>
      <c r="DC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c r="CN629" s="12"/>
      <c r="CO629" s="12"/>
      <c r="CP629" s="12"/>
      <c r="CQ629" s="12"/>
      <c r="CR629" s="12"/>
      <c r="CS629" s="12"/>
      <c r="CT629" s="12"/>
      <c r="CU629" s="12"/>
      <c r="CV629" s="12"/>
      <c r="CW629" s="12"/>
      <c r="CX629" s="12"/>
      <c r="CY629" s="12"/>
      <c r="CZ629" s="12"/>
      <c r="DA629" s="12"/>
      <c r="DB629" s="12"/>
      <c r="DC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c r="DB632" s="12"/>
      <c r="DC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c r="DB634" s="12"/>
      <c r="DC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c r="DB635" s="12"/>
      <c r="DC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c r="CN638" s="12"/>
      <c r="CO638" s="12"/>
      <c r="CP638" s="12"/>
      <c r="CQ638" s="12"/>
      <c r="CR638" s="12"/>
      <c r="CS638" s="12"/>
      <c r="CT638" s="12"/>
      <c r="CU638" s="12"/>
      <c r="CV638" s="12"/>
      <c r="CW638" s="12"/>
      <c r="CX638" s="12"/>
      <c r="CY638" s="12"/>
      <c r="CZ638" s="12"/>
      <c r="DA638" s="12"/>
      <c r="DB638" s="12"/>
      <c r="DC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c r="CX639" s="12"/>
      <c r="CY639" s="12"/>
      <c r="CZ639" s="12"/>
      <c r="DA639" s="12"/>
      <c r="DB639" s="12"/>
      <c r="DC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c r="DB640" s="12"/>
      <c r="DC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c r="CN646" s="12"/>
      <c r="CO646" s="12"/>
      <c r="CP646" s="12"/>
      <c r="CQ646" s="12"/>
      <c r="CR646" s="12"/>
      <c r="CS646" s="12"/>
      <c r="CT646" s="12"/>
      <c r="CU646" s="12"/>
      <c r="CV646" s="12"/>
      <c r="CW646" s="12"/>
      <c r="CX646" s="12"/>
      <c r="CY646" s="12"/>
      <c r="CZ646" s="12"/>
      <c r="DA646" s="12"/>
      <c r="DB646" s="12"/>
      <c r="DC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c r="DB647" s="12"/>
      <c r="DC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c r="CN649" s="12"/>
      <c r="CO649" s="12"/>
      <c r="CP649" s="12"/>
      <c r="CQ649" s="12"/>
      <c r="CR649" s="12"/>
      <c r="CS649" s="12"/>
      <c r="CT649" s="12"/>
      <c r="CU649" s="12"/>
      <c r="CV649" s="12"/>
      <c r="CW649" s="12"/>
      <c r="CX649" s="12"/>
      <c r="CY649" s="12"/>
      <c r="CZ649" s="12"/>
      <c r="DA649" s="12"/>
      <c r="DB649" s="12"/>
      <c r="DC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c r="CN650" s="12"/>
      <c r="CO650" s="12"/>
      <c r="CP650" s="12"/>
      <c r="CQ650" s="12"/>
      <c r="CR650" s="12"/>
      <c r="CS650" s="12"/>
      <c r="CT650" s="12"/>
      <c r="CU650" s="12"/>
      <c r="CV650" s="12"/>
      <c r="CW650" s="12"/>
      <c r="CX650" s="12"/>
      <c r="CY650" s="12"/>
      <c r="CZ650" s="12"/>
      <c r="DA650" s="12"/>
      <c r="DB650" s="12"/>
      <c r="DC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c r="CN655" s="12"/>
      <c r="CO655" s="12"/>
      <c r="CP655" s="12"/>
      <c r="CQ655" s="12"/>
      <c r="CR655" s="12"/>
      <c r="CS655" s="12"/>
      <c r="CT655" s="12"/>
      <c r="CU655" s="12"/>
      <c r="CV655" s="12"/>
      <c r="CW655" s="12"/>
      <c r="CX655" s="12"/>
      <c r="CY655" s="12"/>
      <c r="CZ655" s="12"/>
      <c r="DA655" s="12"/>
      <c r="DB655" s="12"/>
      <c r="DC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c r="CN656" s="12"/>
      <c r="CO656" s="12"/>
      <c r="CP656" s="12"/>
      <c r="CQ656" s="12"/>
      <c r="CR656" s="12"/>
      <c r="CS656" s="12"/>
      <c r="CT656" s="12"/>
      <c r="CU656" s="12"/>
      <c r="CV656" s="12"/>
      <c r="CW656" s="12"/>
      <c r="CX656" s="12"/>
      <c r="CY656" s="12"/>
      <c r="CZ656" s="12"/>
      <c r="DA656" s="12"/>
      <c r="DB656" s="12"/>
      <c r="DC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c r="CN658" s="12"/>
      <c r="CO658" s="12"/>
      <c r="CP658" s="12"/>
      <c r="CQ658" s="12"/>
      <c r="CR658" s="12"/>
      <c r="CS658" s="12"/>
      <c r="CT658" s="12"/>
      <c r="CU658" s="12"/>
      <c r="CV658" s="12"/>
      <c r="CW658" s="12"/>
      <c r="CX658" s="12"/>
      <c r="CY658" s="12"/>
      <c r="CZ658" s="12"/>
      <c r="DA658" s="12"/>
      <c r="DB658" s="12"/>
      <c r="DC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c r="CN659" s="12"/>
      <c r="CO659" s="12"/>
      <c r="CP659" s="12"/>
      <c r="CQ659" s="12"/>
      <c r="CR659" s="12"/>
      <c r="CS659" s="12"/>
      <c r="CT659" s="12"/>
      <c r="CU659" s="12"/>
      <c r="CV659" s="12"/>
      <c r="CW659" s="12"/>
      <c r="CX659" s="12"/>
      <c r="CY659" s="12"/>
      <c r="CZ659" s="12"/>
      <c r="DA659" s="12"/>
      <c r="DB659" s="12"/>
      <c r="DC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c r="CN678" s="12"/>
      <c r="CO678" s="12"/>
      <c r="CP678" s="12"/>
      <c r="CQ678" s="12"/>
      <c r="CR678" s="12"/>
      <c r="CS678" s="12"/>
      <c r="CT678" s="12"/>
      <c r="CU678" s="12"/>
      <c r="CV678" s="12"/>
      <c r="CW678" s="12"/>
      <c r="CX678" s="12"/>
      <c r="CY678" s="12"/>
      <c r="CZ678" s="12"/>
      <c r="DA678" s="12"/>
      <c r="DB678" s="12"/>
      <c r="DC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c r="CN679" s="12"/>
      <c r="CO679" s="12"/>
      <c r="CP679" s="12"/>
      <c r="CQ679" s="12"/>
      <c r="CR679" s="12"/>
      <c r="CS679" s="12"/>
      <c r="CT679" s="12"/>
      <c r="CU679" s="12"/>
      <c r="CV679" s="12"/>
      <c r="CW679" s="12"/>
      <c r="CX679" s="12"/>
      <c r="CY679" s="12"/>
      <c r="CZ679" s="12"/>
      <c r="DA679" s="12"/>
      <c r="DB679" s="12"/>
      <c r="DC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c r="CN682" s="12"/>
      <c r="CO682" s="12"/>
      <c r="CP682" s="12"/>
      <c r="CQ682" s="12"/>
      <c r="CR682" s="12"/>
      <c r="CS682" s="12"/>
      <c r="CT682" s="12"/>
      <c r="CU682" s="12"/>
      <c r="CV682" s="12"/>
      <c r="CW682" s="12"/>
      <c r="CX682" s="12"/>
      <c r="CY682" s="12"/>
      <c r="CZ682" s="12"/>
      <c r="DA682" s="12"/>
      <c r="DB682" s="12"/>
      <c r="DC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c r="CN683" s="12"/>
      <c r="CO683" s="12"/>
      <c r="CP683" s="12"/>
      <c r="CQ683" s="12"/>
      <c r="CR683" s="12"/>
      <c r="CS683" s="12"/>
      <c r="CT683" s="12"/>
      <c r="CU683" s="12"/>
      <c r="CV683" s="12"/>
      <c r="CW683" s="12"/>
      <c r="CX683" s="12"/>
      <c r="CY683" s="12"/>
      <c r="CZ683" s="12"/>
      <c r="DA683" s="12"/>
      <c r="DB683" s="12"/>
      <c r="DC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c r="CN684" s="12"/>
      <c r="CO684" s="12"/>
      <c r="CP684" s="12"/>
      <c r="CQ684" s="12"/>
      <c r="CR684" s="12"/>
      <c r="CS684" s="12"/>
      <c r="CT684" s="12"/>
      <c r="CU684" s="12"/>
      <c r="CV684" s="12"/>
      <c r="CW684" s="12"/>
      <c r="CX684" s="12"/>
      <c r="CY684" s="12"/>
      <c r="CZ684" s="12"/>
      <c r="DA684" s="12"/>
      <c r="DB684" s="12"/>
      <c r="DC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c r="CN685" s="12"/>
      <c r="CO685" s="12"/>
      <c r="CP685" s="12"/>
      <c r="CQ685" s="12"/>
      <c r="CR685" s="12"/>
      <c r="CS685" s="12"/>
      <c r="CT685" s="12"/>
      <c r="CU685" s="12"/>
      <c r="CV685" s="12"/>
      <c r="CW685" s="12"/>
      <c r="CX685" s="12"/>
      <c r="CY685" s="12"/>
      <c r="CZ685" s="12"/>
      <c r="DA685" s="12"/>
      <c r="DB685" s="12"/>
      <c r="DC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c r="CN686" s="12"/>
      <c r="CO686" s="12"/>
      <c r="CP686" s="12"/>
      <c r="CQ686" s="12"/>
      <c r="CR686" s="12"/>
      <c r="CS686" s="12"/>
      <c r="CT686" s="12"/>
      <c r="CU686" s="12"/>
      <c r="CV686" s="12"/>
      <c r="CW686" s="12"/>
      <c r="CX686" s="12"/>
      <c r="CY686" s="12"/>
      <c r="CZ686" s="12"/>
      <c r="DA686" s="12"/>
      <c r="DB686" s="12"/>
      <c r="DC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c r="DB687" s="12"/>
      <c r="DC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c r="CN688" s="12"/>
      <c r="CO688" s="12"/>
      <c r="CP688" s="12"/>
      <c r="CQ688" s="12"/>
      <c r="CR688" s="12"/>
      <c r="CS688" s="12"/>
      <c r="CT688" s="12"/>
      <c r="CU688" s="12"/>
      <c r="CV688" s="12"/>
      <c r="CW688" s="12"/>
      <c r="CX688" s="12"/>
      <c r="CY688" s="12"/>
      <c r="CZ688" s="12"/>
      <c r="DA688" s="12"/>
      <c r="DB688" s="12"/>
      <c r="DC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c r="CN689" s="12"/>
      <c r="CO689" s="12"/>
      <c r="CP689" s="12"/>
      <c r="CQ689" s="12"/>
      <c r="CR689" s="12"/>
      <c r="CS689" s="12"/>
      <c r="CT689" s="12"/>
      <c r="CU689" s="12"/>
      <c r="CV689" s="12"/>
      <c r="CW689" s="12"/>
      <c r="CX689" s="12"/>
      <c r="CY689" s="12"/>
      <c r="CZ689" s="12"/>
      <c r="DA689" s="12"/>
      <c r="DB689" s="12"/>
      <c r="DC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c r="CN691" s="12"/>
      <c r="CO691" s="12"/>
      <c r="CP691" s="12"/>
      <c r="CQ691" s="12"/>
      <c r="CR691" s="12"/>
      <c r="CS691" s="12"/>
      <c r="CT691" s="12"/>
      <c r="CU691" s="12"/>
      <c r="CV691" s="12"/>
      <c r="CW691" s="12"/>
      <c r="CX691" s="12"/>
      <c r="CY691" s="12"/>
      <c r="CZ691" s="12"/>
      <c r="DA691" s="12"/>
      <c r="DB691" s="12"/>
      <c r="DC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c r="CN692" s="12"/>
      <c r="CO692" s="12"/>
      <c r="CP692" s="12"/>
      <c r="CQ692" s="12"/>
      <c r="CR692" s="12"/>
      <c r="CS692" s="12"/>
      <c r="CT692" s="12"/>
      <c r="CU692" s="12"/>
      <c r="CV692" s="12"/>
      <c r="CW692" s="12"/>
      <c r="CX692" s="12"/>
      <c r="CY692" s="12"/>
      <c r="CZ692" s="12"/>
      <c r="DA692" s="12"/>
      <c r="DB692" s="12"/>
      <c r="DC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c r="CN693" s="12"/>
      <c r="CO693" s="12"/>
      <c r="CP693" s="12"/>
      <c r="CQ693" s="12"/>
      <c r="CR693" s="12"/>
      <c r="CS693" s="12"/>
      <c r="CT693" s="12"/>
      <c r="CU693" s="12"/>
      <c r="CV693" s="12"/>
      <c r="CW693" s="12"/>
      <c r="CX693" s="12"/>
      <c r="CY693" s="12"/>
      <c r="CZ693" s="12"/>
      <c r="DA693" s="12"/>
      <c r="DB693" s="12"/>
      <c r="DC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c r="CN694" s="12"/>
      <c r="CO694" s="12"/>
      <c r="CP694" s="12"/>
      <c r="CQ694" s="12"/>
      <c r="CR694" s="12"/>
      <c r="CS694" s="12"/>
      <c r="CT694" s="12"/>
      <c r="CU694" s="12"/>
      <c r="CV694" s="12"/>
      <c r="CW694" s="12"/>
      <c r="CX694" s="12"/>
      <c r="CY694" s="12"/>
      <c r="CZ694" s="12"/>
      <c r="DA694" s="12"/>
      <c r="DB694" s="12"/>
      <c r="DC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c r="CZ695" s="12"/>
      <c r="DA695" s="12"/>
      <c r="DB695" s="12"/>
      <c r="DC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c r="CZ696" s="12"/>
      <c r="DA696" s="12"/>
      <c r="DB696" s="12"/>
      <c r="DC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c r="CV700" s="12"/>
      <c r="CW700" s="12"/>
      <c r="CX700" s="12"/>
      <c r="CY700" s="12"/>
      <c r="CZ700" s="12"/>
      <c r="DA700" s="12"/>
      <c r="DB700" s="12"/>
      <c r="DC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c r="CV701" s="12"/>
      <c r="CW701" s="12"/>
      <c r="CX701" s="12"/>
      <c r="CY701" s="12"/>
      <c r="CZ701" s="12"/>
      <c r="DA701" s="12"/>
      <c r="DB701" s="12"/>
      <c r="DC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c r="CN702" s="12"/>
      <c r="CO702" s="12"/>
      <c r="CP702" s="12"/>
      <c r="CQ702" s="12"/>
      <c r="CR702" s="12"/>
      <c r="CS702" s="12"/>
      <c r="CT702" s="12"/>
      <c r="CU702" s="12"/>
      <c r="CV702" s="12"/>
      <c r="CW702" s="12"/>
      <c r="CX702" s="12"/>
      <c r="CY702" s="12"/>
      <c r="CZ702" s="12"/>
      <c r="DA702" s="12"/>
      <c r="DB702" s="12"/>
      <c r="DC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c r="CN703" s="12"/>
      <c r="CO703" s="12"/>
      <c r="CP703" s="12"/>
      <c r="CQ703" s="12"/>
      <c r="CR703" s="12"/>
      <c r="CS703" s="12"/>
      <c r="CT703" s="12"/>
      <c r="CU703" s="12"/>
      <c r="CV703" s="12"/>
      <c r="CW703" s="12"/>
      <c r="CX703" s="12"/>
      <c r="CY703" s="12"/>
      <c r="CZ703" s="12"/>
      <c r="DA703" s="12"/>
      <c r="DB703" s="12"/>
      <c r="DC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c r="DB705" s="12"/>
      <c r="DC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c r="CZ706" s="12"/>
      <c r="DA706" s="12"/>
      <c r="DB706" s="12"/>
      <c r="DC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c r="CN709" s="12"/>
      <c r="CO709" s="12"/>
      <c r="CP709" s="12"/>
      <c r="CQ709" s="12"/>
      <c r="CR709" s="12"/>
      <c r="CS709" s="12"/>
      <c r="CT709" s="12"/>
      <c r="CU709" s="12"/>
      <c r="CV709" s="12"/>
      <c r="CW709" s="12"/>
      <c r="CX709" s="12"/>
      <c r="CY709" s="12"/>
      <c r="CZ709" s="12"/>
      <c r="DA709" s="12"/>
      <c r="DB709" s="12"/>
      <c r="DC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c r="DB710" s="12"/>
      <c r="DC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c r="DB711" s="12"/>
      <c r="DC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c r="CN712" s="12"/>
      <c r="CO712" s="12"/>
      <c r="CP712" s="12"/>
      <c r="CQ712" s="12"/>
      <c r="CR712" s="12"/>
      <c r="CS712" s="12"/>
      <c r="CT712" s="12"/>
      <c r="CU712" s="12"/>
      <c r="CV712" s="12"/>
      <c r="CW712" s="12"/>
      <c r="CX712" s="12"/>
      <c r="CY712" s="12"/>
      <c r="CZ712" s="12"/>
      <c r="DA712" s="12"/>
      <c r="DB712" s="12"/>
      <c r="DC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c r="CN713" s="12"/>
      <c r="CO713" s="12"/>
      <c r="CP713" s="12"/>
      <c r="CQ713" s="12"/>
      <c r="CR713" s="12"/>
      <c r="CS713" s="12"/>
      <c r="CT713" s="12"/>
      <c r="CU713" s="12"/>
      <c r="CV713" s="12"/>
      <c r="CW713" s="12"/>
      <c r="CX713" s="12"/>
      <c r="CY713" s="12"/>
      <c r="CZ713" s="12"/>
      <c r="DA713" s="12"/>
      <c r="DB713" s="12"/>
      <c r="DC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c r="DB714" s="12"/>
      <c r="DC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c r="CZ715" s="12"/>
      <c r="DA715" s="12"/>
      <c r="DB715" s="12"/>
      <c r="DC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c r="CZ716" s="12"/>
      <c r="DA716" s="12"/>
      <c r="DB716" s="12"/>
      <c r="DC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c r="CN717" s="12"/>
      <c r="CO717" s="12"/>
      <c r="CP717" s="12"/>
      <c r="CQ717" s="12"/>
      <c r="CR717" s="12"/>
      <c r="CS717" s="12"/>
      <c r="CT717" s="12"/>
      <c r="CU717" s="12"/>
      <c r="CV717" s="12"/>
      <c r="CW717" s="12"/>
      <c r="CX717" s="12"/>
      <c r="CY717" s="12"/>
      <c r="CZ717" s="12"/>
      <c r="DA717" s="12"/>
      <c r="DB717" s="12"/>
      <c r="DC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c r="CN718" s="12"/>
      <c r="CO718" s="12"/>
      <c r="CP718" s="12"/>
      <c r="CQ718" s="12"/>
      <c r="CR718" s="12"/>
      <c r="CS718" s="12"/>
      <c r="CT718" s="12"/>
      <c r="CU718" s="12"/>
      <c r="CV718" s="12"/>
      <c r="CW718" s="12"/>
      <c r="CX718" s="12"/>
      <c r="CY718" s="12"/>
      <c r="CZ718" s="12"/>
      <c r="DA718" s="12"/>
      <c r="DB718" s="12"/>
      <c r="DC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c r="CN722" s="12"/>
      <c r="CO722" s="12"/>
      <c r="CP722" s="12"/>
      <c r="CQ722" s="12"/>
      <c r="CR722" s="12"/>
      <c r="CS722" s="12"/>
      <c r="CT722" s="12"/>
      <c r="CU722" s="12"/>
      <c r="CV722" s="12"/>
      <c r="CW722" s="12"/>
      <c r="CX722" s="12"/>
      <c r="CY722" s="12"/>
      <c r="CZ722" s="12"/>
      <c r="DA722" s="12"/>
      <c r="DB722" s="12"/>
      <c r="DC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c r="CN723" s="12"/>
      <c r="CO723" s="12"/>
      <c r="CP723" s="12"/>
      <c r="CQ723" s="12"/>
      <c r="CR723" s="12"/>
      <c r="CS723" s="12"/>
      <c r="CT723" s="12"/>
      <c r="CU723" s="12"/>
      <c r="CV723" s="12"/>
      <c r="CW723" s="12"/>
      <c r="CX723" s="12"/>
      <c r="CY723" s="12"/>
      <c r="CZ723" s="12"/>
      <c r="DA723" s="12"/>
      <c r="DB723" s="12"/>
      <c r="DC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c r="CN724" s="12"/>
      <c r="CO724" s="12"/>
      <c r="CP724" s="12"/>
      <c r="CQ724" s="12"/>
      <c r="CR724" s="12"/>
      <c r="CS724" s="12"/>
      <c r="CT724" s="12"/>
      <c r="CU724" s="12"/>
      <c r="CV724" s="12"/>
      <c r="CW724" s="12"/>
      <c r="CX724" s="12"/>
      <c r="CY724" s="12"/>
      <c r="CZ724" s="12"/>
      <c r="DA724" s="12"/>
      <c r="DB724" s="12"/>
      <c r="DC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c r="DB725" s="12"/>
      <c r="DC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c r="CN726" s="12"/>
      <c r="CO726" s="12"/>
      <c r="CP726" s="12"/>
      <c r="CQ726" s="12"/>
      <c r="CR726" s="12"/>
      <c r="CS726" s="12"/>
      <c r="CT726" s="12"/>
      <c r="CU726" s="12"/>
      <c r="CV726" s="12"/>
      <c r="CW726" s="12"/>
      <c r="CX726" s="12"/>
      <c r="CY726" s="12"/>
      <c r="CZ726" s="12"/>
      <c r="DA726" s="12"/>
      <c r="DB726" s="12"/>
      <c r="DC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c r="CN727" s="12"/>
      <c r="CO727" s="12"/>
      <c r="CP727" s="12"/>
      <c r="CQ727" s="12"/>
      <c r="CR727" s="12"/>
      <c r="CS727" s="12"/>
      <c r="CT727" s="12"/>
      <c r="CU727" s="12"/>
      <c r="CV727" s="12"/>
      <c r="CW727" s="12"/>
      <c r="CX727" s="12"/>
      <c r="CY727" s="12"/>
      <c r="CZ727" s="12"/>
      <c r="DA727" s="12"/>
      <c r="DB727" s="12"/>
      <c r="DC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c r="CN728" s="12"/>
      <c r="CO728" s="12"/>
      <c r="CP728" s="12"/>
      <c r="CQ728" s="12"/>
      <c r="CR728" s="12"/>
      <c r="CS728" s="12"/>
      <c r="CT728" s="12"/>
      <c r="CU728" s="12"/>
      <c r="CV728" s="12"/>
      <c r="CW728" s="12"/>
      <c r="CX728" s="12"/>
      <c r="CY728" s="12"/>
      <c r="CZ728" s="12"/>
      <c r="DA728" s="12"/>
      <c r="DB728" s="12"/>
      <c r="DC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c r="CN729" s="12"/>
      <c r="CO729" s="12"/>
      <c r="CP729" s="12"/>
      <c r="CQ729" s="12"/>
      <c r="CR729" s="12"/>
      <c r="CS729" s="12"/>
      <c r="CT729" s="12"/>
      <c r="CU729" s="12"/>
      <c r="CV729" s="12"/>
      <c r="CW729" s="12"/>
      <c r="CX729" s="12"/>
      <c r="CY729" s="12"/>
      <c r="CZ729" s="12"/>
      <c r="DA729" s="12"/>
      <c r="DB729" s="12"/>
      <c r="DC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c r="CN730" s="12"/>
      <c r="CO730" s="12"/>
      <c r="CP730" s="12"/>
      <c r="CQ730" s="12"/>
      <c r="CR730" s="12"/>
      <c r="CS730" s="12"/>
      <c r="CT730" s="12"/>
      <c r="CU730" s="12"/>
      <c r="CV730" s="12"/>
      <c r="CW730" s="12"/>
      <c r="CX730" s="12"/>
      <c r="CY730" s="12"/>
      <c r="CZ730" s="12"/>
      <c r="DA730" s="12"/>
      <c r="DB730" s="12"/>
      <c r="DC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c r="CZ735" s="12"/>
      <c r="DA735" s="12"/>
      <c r="DB735" s="12"/>
      <c r="DC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c r="DB736" s="12"/>
      <c r="DC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c r="CO738" s="12"/>
      <c r="CP738" s="12"/>
      <c r="CQ738" s="12"/>
      <c r="CR738" s="12"/>
      <c r="CS738" s="12"/>
      <c r="CT738" s="12"/>
      <c r="CU738" s="12"/>
      <c r="CV738" s="12"/>
      <c r="CW738" s="12"/>
      <c r="CX738" s="12"/>
      <c r="CY738" s="12"/>
      <c r="CZ738" s="12"/>
      <c r="DA738" s="12"/>
      <c r="DB738" s="12"/>
      <c r="DC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c r="CN739" s="12"/>
      <c r="CO739" s="12"/>
      <c r="CP739" s="12"/>
      <c r="CQ739" s="12"/>
      <c r="CR739" s="12"/>
      <c r="CS739" s="12"/>
      <c r="CT739" s="12"/>
      <c r="CU739" s="12"/>
      <c r="CV739" s="12"/>
      <c r="CW739" s="12"/>
      <c r="CX739" s="12"/>
      <c r="CY739" s="12"/>
      <c r="CZ739" s="12"/>
      <c r="DA739" s="12"/>
      <c r="DB739" s="12"/>
      <c r="DC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c r="CA742" s="12"/>
      <c r="CB742" s="12"/>
      <c r="CC742" s="12"/>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c r="CA743" s="12"/>
      <c r="CB743" s="12"/>
      <c r="CC743" s="12"/>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c r="CA746" s="12"/>
      <c r="CB746" s="12"/>
      <c r="CC746" s="12"/>
      <c r="CD746" s="12"/>
      <c r="CE746" s="12"/>
      <c r="CF746" s="12"/>
      <c r="CG746" s="12"/>
      <c r="CH746" s="12"/>
      <c r="CI746" s="12"/>
      <c r="CJ746" s="12"/>
      <c r="CK746" s="12"/>
      <c r="CL746" s="12"/>
      <c r="CM746" s="12"/>
      <c r="CN746" s="12"/>
      <c r="CO746" s="12"/>
      <c r="CP746" s="12"/>
      <c r="CQ746" s="12"/>
      <c r="CR746" s="12"/>
      <c r="CS746" s="12"/>
      <c r="CT746" s="12"/>
      <c r="CU746" s="12"/>
      <c r="CV746" s="12"/>
      <c r="CW746" s="12"/>
      <c r="CX746" s="12"/>
      <c r="CY746" s="12"/>
      <c r="CZ746" s="12"/>
      <c r="DA746" s="12"/>
      <c r="DB746" s="12"/>
      <c r="DC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c r="CA747" s="12"/>
      <c r="CB747" s="12"/>
      <c r="CC747" s="12"/>
      <c r="CD747" s="12"/>
      <c r="CE747" s="12"/>
      <c r="CF747" s="12"/>
      <c r="CG747" s="12"/>
      <c r="CH747" s="12"/>
      <c r="CI747" s="12"/>
      <c r="CJ747" s="12"/>
      <c r="CK747" s="12"/>
      <c r="CL747" s="12"/>
      <c r="CM747" s="12"/>
      <c r="CN747" s="12"/>
      <c r="CO747" s="12"/>
      <c r="CP747" s="12"/>
      <c r="CQ747" s="12"/>
      <c r="CR747" s="12"/>
      <c r="CS747" s="12"/>
      <c r="CT747" s="12"/>
      <c r="CU747" s="12"/>
      <c r="CV747" s="12"/>
      <c r="CW747" s="12"/>
      <c r="CX747" s="12"/>
      <c r="CY747" s="12"/>
      <c r="CZ747" s="12"/>
      <c r="DA747" s="12"/>
      <c r="DB747" s="12"/>
      <c r="DC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c r="CA748" s="12"/>
      <c r="CB748" s="12"/>
      <c r="CC748" s="12"/>
      <c r="CD748" s="12"/>
      <c r="CE748" s="12"/>
      <c r="CF748" s="12"/>
      <c r="CG748" s="12"/>
      <c r="CH748" s="12"/>
      <c r="CI748" s="12"/>
      <c r="CJ748" s="12"/>
      <c r="CK748" s="12"/>
      <c r="CL748" s="12"/>
      <c r="CM748" s="12"/>
      <c r="CN748" s="12"/>
      <c r="CO748" s="12"/>
      <c r="CP748" s="12"/>
      <c r="CQ748" s="12"/>
      <c r="CR748" s="12"/>
      <c r="CS748" s="12"/>
      <c r="CT748" s="12"/>
      <c r="CU748" s="12"/>
      <c r="CV748" s="12"/>
      <c r="CW748" s="12"/>
      <c r="CX748" s="12"/>
      <c r="CY748" s="12"/>
      <c r="CZ748" s="12"/>
      <c r="DA748" s="12"/>
      <c r="DB748" s="12"/>
      <c r="DC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c r="CA749" s="12"/>
      <c r="CB749" s="12"/>
      <c r="CC749" s="12"/>
      <c r="CD749" s="12"/>
      <c r="CE749" s="12"/>
      <c r="CF749" s="12"/>
      <c r="CG749" s="12"/>
      <c r="CH749" s="12"/>
      <c r="CI749" s="12"/>
      <c r="CJ749" s="12"/>
      <c r="CK749" s="12"/>
      <c r="CL749" s="12"/>
      <c r="CM749" s="12"/>
      <c r="CN749" s="12"/>
      <c r="CO749" s="12"/>
      <c r="CP749" s="12"/>
      <c r="CQ749" s="12"/>
      <c r="CR749" s="12"/>
      <c r="CS749" s="12"/>
      <c r="CT749" s="12"/>
      <c r="CU749" s="12"/>
      <c r="CV749" s="12"/>
      <c r="CW749" s="12"/>
      <c r="CX749" s="12"/>
      <c r="CY749" s="12"/>
      <c r="CZ749" s="12"/>
      <c r="DA749" s="12"/>
      <c r="DB749" s="12"/>
      <c r="DC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c r="CA750" s="12"/>
      <c r="CB750" s="12"/>
      <c r="CC750" s="12"/>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c r="CA751" s="12"/>
      <c r="CB751" s="12"/>
      <c r="CC751" s="12"/>
      <c r="CD751" s="12"/>
      <c r="CE751" s="12"/>
      <c r="CF751" s="12"/>
      <c r="CG751" s="12"/>
      <c r="CH751" s="12"/>
      <c r="CI751" s="12"/>
      <c r="CJ751" s="12"/>
      <c r="CK751" s="12"/>
      <c r="CL751" s="12"/>
      <c r="CM751" s="12"/>
      <c r="CN751" s="12"/>
      <c r="CO751" s="12"/>
      <c r="CP751" s="12"/>
      <c r="CQ751" s="12"/>
      <c r="CR751" s="12"/>
      <c r="CS751" s="12"/>
      <c r="CT751" s="12"/>
      <c r="CU751" s="12"/>
      <c r="CV751" s="12"/>
      <c r="CW751" s="12"/>
      <c r="CX751" s="12"/>
      <c r="CY751" s="12"/>
      <c r="CZ751" s="12"/>
      <c r="DA751" s="12"/>
      <c r="DB751" s="12"/>
      <c r="DC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c r="DB752" s="12"/>
      <c r="DC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c r="CA756" s="12"/>
      <c r="CB756" s="12"/>
      <c r="CC756" s="12"/>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c r="CA757" s="12"/>
      <c r="CB757" s="12"/>
      <c r="CC757" s="12"/>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c r="CA760" s="12"/>
      <c r="CB760" s="12"/>
      <c r="CC760" s="12"/>
      <c r="CD760" s="12"/>
      <c r="CE760" s="12"/>
      <c r="CF760" s="12"/>
      <c r="CG760" s="12"/>
      <c r="CH760" s="12"/>
      <c r="CI760" s="12"/>
      <c r="CJ760" s="12"/>
      <c r="CK760" s="12"/>
      <c r="CL760" s="12"/>
      <c r="CM760" s="12"/>
      <c r="CN760" s="12"/>
      <c r="CO760" s="12"/>
      <c r="CP760" s="12"/>
      <c r="CQ760" s="12"/>
      <c r="CR760" s="12"/>
      <c r="CS760" s="12"/>
      <c r="CT760" s="12"/>
      <c r="CU760" s="12"/>
      <c r="CV760" s="12"/>
      <c r="CW760" s="12"/>
      <c r="CX760" s="12"/>
      <c r="CY760" s="12"/>
      <c r="CZ760" s="12"/>
      <c r="DA760" s="12"/>
      <c r="DB760" s="12"/>
      <c r="DC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c r="CN761" s="12"/>
      <c r="CO761" s="12"/>
      <c r="CP761" s="12"/>
      <c r="CQ761" s="12"/>
      <c r="CR761" s="12"/>
      <c r="CS761" s="12"/>
      <c r="CT761" s="12"/>
      <c r="CU761" s="12"/>
      <c r="CV761" s="12"/>
      <c r="CW761" s="12"/>
      <c r="CX761" s="12"/>
      <c r="CY761" s="12"/>
      <c r="CZ761" s="12"/>
      <c r="DA761" s="12"/>
      <c r="DB761" s="12"/>
      <c r="DC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c r="CA762" s="12"/>
      <c r="CB762" s="12"/>
      <c r="CC762" s="12"/>
      <c r="CD762" s="12"/>
      <c r="CE762" s="12"/>
      <c r="CF762" s="12"/>
      <c r="CG762" s="12"/>
      <c r="CH762" s="12"/>
      <c r="CI762" s="12"/>
      <c r="CJ762" s="12"/>
      <c r="CK762" s="12"/>
      <c r="CL762" s="12"/>
      <c r="CM762" s="12"/>
      <c r="CN762" s="12"/>
      <c r="CO762" s="12"/>
      <c r="CP762" s="12"/>
      <c r="CQ762" s="12"/>
      <c r="CR762" s="12"/>
      <c r="CS762" s="12"/>
      <c r="CT762" s="12"/>
      <c r="CU762" s="12"/>
      <c r="CV762" s="12"/>
      <c r="CW762" s="12"/>
      <c r="CX762" s="12"/>
      <c r="CY762" s="12"/>
      <c r="CZ762" s="12"/>
      <c r="DA762" s="12"/>
      <c r="DB762" s="12"/>
      <c r="DC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c r="CA764" s="12"/>
      <c r="CB764" s="12"/>
      <c r="CC764" s="12"/>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c r="CX768" s="12"/>
      <c r="CY768" s="12"/>
      <c r="CZ768" s="12"/>
      <c r="DA768" s="12"/>
      <c r="DB768" s="12"/>
      <c r="DC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c r="CX769" s="12"/>
      <c r="CY769" s="12"/>
      <c r="CZ769" s="12"/>
      <c r="DA769" s="12"/>
      <c r="DB769" s="12"/>
      <c r="DC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c r="CA773" s="12"/>
      <c r="CB773" s="12"/>
      <c r="CC773" s="12"/>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c r="CA774" s="12"/>
      <c r="CB774" s="12"/>
      <c r="CC774" s="12"/>
      <c r="CD774" s="12"/>
      <c r="CE774" s="12"/>
      <c r="CF774" s="12"/>
      <c r="CG774" s="12"/>
      <c r="CH774" s="12"/>
      <c r="CI774" s="12"/>
      <c r="CJ774" s="12"/>
      <c r="CK774" s="12"/>
      <c r="CL774" s="12"/>
      <c r="CM774" s="12"/>
      <c r="CN774" s="12"/>
      <c r="CO774" s="12"/>
      <c r="CP774" s="12"/>
      <c r="CQ774" s="12"/>
      <c r="CR774" s="12"/>
      <c r="CS774" s="12"/>
      <c r="CT774" s="12"/>
      <c r="CU774" s="12"/>
      <c r="CV774" s="12"/>
      <c r="CW774" s="12"/>
      <c r="CX774" s="12"/>
      <c r="CY774" s="12"/>
      <c r="CZ774" s="12"/>
      <c r="DA774" s="12"/>
      <c r="DB774" s="12"/>
      <c r="DC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c r="CX775" s="12"/>
      <c r="CY775" s="12"/>
      <c r="CZ775" s="12"/>
      <c r="DA775" s="12"/>
      <c r="DB775" s="12"/>
      <c r="DC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c r="CA778" s="12"/>
      <c r="CB778" s="12"/>
      <c r="CC778" s="12"/>
      <c r="CD778" s="12"/>
      <c r="CE778" s="12"/>
      <c r="CF778" s="12"/>
      <c r="CG778" s="12"/>
      <c r="CH778" s="12"/>
      <c r="CI778" s="12"/>
      <c r="CJ778" s="12"/>
      <c r="CK778" s="12"/>
      <c r="CL778" s="12"/>
      <c r="CM778" s="12"/>
      <c r="CN778" s="12"/>
      <c r="CO778" s="12"/>
      <c r="CP778" s="12"/>
      <c r="CQ778" s="12"/>
      <c r="CR778" s="12"/>
      <c r="CS778" s="12"/>
      <c r="CT778" s="12"/>
      <c r="CU778" s="12"/>
      <c r="CV778" s="12"/>
      <c r="CW778" s="12"/>
      <c r="CX778" s="12"/>
      <c r="CY778" s="12"/>
      <c r="CZ778" s="12"/>
      <c r="DA778" s="12"/>
      <c r="DB778" s="12"/>
      <c r="DC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c r="DB779" s="12"/>
      <c r="DC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c r="CA780" s="12"/>
      <c r="CB780" s="12"/>
      <c r="CC780" s="12"/>
      <c r="CD780" s="12"/>
      <c r="CE780" s="12"/>
      <c r="CF780" s="12"/>
      <c r="CG780" s="12"/>
      <c r="CH780" s="12"/>
      <c r="CI780" s="12"/>
      <c r="CJ780" s="12"/>
      <c r="CK780" s="12"/>
      <c r="CL780" s="12"/>
      <c r="CM780" s="12"/>
      <c r="CN780" s="12"/>
      <c r="CO780" s="12"/>
      <c r="CP780" s="12"/>
      <c r="CQ780" s="12"/>
      <c r="CR780" s="12"/>
      <c r="CS780" s="12"/>
      <c r="CT780" s="12"/>
      <c r="CU780" s="12"/>
      <c r="CV780" s="12"/>
      <c r="CW780" s="12"/>
      <c r="CX780" s="12"/>
      <c r="CY780" s="12"/>
      <c r="CZ780" s="12"/>
      <c r="DA780" s="12"/>
      <c r="DB780" s="12"/>
      <c r="DC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c r="CA781" s="12"/>
      <c r="CB781" s="12"/>
      <c r="CC781" s="12"/>
      <c r="CD781" s="12"/>
      <c r="CE781" s="12"/>
      <c r="CF781" s="12"/>
      <c r="CG781" s="12"/>
      <c r="CH781" s="12"/>
      <c r="CI781" s="12"/>
      <c r="CJ781" s="12"/>
      <c r="CK781" s="12"/>
      <c r="CL781" s="12"/>
      <c r="CM781" s="12"/>
      <c r="CN781" s="12"/>
      <c r="CO781" s="12"/>
      <c r="CP781" s="12"/>
      <c r="CQ781" s="12"/>
      <c r="CR781" s="12"/>
      <c r="CS781" s="12"/>
      <c r="CT781" s="12"/>
      <c r="CU781" s="12"/>
      <c r="CV781" s="12"/>
      <c r="CW781" s="12"/>
      <c r="CX781" s="12"/>
      <c r="CY781" s="12"/>
      <c r="CZ781" s="12"/>
      <c r="DA781" s="12"/>
      <c r="DB781" s="12"/>
      <c r="DC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c r="CX782" s="12"/>
      <c r="CY782" s="12"/>
      <c r="CZ782" s="12"/>
      <c r="DA782" s="12"/>
      <c r="DB782" s="12"/>
      <c r="DC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c r="DB783" s="12"/>
      <c r="DC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c r="DB784" s="12"/>
      <c r="DC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c r="CA785" s="12"/>
      <c r="CB785" s="12"/>
      <c r="CC785" s="12"/>
      <c r="CD785" s="12"/>
      <c r="CE785" s="12"/>
      <c r="CF785" s="12"/>
      <c r="CG785" s="12"/>
      <c r="CH785" s="12"/>
      <c r="CI785" s="12"/>
      <c r="CJ785" s="12"/>
      <c r="CK785" s="12"/>
      <c r="CL785" s="12"/>
      <c r="CM785" s="12"/>
      <c r="CN785" s="12"/>
      <c r="CO785" s="12"/>
      <c r="CP785" s="12"/>
      <c r="CQ785" s="12"/>
      <c r="CR785" s="12"/>
      <c r="CS785" s="12"/>
      <c r="CT785" s="12"/>
      <c r="CU785" s="12"/>
      <c r="CV785" s="12"/>
      <c r="CW785" s="12"/>
      <c r="CX785" s="12"/>
      <c r="CY785" s="12"/>
      <c r="CZ785" s="12"/>
      <c r="DA785" s="12"/>
      <c r="DB785" s="12"/>
      <c r="DC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c r="CA786" s="12"/>
      <c r="CB786" s="12"/>
      <c r="CC786" s="12"/>
      <c r="CD786" s="12"/>
      <c r="CE786" s="12"/>
      <c r="CF786" s="12"/>
      <c r="CG786" s="12"/>
      <c r="CH786" s="12"/>
      <c r="CI786" s="12"/>
      <c r="CJ786" s="12"/>
      <c r="CK786" s="12"/>
      <c r="CL786" s="12"/>
      <c r="CM786" s="12"/>
      <c r="CN786" s="12"/>
      <c r="CO786" s="12"/>
      <c r="CP786" s="12"/>
      <c r="CQ786" s="12"/>
      <c r="CR786" s="12"/>
      <c r="CS786" s="12"/>
      <c r="CT786" s="12"/>
      <c r="CU786" s="12"/>
      <c r="CV786" s="12"/>
      <c r="CW786" s="12"/>
      <c r="CX786" s="12"/>
      <c r="CY786" s="12"/>
      <c r="CZ786" s="12"/>
      <c r="DA786" s="12"/>
      <c r="DB786" s="12"/>
      <c r="DC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c r="CA787" s="12"/>
      <c r="CB787" s="12"/>
      <c r="CC787" s="12"/>
      <c r="CD787" s="12"/>
      <c r="CE787" s="12"/>
      <c r="CF787" s="12"/>
      <c r="CG787" s="12"/>
      <c r="CH787" s="12"/>
      <c r="CI787" s="12"/>
      <c r="CJ787" s="12"/>
      <c r="CK787" s="12"/>
      <c r="CL787" s="12"/>
      <c r="CM787" s="12"/>
      <c r="CN787" s="12"/>
      <c r="CO787" s="12"/>
      <c r="CP787" s="12"/>
      <c r="CQ787" s="12"/>
      <c r="CR787" s="12"/>
      <c r="CS787" s="12"/>
      <c r="CT787" s="12"/>
      <c r="CU787" s="12"/>
      <c r="CV787" s="12"/>
      <c r="CW787" s="12"/>
      <c r="CX787" s="12"/>
      <c r="CY787" s="12"/>
      <c r="CZ787" s="12"/>
      <c r="DA787" s="12"/>
      <c r="DB787" s="12"/>
      <c r="DC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c r="CA788" s="12"/>
      <c r="CB788" s="12"/>
      <c r="CC788" s="12"/>
      <c r="CD788" s="12"/>
      <c r="CE788" s="12"/>
      <c r="CF788" s="12"/>
      <c r="CG788" s="12"/>
      <c r="CH788" s="12"/>
      <c r="CI788" s="12"/>
      <c r="CJ788" s="12"/>
      <c r="CK788" s="12"/>
      <c r="CL788" s="12"/>
      <c r="CM788" s="12"/>
      <c r="CN788" s="12"/>
      <c r="CO788" s="12"/>
      <c r="CP788" s="12"/>
      <c r="CQ788" s="12"/>
      <c r="CR788" s="12"/>
      <c r="CS788" s="12"/>
      <c r="CT788" s="12"/>
      <c r="CU788" s="12"/>
      <c r="CV788" s="12"/>
      <c r="CW788" s="12"/>
      <c r="CX788" s="12"/>
      <c r="CY788" s="12"/>
      <c r="CZ788" s="12"/>
      <c r="DA788" s="12"/>
      <c r="DB788" s="12"/>
      <c r="DC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c r="CA789" s="12"/>
      <c r="CB789" s="12"/>
      <c r="CC789" s="12"/>
      <c r="CD789" s="12"/>
      <c r="CE789" s="12"/>
      <c r="CF789" s="12"/>
      <c r="CG789" s="12"/>
      <c r="CH789" s="12"/>
      <c r="CI789" s="12"/>
      <c r="CJ789" s="12"/>
      <c r="CK789" s="12"/>
      <c r="CL789" s="12"/>
      <c r="CM789" s="12"/>
      <c r="CN789" s="12"/>
      <c r="CO789" s="12"/>
      <c r="CP789" s="12"/>
      <c r="CQ789" s="12"/>
      <c r="CR789" s="12"/>
      <c r="CS789" s="12"/>
      <c r="CT789" s="12"/>
      <c r="CU789" s="12"/>
      <c r="CV789" s="12"/>
      <c r="CW789" s="12"/>
      <c r="CX789" s="12"/>
      <c r="CY789" s="12"/>
      <c r="CZ789" s="12"/>
      <c r="DA789" s="12"/>
      <c r="DB789" s="12"/>
      <c r="DC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c r="CA790" s="12"/>
      <c r="CB790" s="12"/>
      <c r="CC790" s="12"/>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c r="CA791" s="12"/>
      <c r="CB791" s="12"/>
      <c r="CC791" s="12"/>
      <c r="CD791" s="12"/>
      <c r="CE791" s="12"/>
      <c r="CF791" s="12"/>
      <c r="CG791" s="12"/>
      <c r="CH791" s="12"/>
      <c r="CI791" s="12"/>
      <c r="CJ791" s="12"/>
      <c r="CK791" s="12"/>
      <c r="CL791" s="12"/>
      <c r="CM791" s="12"/>
      <c r="CN791" s="12"/>
      <c r="CO791" s="12"/>
      <c r="CP791" s="12"/>
      <c r="CQ791" s="12"/>
      <c r="CR791" s="12"/>
      <c r="CS791" s="12"/>
      <c r="CT791" s="12"/>
      <c r="CU791" s="12"/>
      <c r="CV791" s="12"/>
      <c r="CW791" s="12"/>
      <c r="CX791" s="12"/>
      <c r="CY791" s="12"/>
      <c r="CZ791" s="12"/>
      <c r="DA791" s="12"/>
      <c r="DB791" s="12"/>
      <c r="DC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c r="CA792" s="12"/>
      <c r="CB792" s="12"/>
      <c r="CC792" s="12"/>
      <c r="CD792" s="12"/>
      <c r="CE792" s="12"/>
      <c r="CF792" s="12"/>
      <c r="CG792" s="12"/>
      <c r="CH792" s="12"/>
      <c r="CI792" s="12"/>
      <c r="CJ792" s="12"/>
      <c r="CK792" s="12"/>
      <c r="CL792" s="12"/>
      <c r="CM792" s="12"/>
      <c r="CN792" s="12"/>
      <c r="CO792" s="12"/>
      <c r="CP792" s="12"/>
      <c r="CQ792" s="12"/>
      <c r="CR792" s="12"/>
      <c r="CS792" s="12"/>
      <c r="CT792" s="12"/>
      <c r="CU792" s="12"/>
      <c r="CV792" s="12"/>
      <c r="CW792" s="12"/>
      <c r="CX792" s="12"/>
      <c r="CY792" s="12"/>
      <c r="CZ792" s="12"/>
      <c r="DA792" s="12"/>
      <c r="DB792" s="12"/>
      <c r="DC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c r="CA793" s="12"/>
      <c r="CB793" s="12"/>
      <c r="CC793" s="12"/>
      <c r="CD793" s="12"/>
      <c r="CE793" s="12"/>
      <c r="CF793" s="12"/>
      <c r="CG793" s="12"/>
      <c r="CH793" s="12"/>
      <c r="CI793" s="12"/>
      <c r="CJ793" s="12"/>
      <c r="CK793" s="12"/>
      <c r="CL793" s="12"/>
      <c r="CM793" s="12"/>
      <c r="CN793" s="12"/>
      <c r="CO793" s="12"/>
      <c r="CP793" s="12"/>
      <c r="CQ793" s="12"/>
      <c r="CR793" s="12"/>
      <c r="CS793" s="12"/>
      <c r="CT793" s="12"/>
      <c r="CU793" s="12"/>
      <c r="CV793" s="12"/>
      <c r="CW793" s="12"/>
      <c r="CX793" s="12"/>
      <c r="CY793" s="12"/>
      <c r="CZ793" s="12"/>
      <c r="DA793" s="12"/>
      <c r="DB793" s="12"/>
      <c r="DC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c r="CA794" s="12"/>
      <c r="CB794" s="12"/>
      <c r="CC794" s="12"/>
      <c r="CD794" s="12"/>
      <c r="CE794" s="12"/>
      <c r="CF794" s="12"/>
      <c r="CG794" s="12"/>
      <c r="CH794" s="12"/>
      <c r="CI794" s="12"/>
      <c r="CJ794" s="12"/>
      <c r="CK794" s="12"/>
      <c r="CL794" s="12"/>
      <c r="CM794" s="12"/>
      <c r="CN794" s="12"/>
      <c r="CO794" s="12"/>
      <c r="CP794" s="12"/>
      <c r="CQ794" s="12"/>
      <c r="CR794" s="12"/>
      <c r="CS794" s="12"/>
      <c r="CT794" s="12"/>
      <c r="CU794" s="12"/>
      <c r="CV794" s="12"/>
      <c r="CW794" s="12"/>
      <c r="CX794" s="12"/>
      <c r="CY794" s="12"/>
      <c r="CZ794" s="12"/>
      <c r="DA794" s="12"/>
      <c r="DB794" s="12"/>
      <c r="DC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c r="CA795" s="12"/>
      <c r="CB795" s="12"/>
      <c r="CC795" s="12"/>
      <c r="CD795" s="12"/>
      <c r="CE795" s="12"/>
      <c r="CF795" s="12"/>
      <c r="CG795" s="12"/>
      <c r="CH795" s="12"/>
      <c r="CI795" s="12"/>
      <c r="CJ795" s="12"/>
      <c r="CK795" s="12"/>
      <c r="CL795" s="12"/>
      <c r="CM795" s="12"/>
      <c r="CN795" s="12"/>
      <c r="CO795" s="12"/>
      <c r="CP795" s="12"/>
      <c r="CQ795" s="12"/>
      <c r="CR795" s="12"/>
      <c r="CS795" s="12"/>
      <c r="CT795" s="12"/>
      <c r="CU795" s="12"/>
      <c r="CV795" s="12"/>
      <c r="CW795" s="12"/>
      <c r="CX795" s="12"/>
      <c r="CY795" s="12"/>
      <c r="CZ795" s="12"/>
      <c r="DA795" s="12"/>
      <c r="DB795" s="12"/>
      <c r="DC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c r="CA796" s="12"/>
      <c r="CB796" s="12"/>
      <c r="CC796" s="12"/>
      <c r="CD796" s="12"/>
      <c r="CE796" s="12"/>
      <c r="CF796" s="12"/>
      <c r="CG796" s="12"/>
      <c r="CH796" s="12"/>
      <c r="CI796" s="12"/>
      <c r="CJ796" s="12"/>
      <c r="CK796" s="12"/>
      <c r="CL796" s="12"/>
      <c r="CM796" s="12"/>
      <c r="CN796" s="12"/>
      <c r="CO796" s="12"/>
      <c r="CP796" s="12"/>
      <c r="CQ796" s="12"/>
      <c r="CR796" s="12"/>
      <c r="CS796" s="12"/>
      <c r="CT796" s="12"/>
      <c r="CU796" s="12"/>
      <c r="CV796" s="12"/>
      <c r="CW796" s="12"/>
      <c r="CX796" s="12"/>
      <c r="CY796" s="12"/>
      <c r="CZ796" s="12"/>
      <c r="DA796" s="12"/>
      <c r="DB796" s="12"/>
      <c r="DC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c r="CA797" s="12"/>
      <c r="CB797" s="12"/>
      <c r="CC797" s="12"/>
      <c r="CD797" s="12"/>
      <c r="CE797" s="12"/>
      <c r="CF797" s="12"/>
      <c r="CG797" s="12"/>
      <c r="CH797" s="12"/>
      <c r="CI797" s="12"/>
      <c r="CJ797" s="12"/>
      <c r="CK797" s="12"/>
      <c r="CL797" s="12"/>
      <c r="CM797" s="12"/>
      <c r="CN797" s="12"/>
      <c r="CO797" s="12"/>
      <c r="CP797" s="12"/>
      <c r="CQ797" s="12"/>
      <c r="CR797" s="12"/>
      <c r="CS797" s="12"/>
      <c r="CT797" s="12"/>
      <c r="CU797" s="12"/>
      <c r="CV797" s="12"/>
      <c r="CW797" s="12"/>
      <c r="CX797" s="12"/>
      <c r="CY797" s="12"/>
      <c r="CZ797" s="12"/>
      <c r="DA797" s="12"/>
      <c r="DB797" s="12"/>
      <c r="DC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c r="CA798" s="12"/>
      <c r="CB798" s="12"/>
      <c r="CC798" s="12"/>
      <c r="CD798" s="12"/>
      <c r="CE798" s="12"/>
      <c r="CF798" s="12"/>
      <c r="CG798" s="12"/>
      <c r="CH798" s="12"/>
      <c r="CI798" s="12"/>
      <c r="CJ798" s="12"/>
      <c r="CK798" s="12"/>
      <c r="CL798" s="12"/>
      <c r="CM798" s="12"/>
      <c r="CN798" s="12"/>
      <c r="CO798" s="12"/>
      <c r="CP798" s="12"/>
      <c r="CQ798" s="12"/>
      <c r="CR798" s="12"/>
      <c r="CS798" s="12"/>
      <c r="CT798" s="12"/>
      <c r="CU798" s="12"/>
      <c r="CV798" s="12"/>
      <c r="CW798" s="12"/>
      <c r="CX798" s="12"/>
      <c r="CY798" s="12"/>
      <c r="CZ798" s="12"/>
      <c r="DA798" s="12"/>
      <c r="DB798" s="12"/>
      <c r="DC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c r="CA799" s="12"/>
      <c r="CB799" s="12"/>
      <c r="CC799" s="12"/>
      <c r="CD799" s="12"/>
      <c r="CE799" s="12"/>
      <c r="CF799" s="12"/>
      <c r="CG799" s="12"/>
      <c r="CH799" s="12"/>
      <c r="CI799" s="12"/>
      <c r="CJ799" s="12"/>
      <c r="CK799" s="12"/>
      <c r="CL799" s="12"/>
      <c r="CM799" s="12"/>
      <c r="CN799" s="12"/>
      <c r="CO799" s="12"/>
      <c r="CP799" s="12"/>
      <c r="CQ799" s="12"/>
      <c r="CR799" s="12"/>
      <c r="CS799" s="12"/>
      <c r="CT799" s="12"/>
      <c r="CU799" s="12"/>
      <c r="CV799" s="12"/>
      <c r="CW799" s="12"/>
      <c r="CX799" s="12"/>
      <c r="CY799" s="12"/>
      <c r="CZ799" s="12"/>
      <c r="DA799" s="12"/>
      <c r="DB799" s="12"/>
      <c r="DC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c r="CA800" s="12"/>
      <c r="CB800" s="12"/>
      <c r="CC800" s="12"/>
      <c r="CD800" s="12"/>
      <c r="CE800" s="12"/>
      <c r="CF800" s="12"/>
      <c r="CG800" s="12"/>
      <c r="CH800" s="12"/>
      <c r="CI800" s="12"/>
      <c r="CJ800" s="12"/>
      <c r="CK800" s="12"/>
      <c r="CL800" s="12"/>
      <c r="CM800" s="12"/>
      <c r="CN800" s="12"/>
      <c r="CO800" s="12"/>
      <c r="CP800" s="12"/>
      <c r="CQ800" s="12"/>
      <c r="CR800" s="12"/>
      <c r="CS800" s="12"/>
      <c r="CT800" s="12"/>
      <c r="CU800" s="12"/>
      <c r="CV800" s="12"/>
      <c r="CW800" s="12"/>
      <c r="CX800" s="12"/>
      <c r="CY800" s="12"/>
      <c r="CZ800" s="12"/>
      <c r="DA800" s="12"/>
      <c r="DB800" s="12"/>
      <c r="DC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c r="CA801" s="12"/>
      <c r="CB801" s="12"/>
      <c r="CC801" s="12"/>
      <c r="CD801" s="12"/>
      <c r="CE801" s="12"/>
      <c r="CF801" s="12"/>
      <c r="CG801" s="12"/>
      <c r="CH801" s="12"/>
      <c r="CI801" s="12"/>
      <c r="CJ801" s="12"/>
      <c r="CK801" s="12"/>
      <c r="CL801" s="12"/>
      <c r="CM801" s="12"/>
      <c r="CN801" s="12"/>
      <c r="CO801" s="12"/>
      <c r="CP801" s="12"/>
      <c r="CQ801" s="12"/>
      <c r="CR801" s="12"/>
      <c r="CS801" s="12"/>
      <c r="CT801" s="12"/>
      <c r="CU801" s="12"/>
      <c r="CV801" s="12"/>
      <c r="CW801" s="12"/>
      <c r="CX801" s="12"/>
      <c r="CY801" s="12"/>
      <c r="CZ801" s="12"/>
      <c r="DA801" s="12"/>
      <c r="DB801" s="12"/>
      <c r="DC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c r="CA802" s="12"/>
      <c r="CB802" s="12"/>
      <c r="CC802" s="12"/>
      <c r="CD802" s="12"/>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c r="DB802" s="12"/>
      <c r="DC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c r="CA803" s="12"/>
      <c r="CB803" s="12"/>
      <c r="CC803" s="12"/>
      <c r="CD803" s="12"/>
      <c r="CE803" s="12"/>
      <c r="CF803" s="12"/>
      <c r="CG803" s="12"/>
      <c r="CH803" s="12"/>
      <c r="CI803" s="12"/>
      <c r="CJ803" s="12"/>
      <c r="CK803" s="12"/>
      <c r="CL803" s="12"/>
      <c r="CM803" s="12"/>
      <c r="CN803" s="12"/>
      <c r="CO803" s="12"/>
      <c r="CP803" s="12"/>
      <c r="CQ803" s="12"/>
      <c r="CR803" s="12"/>
      <c r="CS803" s="12"/>
      <c r="CT803" s="12"/>
      <c r="CU803" s="12"/>
      <c r="CV803" s="12"/>
      <c r="CW803" s="12"/>
      <c r="CX803" s="12"/>
      <c r="CY803" s="12"/>
      <c r="CZ803" s="12"/>
      <c r="DA803" s="12"/>
      <c r="DB803" s="12"/>
      <c r="DC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c r="DB804" s="12"/>
      <c r="DC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c r="CA806" s="12"/>
      <c r="CB806" s="12"/>
      <c r="CC806" s="12"/>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c r="DB806" s="12"/>
      <c r="DC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c r="CA807" s="12"/>
      <c r="CB807" s="12"/>
      <c r="CC807" s="12"/>
      <c r="CD807" s="12"/>
      <c r="CE807" s="12"/>
      <c r="CF807" s="12"/>
      <c r="CG807" s="12"/>
      <c r="CH807" s="12"/>
      <c r="CI807" s="12"/>
      <c r="CJ807" s="12"/>
      <c r="CK807" s="12"/>
      <c r="CL807" s="12"/>
      <c r="CM807" s="12"/>
      <c r="CN807" s="12"/>
      <c r="CO807" s="12"/>
      <c r="CP807" s="12"/>
      <c r="CQ807" s="12"/>
      <c r="CR807" s="12"/>
      <c r="CS807" s="12"/>
      <c r="CT807" s="12"/>
      <c r="CU807" s="12"/>
      <c r="CV807" s="12"/>
      <c r="CW807" s="12"/>
      <c r="CX807" s="12"/>
      <c r="CY807" s="12"/>
      <c r="CZ807" s="12"/>
      <c r="DA807" s="12"/>
      <c r="DB807" s="12"/>
      <c r="DC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c r="CA808" s="12"/>
      <c r="CB808" s="12"/>
      <c r="CC808" s="12"/>
      <c r="CD808" s="12"/>
      <c r="CE808" s="12"/>
      <c r="CF808" s="12"/>
      <c r="CG808" s="12"/>
      <c r="CH808" s="12"/>
      <c r="CI808" s="12"/>
      <c r="CJ808" s="12"/>
      <c r="CK808" s="12"/>
      <c r="CL808" s="12"/>
      <c r="CM808" s="12"/>
      <c r="CN808" s="12"/>
      <c r="CO808" s="12"/>
      <c r="CP808" s="12"/>
      <c r="CQ808" s="12"/>
      <c r="CR808" s="12"/>
      <c r="CS808" s="12"/>
      <c r="CT808" s="12"/>
      <c r="CU808" s="12"/>
      <c r="CV808" s="12"/>
      <c r="CW808" s="12"/>
      <c r="CX808" s="12"/>
      <c r="CY808" s="12"/>
      <c r="CZ808" s="12"/>
      <c r="DA808" s="12"/>
      <c r="DB808" s="12"/>
      <c r="DC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c r="CA809" s="12"/>
      <c r="CB809" s="12"/>
      <c r="CC809" s="12"/>
      <c r="CD809" s="12"/>
      <c r="CE809" s="12"/>
      <c r="CF809" s="12"/>
      <c r="CG809" s="12"/>
      <c r="CH809" s="12"/>
      <c r="CI809" s="12"/>
      <c r="CJ809" s="12"/>
      <c r="CK809" s="12"/>
      <c r="CL809" s="12"/>
      <c r="CM809" s="12"/>
      <c r="CN809" s="12"/>
      <c r="CO809" s="12"/>
      <c r="CP809" s="12"/>
      <c r="CQ809" s="12"/>
      <c r="CR809" s="12"/>
      <c r="CS809" s="12"/>
      <c r="CT809" s="12"/>
      <c r="CU809" s="12"/>
      <c r="CV809" s="12"/>
      <c r="CW809" s="12"/>
      <c r="CX809" s="12"/>
      <c r="CY809" s="12"/>
      <c r="CZ809" s="12"/>
      <c r="DA809" s="12"/>
      <c r="DB809" s="12"/>
      <c r="DC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c r="CA810" s="12"/>
      <c r="CB810" s="12"/>
      <c r="CC810" s="12"/>
      <c r="CD810" s="12"/>
      <c r="CE810" s="12"/>
      <c r="CF810" s="12"/>
      <c r="CG810" s="12"/>
      <c r="CH810" s="12"/>
      <c r="CI810" s="12"/>
      <c r="CJ810" s="12"/>
      <c r="CK810" s="12"/>
      <c r="CL810" s="12"/>
      <c r="CM810" s="12"/>
      <c r="CN810" s="12"/>
      <c r="CO810" s="12"/>
      <c r="CP810" s="12"/>
      <c r="CQ810" s="12"/>
      <c r="CR810" s="12"/>
      <c r="CS810" s="12"/>
      <c r="CT810" s="12"/>
      <c r="CU810" s="12"/>
      <c r="CV810" s="12"/>
      <c r="CW810" s="12"/>
      <c r="CX810" s="12"/>
      <c r="CY810" s="12"/>
      <c r="CZ810" s="12"/>
      <c r="DA810" s="12"/>
      <c r="DB810" s="12"/>
      <c r="DC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c r="DB812" s="12"/>
      <c r="DC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c r="CA813" s="12"/>
      <c r="CB813" s="12"/>
      <c r="CC813" s="12"/>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c r="DB813" s="12"/>
      <c r="DC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c r="CA814" s="12"/>
      <c r="CB814" s="12"/>
      <c r="CC814" s="12"/>
      <c r="CD814" s="12"/>
      <c r="CE814" s="12"/>
      <c r="CF814" s="12"/>
      <c r="CG814" s="12"/>
      <c r="CH814" s="12"/>
      <c r="CI814" s="12"/>
      <c r="CJ814" s="12"/>
      <c r="CK814" s="12"/>
      <c r="CL814" s="12"/>
      <c r="CM814" s="12"/>
      <c r="CN814" s="12"/>
      <c r="CO814" s="12"/>
      <c r="CP814" s="12"/>
      <c r="CQ814" s="12"/>
      <c r="CR814" s="12"/>
      <c r="CS814" s="12"/>
      <c r="CT814" s="12"/>
      <c r="CU814" s="12"/>
      <c r="CV814" s="12"/>
      <c r="CW814" s="12"/>
      <c r="CX814" s="12"/>
      <c r="CY814" s="12"/>
      <c r="CZ814" s="12"/>
      <c r="DA814" s="12"/>
      <c r="DB814" s="12"/>
      <c r="DC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c r="DB815" s="12"/>
      <c r="DC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c r="CA816" s="12"/>
      <c r="CB816" s="12"/>
      <c r="CC816" s="12"/>
      <c r="CD816" s="12"/>
      <c r="CE816" s="12"/>
      <c r="CF816" s="12"/>
      <c r="CG816" s="12"/>
      <c r="CH816" s="12"/>
      <c r="CI816" s="12"/>
      <c r="CJ816" s="12"/>
      <c r="CK816" s="12"/>
      <c r="CL816" s="12"/>
      <c r="CM816" s="12"/>
      <c r="CN816" s="12"/>
      <c r="CO816" s="12"/>
      <c r="CP816" s="12"/>
      <c r="CQ816" s="12"/>
      <c r="CR816" s="12"/>
      <c r="CS816" s="12"/>
      <c r="CT816" s="12"/>
      <c r="CU816" s="12"/>
      <c r="CV816" s="12"/>
      <c r="CW816" s="12"/>
      <c r="CX816" s="12"/>
      <c r="CY816" s="12"/>
      <c r="CZ816" s="12"/>
      <c r="DA816" s="12"/>
      <c r="DB816" s="12"/>
      <c r="DC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c r="CA817" s="12"/>
      <c r="CB817" s="12"/>
      <c r="CC817" s="12"/>
      <c r="CD817" s="12"/>
      <c r="CE817" s="12"/>
      <c r="CF817" s="12"/>
      <c r="CG817" s="12"/>
      <c r="CH817" s="12"/>
      <c r="CI817" s="12"/>
      <c r="CJ817" s="12"/>
      <c r="CK817" s="12"/>
      <c r="CL817" s="12"/>
      <c r="CM817" s="12"/>
      <c r="CN817" s="12"/>
      <c r="CO817" s="12"/>
      <c r="CP817" s="12"/>
      <c r="CQ817" s="12"/>
      <c r="CR817" s="12"/>
      <c r="CS817" s="12"/>
      <c r="CT817" s="12"/>
      <c r="CU817" s="12"/>
      <c r="CV817" s="12"/>
      <c r="CW817" s="12"/>
      <c r="CX817" s="12"/>
      <c r="CY817" s="12"/>
      <c r="CZ817" s="12"/>
      <c r="DA817" s="12"/>
      <c r="DB817" s="12"/>
      <c r="DC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c r="CA818" s="12"/>
      <c r="CB818" s="12"/>
      <c r="CC818" s="12"/>
      <c r="CD818" s="12"/>
      <c r="CE818" s="12"/>
      <c r="CF818" s="12"/>
      <c r="CG818" s="12"/>
      <c r="CH818" s="12"/>
      <c r="CI818" s="12"/>
      <c r="CJ818" s="12"/>
      <c r="CK818" s="12"/>
      <c r="CL818" s="12"/>
      <c r="CM818" s="12"/>
      <c r="CN818" s="12"/>
      <c r="CO818" s="12"/>
      <c r="CP818" s="12"/>
      <c r="CQ818" s="12"/>
      <c r="CR818" s="12"/>
      <c r="CS818" s="12"/>
      <c r="CT818" s="12"/>
      <c r="CU818" s="12"/>
      <c r="CV818" s="12"/>
      <c r="CW818" s="12"/>
      <c r="CX818" s="12"/>
      <c r="CY818" s="12"/>
      <c r="CZ818" s="12"/>
      <c r="DA818" s="12"/>
      <c r="DB818" s="12"/>
      <c r="DC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c r="CA819" s="12"/>
      <c r="CB819" s="12"/>
      <c r="CC819" s="12"/>
      <c r="CD819" s="12"/>
      <c r="CE819" s="12"/>
      <c r="CF819" s="12"/>
      <c r="CG819" s="12"/>
      <c r="CH819" s="12"/>
      <c r="CI819" s="12"/>
      <c r="CJ819" s="12"/>
      <c r="CK819" s="12"/>
      <c r="CL819" s="12"/>
      <c r="CM819" s="12"/>
      <c r="CN819" s="12"/>
      <c r="CO819" s="12"/>
      <c r="CP819" s="12"/>
      <c r="CQ819" s="12"/>
      <c r="CR819" s="12"/>
      <c r="CS819" s="12"/>
      <c r="CT819" s="12"/>
      <c r="CU819" s="12"/>
      <c r="CV819" s="12"/>
      <c r="CW819" s="12"/>
      <c r="CX819" s="12"/>
      <c r="CY819" s="12"/>
      <c r="CZ819" s="12"/>
      <c r="DA819" s="12"/>
      <c r="DB819" s="12"/>
      <c r="DC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c r="CA820" s="12"/>
      <c r="CB820" s="12"/>
      <c r="CC820" s="12"/>
      <c r="CD820" s="12"/>
      <c r="CE820" s="12"/>
      <c r="CF820" s="12"/>
      <c r="CG820" s="12"/>
      <c r="CH820" s="12"/>
      <c r="CI820" s="12"/>
      <c r="CJ820" s="12"/>
      <c r="CK820" s="12"/>
      <c r="CL820" s="12"/>
      <c r="CM820" s="12"/>
      <c r="CN820" s="12"/>
      <c r="CO820" s="12"/>
      <c r="CP820" s="12"/>
      <c r="CQ820" s="12"/>
      <c r="CR820" s="12"/>
      <c r="CS820" s="12"/>
      <c r="CT820" s="12"/>
      <c r="CU820" s="12"/>
      <c r="CV820" s="12"/>
      <c r="CW820" s="12"/>
      <c r="CX820" s="12"/>
      <c r="CY820" s="12"/>
      <c r="CZ820" s="12"/>
      <c r="DA820" s="12"/>
      <c r="DB820" s="12"/>
      <c r="DC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c r="CA821" s="12"/>
      <c r="CB821" s="12"/>
      <c r="CC821" s="12"/>
      <c r="CD821" s="12"/>
      <c r="CE821" s="12"/>
      <c r="CF821" s="12"/>
      <c r="CG821" s="12"/>
      <c r="CH821" s="12"/>
      <c r="CI821" s="12"/>
      <c r="CJ821" s="12"/>
      <c r="CK821" s="12"/>
      <c r="CL821" s="12"/>
      <c r="CM821" s="12"/>
      <c r="CN821" s="12"/>
      <c r="CO821" s="12"/>
      <c r="CP821" s="12"/>
      <c r="CQ821" s="12"/>
      <c r="CR821" s="12"/>
      <c r="CS821" s="12"/>
      <c r="CT821" s="12"/>
      <c r="CU821" s="12"/>
      <c r="CV821" s="12"/>
      <c r="CW821" s="12"/>
      <c r="CX821" s="12"/>
      <c r="CY821" s="12"/>
      <c r="CZ821" s="12"/>
      <c r="DA821" s="12"/>
      <c r="DB821" s="12"/>
      <c r="DC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c r="CA822" s="12"/>
      <c r="CB822" s="12"/>
      <c r="CC822" s="12"/>
      <c r="CD822" s="12"/>
      <c r="CE822" s="12"/>
      <c r="CF822" s="12"/>
      <c r="CG822" s="12"/>
      <c r="CH822" s="12"/>
      <c r="CI822" s="12"/>
      <c r="CJ822" s="12"/>
      <c r="CK822" s="12"/>
      <c r="CL822" s="12"/>
      <c r="CM822" s="12"/>
      <c r="CN822" s="12"/>
      <c r="CO822" s="12"/>
      <c r="CP822" s="12"/>
      <c r="CQ822" s="12"/>
      <c r="CR822" s="12"/>
      <c r="CS822" s="12"/>
      <c r="CT822" s="12"/>
      <c r="CU822" s="12"/>
      <c r="CV822" s="12"/>
      <c r="CW822" s="12"/>
      <c r="CX822" s="12"/>
      <c r="CY822" s="12"/>
      <c r="CZ822" s="12"/>
      <c r="DA822" s="12"/>
      <c r="DB822" s="12"/>
      <c r="DC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c r="CA823" s="12"/>
      <c r="CB823" s="12"/>
      <c r="CC823" s="12"/>
      <c r="CD823" s="12"/>
      <c r="CE823" s="12"/>
      <c r="CF823" s="12"/>
      <c r="CG823" s="12"/>
      <c r="CH823" s="12"/>
      <c r="CI823" s="12"/>
      <c r="CJ823" s="12"/>
      <c r="CK823" s="12"/>
      <c r="CL823" s="12"/>
      <c r="CM823" s="12"/>
      <c r="CN823" s="12"/>
      <c r="CO823" s="12"/>
      <c r="CP823" s="12"/>
      <c r="CQ823" s="12"/>
      <c r="CR823" s="12"/>
      <c r="CS823" s="12"/>
      <c r="CT823" s="12"/>
      <c r="CU823" s="12"/>
      <c r="CV823" s="12"/>
      <c r="CW823" s="12"/>
      <c r="CX823" s="12"/>
      <c r="CY823" s="12"/>
      <c r="CZ823" s="12"/>
      <c r="DA823" s="12"/>
      <c r="DB823" s="12"/>
      <c r="DC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c r="CA824" s="12"/>
      <c r="CB824" s="12"/>
      <c r="CC824" s="12"/>
      <c r="CD824" s="12"/>
      <c r="CE824" s="12"/>
      <c r="CF824" s="12"/>
      <c r="CG824" s="12"/>
      <c r="CH824" s="12"/>
      <c r="CI824" s="12"/>
      <c r="CJ824" s="12"/>
      <c r="CK824" s="12"/>
      <c r="CL824" s="12"/>
      <c r="CM824" s="12"/>
      <c r="CN824" s="12"/>
      <c r="CO824" s="12"/>
      <c r="CP824" s="12"/>
      <c r="CQ824" s="12"/>
      <c r="CR824" s="12"/>
      <c r="CS824" s="12"/>
      <c r="CT824" s="12"/>
      <c r="CU824" s="12"/>
      <c r="CV824" s="12"/>
      <c r="CW824" s="12"/>
      <c r="CX824" s="12"/>
      <c r="CY824" s="12"/>
      <c r="CZ824" s="12"/>
      <c r="DA824" s="12"/>
      <c r="DB824" s="12"/>
      <c r="DC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c r="CA825" s="12"/>
      <c r="CB825" s="12"/>
      <c r="CC825" s="12"/>
      <c r="CD825" s="12"/>
      <c r="CE825" s="12"/>
      <c r="CF825" s="12"/>
      <c r="CG825" s="12"/>
      <c r="CH825" s="12"/>
      <c r="CI825" s="12"/>
      <c r="CJ825" s="12"/>
      <c r="CK825" s="12"/>
      <c r="CL825" s="12"/>
      <c r="CM825" s="12"/>
      <c r="CN825" s="12"/>
      <c r="CO825" s="12"/>
      <c r="CP825" s="12"/>
      <c r="CQ825" s="12"/>
      <c r="CR825" s="12"/>
      <c r="CS825" s="12"/>
      <c r="CT825" s="12"/>
      <c r="CU825" s="12"/>
      <c r="CV825" s="12"/>
      <c r="CW825" s="12"/>
      <c r="CX825" s="12"/>
      <c r="CY825" s="12"/>
      <c r="CZ825" s="12"/>
      <c r="DA825" s="12"/>
      <c r="DB825" s="12"/>
      <c r="DC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c r="CA826" s="12"/>
      <c r="CB826" s="12"/>
      <c r="CC826" s="12"/>
      <c r="CD826" s="12"/>
      <c r="CE826" s="12"/>
      <c r="CF826" s="12"/>
      <c r="CG826" s="12"/>
      <c r="CH826" s="12"/>
      <c r="CI826" s="12"/>
      <c r="CJ826" s="12"/>
      <c r="CK826" s="12"/>
      <c r="CL826" s="12"/>
      <c r="CM826" s="12"/>
      <c r="CN826" s="12"/>
      <c r="CO826" s="12"/>
      <c r="CP826" s="12"/>
      <c r="CQ826" s="12"/>
      <c r="CR826" s="12"/>
      <c r="CS826" s="12"/>
      <c r="CT826" s="12"/>
      <c r="CU826" s="12"/>
      <c r="CV826" s="12"/>
      <c r="CW826" s="12"/>
      <c r="CX826" s="12"/>
      <c r="CY826" s="12"/>
      <c r="CZ826" s="12"/>
      <c r="DA826" s="12"/>
      <c r="DB826" s="12"/>
      <c r="DC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c r="CA827" s="12"/>
      <c r="CB827" s="12"/>
      <c r="CC827" s="12"/>
      <c r="CD827" s="12"/>
      <c r="CE827" s="12"/>
      <c r="CF827" s="12"/>
      <c r="CG827" s="12"/>
      <c r="CH827" s="12"/>
      <c r="CI827" s="12"/>
      <c r="CJ827" s="12"/>
      <c r="CK827" s="12"/>
      <c r="CL827" s="12"/>
      <c r="CM827" s="12"/>
      <c r="CN827" s="12"/>
      <c r="CO827" s="12"/>
      <c r="CP827" s="12"/>
      <c r="CQ827" s="12"/>
      <c r="CR827" s="12"/>
      <c r="CS827" s="12"/>
      <c r="CT827" s="12"/>
      <c r="CU827" s="12"/>
      <c r="CV827" s="12"/>
      <c r="CW827" s="12"/>
      <c r="CX827" s="12"/>
      <c r="CY827" s="12"/>
      <c r="CZ827" s="12"/>
      <c r="DA827" s="12"/>
      <c r="DB827" s="12"/>
      <c r="DC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c r="CA828" s="12"/>
      <c r="CB828" s="12"/>
      <c r="CC828" s="12"/>
      <c r="CD828" s="12"/>
      <c r="CE828" s="12"/>
      <c r="CF828" s="12"/>
      <c r="CG828" s="12"/>
      <c r="CH828" s="12"/>
      <c r="CI828" s="12"/>
      <c r="CJ828" s="12"/>
      <c r="CK828" s="12"/>
      <c r="CL828" s="12"/>
      <c r="CM828" s="12"/>
      <c r="CN828" s="12"/>
      <c r="CO828" s="12"/>
      <c r="CP828" s="12"/>
      <c r="CQ828" s="12"/>
      <c r="CR828" s="12"/>
      <c r="CS828" s="12"/>
      <c r="CT828" s="12"/>
      <c r="CU828" s="12"/>
      <c r="CV828" s="12"/>
      <c r="CW828" s="12"/>
      <c r="CX828" s="12"/>
      <c r="CY828" s="12"/>
      <c r="CZ828" s="12"/>
      <c r="DA828" s="12"/>
      <c r="DB828" s="12"/>
      <c r="DC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c r="CA829" s="12"/>
      <c r="CB829" s="12"/>
      <c r="CC829" s="12"/>
      <c r="CD829" s="12"/>
      <c r="CE829" s="12"/>
      <c r="CF829" s="12"/>
      <c r="CG829" s="12"/>
      <c r="CH829" s="12"/>
      <c r="CI829" s="12"/>
      <c r="CJ829" s="12"/>
      <c r="CK829" s="12"/>
      <c r="CL829" s="12"/>
      <c r="CM829" s="12"/>
      <c r="CN829" s="12"/>
      <c r="CO829" s="12"/>
      <c r="CP829" s="12"/>
      <c r="CQ829" s="12"/>
      <c r="CR829" s="12"/>
      <c r="CS829" s="12"/>
      <c r="CT829" s="12"/>
      <c r="CU829" s="12"/>
      <c r="CV829" s="12"/>
      <c r="CW829" s="12"/>
      <c r="CX829" s="12"/>
      <c r="CY829" s="12"/>
      <c r="CZ829" s="12"/>
      <c r="DA829" s="12"/>
      <c r="DB829" s="12"/>
      <c r="DC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c r="CA830" s="12"/>
      <c r="CB830" s="12"/>
      <c r="CC830" s="12"/>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c r="CZ830" s="12"/>
      <c r="DA830" s="12"/>
      <c r="DB830" s="12"/>
      <c r="DC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c r="CA831" s="12"/>
      <c r="CB831" s="12"/>
      <c r="CC831" s="12"/>
      <c r="CD831" s="12"/>
      <c r="CE831" s="12"/>
      <c r="CF831" s="12"/>
      <c r="CG831" s="12"/>
      <c r="CH831" s="12"/>
      <c r="CI831" s="12"/>
      <c r="CJ831" s="12"/>
      <c r="CK831" s="12"/>
      <c r="CL831" s="12"/>
      <c r="CM831" s="12"/>
      <c r="CN831" s="12"/>
      <c r="CO831" s="12"/>
      <c r="CP831" s="12"/>
      <c r="CQ831" s="12"/>
      <c r="CR831" s="12"/>
      <c r="CS831" s="12"/>
      <c r="CT831" s="12"/>
      <c r="CU831" s="12"/>
      <c r="CV831" s="12"/>
      <c r="CW831" s="12"/>
      <c r="CX831" s="12"/>
      <c r="CY831" s="12"/>
      <c r="CZ831" s="12"/>
      <c r="DA831" s="12"/>
      <c r="DB831" s="12"/>
      <c r="DC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c r="CA832" s="12"/>
      <c r="CB832" s="12"/>
      <c r="CC832" s="12"/>
      <c r="CD832" s="12"/>
      <c r="CE832" s="12"/>
      <c r="CF832" s="12"/>
      <c r="CG832" s="12"/>
      <c r="CH832" s="12"/>
      <c r="CI832" s="12"/>
      <c r="CJ832" s="12"/>
      <c r="CK832" s="12"/>
      <c r="CL832" s="12"/>
      <c r="CM832" s="12"/>
      <c r="CN832" s="12"/>
      <c r="CO832" s="12"/>
      <c r="CP832" s="12"/>
      <c r="CQ832" s="12"/>
      <c r="CR832" s="12"/>
      <c r="CS832" s="12"/>
      <c r="CT832" s="12"/>
      <c r="CU832" s="12"/>
      <c r="CV832" s="12"/>
      <c r="CW832" s="12"/>
      <c r="CX832" s="12"/>
      <c r="CY832" s="12"/>
      <c r="CZ832" s="12"/>
      <c r="DA832" s="12"/>
      <c r="DB832" s="12"/>
      <c r="DC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c r="CA833" s="12"/>
      <c r="CB833" s="12"/>
      <c r="CC833" s="12"/>
      <c r="CD833" s="12"/>
      <c r="CE833" s="12"/>
      <c r="CF833" s="12"/>
      <c r="CG833" s="12"/>
      <c r="CH833" s="12"/>
      <c r="CI833" s="12"/>
      <c r="CJ833" s="12"/>
      <c r="CK833" s="12"/>
      <c r="CL833" s="12"/>
      <c r="CM833" s="12"/>
      <c r="CN833" s="12"/>
      <c r="CO833" s="12"/>
      <c r="CP833" s="12"/>
      <c r="CQ833" s="12"/>
      <c r="CR833" s="12"/>
      <c r="CS833" s="12"/>
      <c r="CT833" s="12"/>
      <c r="CU833" s="12"/>
      <c r="CV833" s="12"/>
      <c r="CW833" s="12"/>
      <c r="CX833" s="12"/>
      <c r="CY833" s="12"/>
      <c r="CZ833" s="12"/>
      <c r="DA833" s="12"/>
      <c r="DB833" s="12"/>
      <c r="DC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c r="CA834" s="12"/>
      <c r="CB834" s="12"/>
      <c r="CC834" s="12"/>
      <c r="CD834" s="12"/>
      <c r="CE834" s="12"/>
      <c r="CF834" s="12"/>
      <c r="CG834" s="12"/>
      <c r="CH834" s="12"/>
      <c r="CI834" s="12"/>
      <c r="CJ834" s="12"/>
      <c r="CK834" s="12"/>
      <c r="CL834" s="12"/>
      <c r="CM834" s="12"/>
      <c r="CN834" s="12"/>
      <c r="CO834" s="12"/>
      <c r="CP834" s="12"/>
      <c r="CQ834" s="12"/>
      <c r="CR834" s="12"/>
      <c r="CS834" s="12"/>
      <c r="CT834" s="12"/>
      <c r="CU834" s="12"/>
      <c r="CV834" s="12"/>
      <c r="CW834" s="12"/>
      <c r="CX834" s="12"/>
      <c r="CY834" s="12"/>
      <c r="CZ834" s="12"/>
      <c r="DA834" s="12"/>
      <c r="DB834" s="12"/>
      <c r="DC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c r="CA835" s="12"/>
      <c r="CB835" s="12"/>
      <c r="CC835" s="12"/>
      <c r="CD835" s="12"/>
      <c r="CE835" s="12"/>
      <c r="CF835" s="12"/>
      <c r="CG835" s="12"/>
      <c r="CH835" s="12"/>
      <c r="CI835" s="12"/>
      <c r="CJ835" s="12"/>
      <c r="CK835" s="12"/>
      <c r="CL835" s="12"/>
      <c r="CM835" s="12"/>
      <c r="CN835" s="12"/>
      <c r="CO835" s="12"/>
      <c r="CP835" s="12"/>
      <c r="CQ835" s="12"/>
      <c r="CR835" s="12"/>
      <c r="CS835" s="12"/>
      <c r="CT835" s="12"/>
      <c r="CU835" s="12"/>
      <c r="CV835" s="12"/>
      <c r="CW835" s="12"/>
      <c r="CX835" s="12"/>
      <c r="CY835" s="12"/>
      <c r="CZ835" s="12"/>
      <c r="DA835" s="12"/>
      <c r="DB835" s="12"/>
      <c r="DC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c r="CA836" s="12"/>
      <c r="CB836" s="12"/>
      <c r="CC836" s="12"/>
      <c r="CD836" s="12"/>
      <c r="CE836" s="12"/>
      <c r="CF836" s="12"/>
      <c r="CG836" s="12"/>
      <c r="CH836" s="12"/>
      <c r="CI836" s="12"/>
      <c r="CJ836" s="12"/>
      <c r="CK836" s="12"/>
      <c r="CL836" s="12"/>
      <c r="CM836" s="12"/>
      <c r="CN836" s="12"/>
      <c r="CO836" s="12"/>
      <c r="CP836" s="12"/>
      <c r="CQ836" s="12"/>
      <c r="CR836" s="12"/>
      <c r="CS836" s="12"/>
      <c r="CT836" s="12"/>
      <c r="CU836" s="12"/>
      <c r="CV836" s="12"/>
      <c r="CW836" s="12"/>
      <c r="CX836" s="12"/>
      <c r="CY836" s="12"/>
      <c r="CZ836" s="12"/>
      <c r="DA836" s="12"/>
      <c r="DB836" s="12"/>
      <c r="DC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c r="CA837" s="12"/>
      <c r="CB837" s="12"/>
      <c r="CC837" s="12"/>
      <c r="CD837" s="12"/>
      <c r="CE837" s="12"/>
      <c r="CF837" s="12"/>
      <c r="CG837" s="12"/>
      <c r="CH837" s="12"/>
      <c r="CI837" s="12"/>
      <c r="CJ837" s="12"/>
      <c r="CK837" s="12"/>
      <c r="CL837" s="12"/>
      <c r="CM837" s="12"/>
      <c r="CN837" s="12"/>
      <c r="CO837" s="12"/>
      <c r="CP837" s="12"/>
      <c r="CQ837" s="12"/>
      <c r="CR837" s="12"/>
      <c r="CS837" s="12"/>
      <c r="CT837" s="12"/>
      <c r="CU837" s="12"/>
      <c r="CV837" s="12"/>
      <c r="CW837" s="12"/>
      <c r="CX837" s="12"/>
      <c r="CY837" s="12"/>
      <c r="CZ837" s="12"/>
      <c r="DA837" s="12"/>
      <c r="DB837" s="12"/>
      <c r="DC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c r="CA838" s="12"/>
      <c r="CB838" s="12"/>
      <c r="CC838" s="12"/>
      <c r="CD838" s="12"/>
      <c r="CE838" s="12"/>
      <c r="CF838" s="12"/>
      <c r="CG838" s="12"/>
      <c r="CH838" s="12"/>
      <c r="CI838" s="12"/>
      <c r="CJ838" s="12"/>
      <c r="CK838" s="12"/>
      <c r="CL838" s="12"/>
      <c r="CM838" s="12"/>
      <c r="CN838" s="12"/>
      <c r="CO838" s="12"/>
      <c r="CP838" s="12"/>
      <c r="CQ838" s="12"/>
      <c r="CR838" s="12"/>
      <c r="CS838" s="12"/>
      <c r="CT838" s="12"/>
      <c r="CU838" s="12"/>
      <c r="CV838" s="12"/>
      <c r="CW838" s="12"/>
      <c r="CX838" s="12"/>
      <c r="CY838" s="12"/>
      <c r="CZ838" s="12"/>
      <c r="DA838" s="12"/>
      <c r="DB838" s="12"/>
      <c r="DC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c r="DB839" s="12"/>
      <c r="DC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c r="CA840" s="12"/>
      <c r="CB840" s="12"/>
      <c r="CC840" s="12"/>
      <c r="CD840" s="12"/>
      <c r="CE840" s="12"/>
      <c r="CF840" s="12"/>
      <c r="CG840" s="12"/>
      <c r="CH840" s="12"/>
      <c r="CI840" s="12"/>
      <c r="CJ840" s="12"/>
      <c r="CK840" s="12"/>
      <c r="CL840" s="12"/>
      <c r="CM840" s="12"/>
      <c r="CN840" s="12"/>
      <c r="CO840" s="12"/>
      <c r="CP840" s="12"/>
      <c r="CQ840" s="12"/>
      <c r="CR840" s="12"/>
      <c r="CS840" s="12"/>
      <c r="CT840" s="12"/>
      <c r="CU840" s="12"/>
      <c r="CV840" s="12"/>
      <c r="CW840" s="12"/>
      <c r="CX840" s="12"/>
      <c r="CY840" s="12"/>
      <c r="CZ840" s="12"/>
      <c r="DA840" s="12"/>
      <c r="DB840" s="12"/>
      <c r="DC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c r="CA841" s="12"/>
      <c r="CB841" s="12"/>
      <c r="CC841" s="12"/>
      <c r="CD841" s="12"/>
      <c r="CE841" s="12"/>
      <c r="CF841" s="12"/>
      <c r="CG841" s="12"/>
      <c r="CH841" s="12"/>
      <c r="CI841" s="12"/>
      <c r="CJ841" s="12"/>
      <c r="CK841" s="12"/>
      <c r="CL841" s="12"/>
      <c r="CM841" s="12"/>
      <c r="CN841" s="12"/>
      <c r="CO841" s="12"/>
      <c r="CP841" s="12"/>
      <c r="CQ841" s="12"/>
      <c r="CR841" s="12"/>
      <c r="CS841" s="12"/>
      <c r="CT841" s="12"/>
      <c r="CU841" s="12"/>
      <c r="CV841" s="12"/>
      <c r="CW841" s="12"/>
      <c r="CX841" s="12"/>
      <c r="CY841" s="12"/>
      <c r="CZ841" s="12"/>
      <c r="DA841" s="12"/>
      <c r="DB841" s="12"/>
      <c r="DC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c r="CA842" s="12"/>
      <c r="CB842" s="12"/>
      <c r="CC842" s="12"/>
      <c r="CD842" s="12"/>
      <c r="CE842" s="12"/>
      <c r="CF842" s="12"/>
      <c r="CG842" s="12"/>
      <c r="CH842" s="12"/>
      <c r="CI842" s="12"/>
      <c r="CJ842" s="12"/>
      <c r="CK842" s="12"/>
      <c r="CL842" s="12"/>
      <c r="CM842" s="12"/>
      <c r="CN842" s="12"/>
      <c r="CO842" s="12"/>
      <c r="CP842" s="12"/>
      <c r="CQ842" s="12"/>
      <c r="CR842" s="12"/>
      <c r="CS842" s="12"/>
      <c r="CT842" s="12"/>
      <c r="CU842" s="12"/>
      <c r="CV842" s="12"/>
      <c r="CW842" s="12"/>
      <c r="CX842" s="12"/>
      <c r="CY842" s="12"/>
      <c r="CZ842" s="12"/>
      <c r="DA842" s="12"/>
      <c r="DB842" s="12"/>
      <c r="DC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c r="CA843" s="12"/>
      <c r="CB843" s="12"/>
      <c r="CC843" s="12"/>
      <c r="CD843" s="12"/>
      <c r="CE843" s="12"/>
      <c r="CF843" s="12"/>
      <c r="CG843" s="12"/>
      <c r="CH843" s="12"/>
      <c r="CI843" s="12"/>
      <c r="CJ843" s="12"/>
      <c r="CK843" s="12"/>
      <c r="CL843" s="12"/>
      <c r="CM843" s="12"/>
      <c r="CN843" s="12"/>
      <c r="CO843" s="12"/>
      <c r="CP843" s="12"/>
      <c r="CQ843" s="12"/>
      <c r="CR843" s="12"/>
      <c r="CS843" s="12"/>
      <c r="CT843" s="12"/>
      <c r="CU843" s="12"/>
      <c r="CV843" s="12"/>
      <c r="CW843" s="12"/>
      <c r="CX843" s="12"/>
      <c r="CY843" s="12"/>
      <c r="CZ843" s="12"/>
      <c r="DA843" s="12"/>
      <c r="DB843" s="12"/>
      <c r="DC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c r="CA844" s="12"/>
      <c r="CB844" s="12"/>
      <c r="CC844" s="12"/>
      <c r="CD844" s="12"/>
      <c r="CE844" s="12"/>
      <c r="CF844" s="12"/>
      <c r="CG844" s="12"/>
      <c r="CH844" s="12"/>
      <c r="CI844" s="12"/>
      <c r="CJ844" s="12"/>
      <c r="CK844" s="12"/>
      <c r="CL844" s="12"/>
      <c r="CM844" s="12"/>
      <c r="CN844" s="12"/>
      <c r="CO844" s="12"/>
      <c r="CP844" s="12"/>
      <c r="CQ844" s="12"/>
      <c r="CR844" s="12"/>
      <c r="CS844" s="12"/>
      <c r="CT844" s="12"/>
      <c r="CU844" s="12"/>
      <c r="CV844" s="12"/>
      <c r="CW844" s="12"/>
      <c r="CX844" s="12"/>
      <c r="CY844" s="12"/>
      <c r="CZ844" s="12"/>
      <c r="DA844" s="12"/>
      <c r="DB844" s="12"/>
      <c r="DC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c r="CA845" s="12"/>
      <c r="CB845" s="12"/>
      <c r="CC845" s="12"/>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c r="CA846" s="12"/>
      <c r="CB846" s="12"/>
      <c r="CC846" s="12"/>
      <c r="CD846" s="12"/>
      <c r="CE846" s="12"/>
      <c r="CF846" s="12"/>
      <c r="CG846" s="12"/>
      <c r="CH846" s="12"/>
      <c r="CI846" s="12"/>
      <c r="CJ846" s="12"/>
      <c r="CK846" s="12"/>
      <c r="CL846" s="12"/>
      <c r="CM846" s="12"/>
      <c r="CN846" s="12"/>
      <c r="CO846" s="12"/>
      <c r="CP846" s="12"/>
      <c r="CQ846" s="12"/>
      <c r="CR846" s="12"/>
      <c r="CS846" s="12"/>
      <c r="CT846" s="12"/>
      <c r="CU846" s="12"/>
      <c r="CV846" s="12"/>
      <c r="CW846" s="12"/>
      <c r="CX846" s="12"/>
      <c r="CY846" s="12"/>
      <c r="CZ846" s="12"/>
      <c r="DA846" s="12"/>
      <c r="DB846" s="12"/>
      <c r="DC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c r="CA847" s="12"/>
      <c r="CB847" s="12"/>
      <c r="CC847" s="12"/>
      <c r="CD847" s="12"/>
      <c r="CE847" s="12"/>
      <c r="CF847" s="12"/>
      <c r="CG847" s="12"/>
      <c r="CH847" s="12"/>
      <c r="CI847" s="12"/>
      <c r="CJ847" s="12"/>
      <c r="CK847" s="12"/>
      <c r="CL847" s="12"/>
      <c r="CM847" s="12"/>
      <c r="CN847" s="12"/>
      <c r="CO847" s="12"/>
      <c r="CP847" s="12"/>
      <c r="CQ847" s="12"/>
      <c r="CR847" s="12"/>
      <c r="CS847" s="12"/>
      <c r="CT847" s="12"/>
      <c r="CU847" s="12"/>
      <c r="CV847" s="12"/>
      <c r="CW847" s="12"/>
      <c r="CX847" s="12"/>
      <c r="CY847" s="12"/>
      <c r="CZ847" s="12"/>
      <c r="DA847" s="12"/>
      <c r="DB847" s="12"/>
      <c r="DC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c r="CA848" s="12"/>
      <c r="CB848" s="12"/>
      <c r="CC848" s="12"/>
      <c r="CD848" s="12"/>
      <c r="CE848" s="12"/>
      <c r="CF848" s="12"/>
      <c r="CG848" s="12"/>
      <c r="CH848" s="12"/>
      <c r="CI848" s="12"/>
      <c r="CJ848" s="12"/>
      <c r="CK848" s="12"/>
      <c r="CL848" s="12"/>
      <c r="CM848" s="12"/>
      <c r="CN848" s="12"/>
      <c r="CO848" s="12"/>
      <c r="CP848" s="12"/>
      <c r="CQ848" s="12"/>
      <c r="CR848" s="12"/>
      <c r="CS848" s="12"/>
      <c r="CT848" s="12"/>
      <c r="CU848" s="12"/>
      <c r="CV848" s="12"/>
      <c r="CW848" s="12"/>
      <c r="CX848" s="12"/>
      <c r="CY848" s="12"/>
      <c r="CZ848" s="12"/>
      <c r="DA848" s="12"/>
      <c r="DB848" s="12"/>
      <c r="DC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c r="CA849" s="12"/>
      <c r="CB849" s="12"/>
      <c r="CC849" s="12"/>
      <c r="CD849" s="12"/>
      <c r="CE849" s="12"/>
      <c r="CF849" s="12"/>
      <c r="CG849" s="12"/>
      <c r="CH849" s="12"/>
      <c r="CI849" s="12"/>
      <c r="CJ849" s="12"/>
      <c r="CK849" s="12"/>
      <c r="CL849" s="12"/>
      <c r="CM849" s="12"/>
      <c r="CN849" s="12"/>
      <c r="CO849" s="12"/>
      <c r="CP849" s="12"/>
      <c r="CQ849" s="12"/>
      <c r="CR849" s="12"/>
      <c r="CS849" s="12"/>
      <c r="CT849" s="12"/>
      <c r="CU849" s="12"/>
      <c r="CV849" s="12"/>
      <c r="CW849" s="12"/>
      <c r="CX849" s="12"/>
      <c r="CY849" s="12"/>
      <c r="CZ849" s="12"/>
      <c r="DA849" s="12"/>
      <c r="DB849" s="12"/>
      <c r="DC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c r="CA850" s="12"/>
      <c r="CB850" s="12"/>
      <c r="CC850" s="12"/>
      <c r="CD850" s="12"/>
      <c r="CE850" s="12"/>
      <c r="CF850" s="12"/>
      <c r="CG850" s="12"/>
      <c r="CH850" s="12"/>
      <c r="CI850" s="12"/>
      <c r="CJ850" s="12"/>
      <c r="CK850" s="12"/>
      <c r="CL850" s="12"/>
      <c r="CM850" s="12"/>
      <c r="CN850" s="12"/>
      <c r="CO850" s="12"/>
      <c r="CP850" s="12"/>
      <c r="CQ850" s="12"/>
      <c r="CR850" s="12"/>
      <c r="CS850" s="12"/>
      <c r="CT850" s="12"/>
      <c r="CU850" s="12"/>
      <c r="CV850" s="12"/>
      <c r="CW850" s="12"/>
      <c r="CX850" s="12"/>
      <c r="CY850" s="12"/>
      <c r="CZ850" s="12"/>
      <c r="DA850" s="12"/>
      <c r="DB850" s="12"/>
      <c r="DC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c r="CA851" s="12"/>
      <c r="CB851" s="12"/>
      <c r="CC851" s="12"/>
      <c r="CD851" s="12"/>
      <c r="CE851" s="12"/>
      <c r="CF851" s="12"/>
      <c r="CG851" s="12"/>
      <c r="CH851" s="12"/>
      <c r="CI851" s="12"/>
      <c r="CJ851" s="12"/>
      <c r="CK851" s="12"/>
      <c r="CL851" s="12"/>
      <c r="CM851" s="12"/>
      <c r="CN851" s="12"/>
      <c r="CO851" s="12"/>
      <c r="CP851" s="12"/>
      <c r="CQ851" s="12"/>
      <c r="CR851" s="12"/>
      <c r="CS851" s="12"/>
      <c r="CT851" s="12"/>
      <c r="CU851" s="12"/>
      <c r="CV851" s="12"/>
      <c r="CW851" s="12"/>
      <c r="CX851" s="12"/>
      <c r="CY851" s="12"/>
      <c r="CZ851" s="12"/>
      <c r="DA851" s="12"/>
      <c r="DB851" s="12"/>
      <c r="DC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c r="CA852" s="12"/>
      <c r="CB852" s="12"/>
      <c r="CC852" s="12"/>
      <c r="CD852" s="12"/>
      <c r="CE852" s="12"/>
      <c r="CF852" s="12"/>
      <c r="CG852" s="12"/>
      <c r="CH852" s="12"/>
      <c r="CI852" s="12"/>
      <c r="CJ852" s="12"/>
      <c r="CK852" s="12"/>
      <c r="CL852" s="12"/>
      <c r="CM852" s="12"/>
      <c r="CN852" s="12"/>
      <c r="CO852" s="12"/>
      <c r="CP852" s="12"/>
      <c r="CQ852" s="12"/>
      <c r="CR852" s="12"/>
      <c r="CS852" s="12"/>
      <c r="CT852" s="12"/>
      <c r="CU852" s="12"/>
      <c r="CV852" s="12"/>
      <c r="CW852" s="12"/>
      <c r="CX852" s="12"/>
      <c r="CY852" s="12"/>
      <c r="CZ852" s="12"/>
      <c r="DA852" s="12"/>
      <c r="DB852" s="12"/>
      <c r="DC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c r="CZ853" s="12"/>
      <c r="DA853" s="12"/>
      <c r="DB853" s="12"/>
      <c r="DC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c r="CV854" s="12"/>
      <c r="CW854" s="12"/>
      <c r="CX854" s="12"/>
      <c r="CY854" s="12"/>
      <c r="CZ854" s="12"/>
      <c r="DA854" s="12"/>
      <c r="DB854" s="12"/>
      <c r="DC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c r="CA855" s="12"/>
      <c r="CB855" s="12"/>
      <c r="CC855" s="12"/>
      <c r="CD855" s="12"/>
      <c r="CE855" s="12"/>
      <c r="CF855" s="12"/>
      <c r="CG855" s="12"/>
      <c r="CH855" s="12"/>
      <c r="CI855" s="12"/>
      <c r="CJ855" s="12"/>
      <c r="CK855" s="12"/>
      <c r="CL855" s="12"/>
      <c r="CM855" s="12"/>
      <c r="CN855" s="12"/>
      <c r="CO855" s="12"/>
      <c r="CP855" s="12"/>
      <c r="CQ855" s="12"/>
      <c r="CR855" s="12"/>
      <c r="CS855" s="12"/>
      <c r="CT855" s="12"/>
      <c r="CU855" s="12"/>
      <c r="CV855" s="12"/>
      <c r="CW855" s="12"/>
      <c r="CX855" s="12"/>
      <c r="CY855" s="12"/>
      <c r="CZ855" s="12"/>
      <c r="DA855" s="12"/>
      <c r="DB855" s="12"/>
      <c r="DC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c r="CA856" s="12"/>
      <c r="CB856" s="12"/>
      <c r="CC856" s="12"/>
      <c r="CD856" s="12"/>
      <c r="CE856" s="12"/>
      <c r="CF856" s="12"/>
      <c r="CG856" s="12"/>
      <c r="CH856" s="12"/>
      <c r="CI856" s="12"/>
      <c r="CJ856" s="12"/>
      <c r="CK856" s="12"/>
      <c r="CL856" s="12"/>
      <c r="CM856" s="12"/>
      <c r="CN856" s="12"/>
      <c r="CO856" s="12"/>
      <c r="CP856" s="12"/>
      <c r="CQ856" s="12"/>
      <c r="CR856" s="12"/>
      <c r="CS856" s="12"/>
      <c r="CT856" s="12"/>
      <c r="CU856" s="12"/>
      <c r="CV856" s="12"/>
      <c r="CW856" s="12"/>
      <c r="CX856" s="12"/>
      <c r="CY856" s="12"/>
      <c r="CZ856" s="12"/>
      <c r="DA856" s="12"/>
      <c r="DB856" s="12"/>
      <c r="DC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c r="CA857" s="12"/>
      <c r="CB857" s="12"/>
      <c r="CC857" s="12"/>
      <c r="CD857" s="12"/>
      <c r="CE857" s="12"/>
      <c r="CF857" s="12"/>
      <c r="CG857" s="12"/>
      <c r="CH857" s="12"/>
      <c r="CI857" s="12"/>
      <c r="CJ857" s="12"/>
      <c r="CK857" s="12"/>
      <c r="CL857" s="12"/>
      <c r="CM857" s="12"/>
      <c r="CN857" s="12"/>
      <c r="CO857" s="12"/>
      <c r="CP857" s="12"/>
      <c r="CQ857" s="12"/>
      <c r="CR857" s="12"/>
      <c r="CS857" s="12"/>
      <c r="CT857" s="12"/>
      <c r="CU857" s="12"/>
      <c r="CV857" s="12"/>
      <c r="CW857" s="12"/>
      <c r="CX857" s="12"/>
      <c r="CY857" s="12"/>
      <c r="CZ857" s="12"/>
      <c r="DA857" s="12"/>
      <c r="DB857" s="12"/>
      <c r="DC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c r="CA858" s="12"/>
      <c r="CB858" s="12"/>
      <c r="CC858" s="12"/>
      <c r="CD858" s="12"/>
      <c r="CE858" s="12"/>
      <c r="CF858" s="12"/>
      <c r="CG858" s="12"/>
      <c r="CH858" s="12"/>
      <c r="CI858" s="12"/>
      <c r="CJ858" s="12"/>
      <c r="CK858" s="12"/>
      <c r="CL858" s="12"/>
      <c r="CM858" s="12"/>
      <c r="CN858" s="12"/>
      <c r="CO858" s="12"/>
      <c r="CP858" s="12"/>
      <c r="CQ858" s="12"/>
      <c r="CR858" s="12"/>
      <c r="CS858" s="12"/>
      <c r="CT858" s="12"/>
      <c r="CU858" s="12"/>
      <c r="CV858" s="12"/>
      <c r="CW858" s="12"/>
      <c r="CX858" s="12"/>
      <c r="CY858" s="12"/>
      <c r="CZ858" s="12"/>
      <c r="DA858" s="12"/>
      <c r="DB858" s="12"/>
      <c r="DC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c r="CA859" s="12"/>
      <c r="CB859" s="12"/>
      <c r="CC859" s="12"/>
      <c r="CD859" s="12"/>
      <c r="CE859" s="12"/>
      <c r="CF859" s="12"/>
      <c r="CG859" s="12"/>
      <c r="CH859" s="12"/>
      <c r="CI859" s="12"/>
      <c r="CJ859" s="12"/>
      <c r="CK859" s="12"/>
      <c r="CL859" s="12"/>
      <c r="CM859" s="12"/>
      <c r="CN859" s="12"/>
      <c r="CO859" s="12"/>
      <c r="CP859" s="12"/>
      <c r="CQ859" s="12"/>
      <c r="CR859" s="12"/>
      <c r="CS859" s="12"/>
      <c r="CT859" s="12"/>
      <c r="CU859" s="12"/>
      <c r="CV859" s="12"/>
      <c r="CW859" s="12"/>
      <c r="CX859" s="12"/>
      <c r="CY859" s="12"/>
      <c r="CZ859" s="12"/>
      <c r="DA859" s="12"/>
      <c r="DB859" s="12"/>
      <c r="DC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c r="CA860" s="12"/>
      <c r="CB860" s="12"/>
      <c r="CC860" s="12"/>
      <c r="CD860" s="12"/>
      <c r="CE860" s="12"/>
      <c r="CF860" s="12"/>
      <c r="CG860" s="12"/>
      <c r="CH860" s="12"/>
      <c r="CI860" s="12"/>
      <c r="CJ860" s="12"/>
      <c r="CK860" s="12"/>
      <c r="CL860" s="12"/>
      <c r="CM860" s="12"/>
      <c r="CN860" s="12"/>
      <c r="CO860" s="12"/>
      <c r="CP860" s="12"/>
      <c r="CQ860" s="12"/>
      <c r="CR860" s="12"/>
      <c r="CS860" s="12"/>
      <c r="CT860" s="12"/>
      <c r="CU860" s="12"/>
      <c r="CV860" s="12"/>
      <c r="CW860" s="12"/>
      <c r="CX860" s="12"/>
      <c r="CY860" s="12"/>
      <c r="CZ860" s="12"/>
      <c r="DA860" s="12"/>
      <c r="DB860" s="12"/>
      <c r="DC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c r="CA861" s="12"/>
      <c r="CB861" s="12"/>
      <c r="CC861" s="12"/>
      <c r="CD861" s="12"/>
      <c r="CE861" s="12"/>
      <c r="CF861" s="12"/>
      <c r="CG861" s="12"/>
      <c r="CH861" s="12"/>
      <c r="CI861" s="12"/>
      <c r="CJ861" s="12"/>
      <c r="CK861" s="12"/>
      <c r="CL861" s="12"/>
      <c r="CM861" s="12"/>
      <c r="CN861" s="12"/>
      <c r="CO861" s="12"/>
      <c r="CP861" s="12"/>
      <c r="CQ861" s="12"/>
      <c r="CR861" s="12"/>
      <c r="CS861" s="12"/>
      <c r="CT861" s="12"/>
      <c r="CU861" s="12"/>
      <c r="CV861" s="12"/>
      <c r="CW861" s="12"/>
      <c r="CX861" s="12"/>
      <c r="CY861" s="12"/>
      <c r="CZ861" s="12"/>
      <c r="DA861" s="12"/>
      <c r="DB861" s="12"/>
      <c r="DC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c r="CA862" s="12"/>
      <c r="CB862" s="12"/>
      <c r="CC862" s="12"/>
      <c r="CD862" s="12"/>
      <c r="CE862" s="12"/>
      <c r="CF862" s="12"/>
      <c r="CG862" s="12"/>
      <c r="CH862" s="12"/>
      <c r="CI862" s="12"/>
      <c r="CJ862" s="12"/>
      <c r="CK862" s="12"/>
      <c r="CL862" s="12"/>
      <c r="CM862" s="12"/>
      <c r="CN862" s="12"/>
      <c r="CO862" s="12"/>
      <c r="CP862" s="12"/>
      <c r="CQ862" s="12"/>
      <c r="CR862" s="12"/>
      <c r="CS862" s="12"/>
      <c r="CT862" s="12"/>
      <c r="CU862" s="12"/>
      <c r="CV862" s="12"/>
      <c r="CW862" s="12"/>
      <c r="CX862" s="12"/>
      <c r="CY862" s="12"/>
      <c r="CZ862" s="12"/>
      <c r="DA862" s="12"/>
      <c r="DB862" s="12"/>
      <c r="DC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c r="CA863" s="12"/>
      <c r="CB863" s="12"/>
      <c r="CC863" s="12"/>
      <c r="CD863" s="12"/>
      <c r="CE863" s="12"/>
      <c r="CF863" s="12"/>
      <c r="CG863" s="12"/>
      <c r="CH863" s="12"/>
      <c r="CI863" s="12"/>
      <c r="CJ863" s="12"/>
      <c r="CK863" s="12"/>
      <c r="CL863" s="12"/>
      <c r="CM863" s="12"/>
      <c r="CN863" s="12"/>
      <c r="CO863" s="12"/>
      <c r="CP863" s="12"/>
      <c r="CQ863" s="12"/>
      <c r="CR863" s="12"/>
      <c r="CS863" s="12"/>
      <c r="CT863" s="12"/>
      <c r="CU863" s="12"/>
      <c r="CV863" s="12"/>
      <c r="CW863" s="12"/>
      <c r="CX863" s="12"/>
      <c r="CY863" s="12"/>
      <c r="CZ863" s="12"/>
      <c r="DA863" s="12"/>
      <c r="DB863" s="12"/>
      <c r="DC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c r="CA864" s="12"/>
      <c r="CB864" s="12"/>
      <c r="CC864" s="12"/>
      <c r="CD864" s="12"/>
      <c r="CE864" s="12"/>
      <c r="CF864" s="12"/>
      <c r="CG864" s="12"/>
      <c r="CH864" s="12"/>
      <c r="CI864" s="12"/>
      <c r="CJ864" s="12"/>
      <c r="CK864" s="12"/>
      <c r="CL864" s="12"/>
      <c r="CM864" s="12"/>
      <c r="CN864" s="12"/>
      <c r="CO864" s="12"/>
      <c r="CP864" s="12"/>
      <c r="CQ864" s="12"/>
      <c r="CR864" s="12"/>
      <c r="CS864" s="12"/>
      <c r="CT864" s="12"/>
      <c r="CU864" s="12"/>
      <c r="CV864" s="12"/>
      <c r="CW864" s="12"/>
      <c r="CX864" s="12"/>
      <c r="CY864" s="12"/>
      <c r="CZ864" s="12"/>
      <c r="DA864" s="12"/>
      <c r="DB864" s="12"/>
      <c r="DC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c r="CA865" s="12"/>
      <c r="CB865" s="12"/>
      <c r="CC865" s="12"/>
      <c r="CD865" s="12"/>
      <c r="CE865" s="12"/>
      <c r="CF865" s="12"/>
      <c r="CG865" s="12"/>
      <c r="CH865" s="12"/>
      <c r="CI865" s="12"/>
      <c r="CJ865" s="12"/>
      <c r="CK865" s="12"/>
      <c r="CL865" s="12"/>
      <c r="CM865" s="12"/>
      <c r="CN865" s="12"/>
      <c r="CO865" s="12"/>
      <c r="CP865" s="12"/>
      <c r="CQ865" s="12"/>
      <c r="CR865" s="12"/>
      <c r="CS865" s="12"/>
      <c r="CT865" s="12"/>
      <c r="CU865" s="12"/>
      <c r="CV865" s="12"/>
      <c r="CW865" s="12"/>
      <c r="CX865" s="12"/>
      <c r="CY865" s="12"/>
      <c r="CZ865" s="12"/>
      <c r="DA865" s="12"/>
      <c r="DB865" s="12"/>
      <c r="DC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c r="CA866" s="12"/>
      <c r="CB866" s="12"/>
      <c r="CC866" s="12"/>
      <c r="CD866" s="12"/>
      <c r="CE866" s="12"/>
      <c r="CF866" s="12"/>
      <c r="CG866" s="12"/>
      <c r="CH866" s="12"/>
      <c r="CI866" s="12"/>
      <c r="CJ866" s="12"/>
      <c r="CK866" s="12"/>
      <c r="CL866" s="12"/>
      <c r="CM866" s="12"/>
      <c r="CN866" s="12"/>
      <c r="CO866" s="12"/>
      <c r="CP866" s="12"/>
      <c r="CQ866" s="12"/>
      <c r="CR866" s="12"/>
      <c r="CS866" s="12"/>
      <c r="CT866" s="12"/>
      <c r="CU866" s="12"/>
      <c r="CV866" s="12"/>
      <c r="CW866" s="12"/>
      <c r="CX866" s="12"/>
      <c r="CY866" s="12"/>
      <c r="CZ866" s="12"/>
      <c r="DA866" s="12"/>
      <c r="DB866" s="12"/>
      <c r="DC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c r="CA867" s="12"/>
      <c r="CB867" s="12"/>
      <c r="CC867" s="12"/>
      <c r="CD867" s="12"/>
      <c r="CE867" s="12"/>
      <c r="CF867" s="12"/>
      <c r="CG867" s="12"/>
      <c r="CH867" s="12"/>
      <c r="CI867" s="12"/>
      <c r="CJ867" s="12"/>
      <c r="CK867" s="12"/>
      <c r="CL867" s="12"/>
      <c r="CM867" s="12"/>
      <c r="CN867" s="12"/>
      <c r="CO867" s="12"/>
      <c r="CP867" s="12"/>
      <c r="CQ867" s="12"/>
      <c r="CR867" s="12"/>
      <c r="CS867" s="12"/>
      <c r="CT867" s="12"/>
      <c r="CU867" s="12"/>
      <c r="CV867" s="12"/>
      <c r="CW867" s="12"/>
      <c r="CX867" s="12"/>
      <c r="CY867" s="12"/>
      <c r="CZ867" s="12"/>
      <c r="DA867" s="12"/>
      <c r="DB867" s="12"/>
      <c r="DC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c r="CA868" s="12"/>
      <c r="CB868" s="12"/>
      <c r="CC868" s="12"/>
      <c r="CD868" s="12"/>
      <c r="CE868" s="12"/>
      <c r="CF868" s="12"/>
      <c r="CG868" s="12"/>
      <c r="CH868" s="12"/>
      <c r="CI868" s="12"/>
      <c r="CJ868" s="12"/>
      <c r="CK868" s="12"/>
      <c r="CL868" s="12"/>
      <c r="CM868" s="12"/>
      <c r="CN868" s="12"/>
      <c r="CO868" s="12"/>
      <c r="CP868" s="12"/>
      <c r="CQ868" s="12"/>
      <c r="CR868" s="12"/>
      <c r="CS868" s="12"/>
      <c r="CT868" s="12"/>
      <c r="CU868" s="12"/>
      <c r="CV868" s="12"/>
      <c r="CW868" s="12"/>
      <c r="CX868" s="12"/>
      <c r="CY868" s="12"/>
      <c r="CZ868" s="12"/>
      <c r="DA868" s="12"/>
      <c r="DB868" s="12"/>
      <c r="DC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c r="DB869" s="12"/>
      <c r="DC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c r="CA870" s="12"/>
      <c r="CB870" s="12"/>
      <c r="CC870" s="12"/>
      <c r="CD870" s="12"/>
      <c r="CE870" s="12"/>
      <c r="CF870" s="12"/>
      <c r="CG870" s="12"/>
      <c r="CH870" s="12"/>
      <c r="CI870" s="12"/>
      <c r="CJ870" s="12"/>
      <c r="CK870" s="12"/>
      <c r="CL870" s="12"/>
      <c r="CM870" s="12"/>
      <c r="CN870" s="12"/>
      <c r="CO870" s="12"/>
      <c r="CP870" s="12"/>
      <c r="CQ870" s="12"/>
      <c r="CR870" s="12"/>
      <c r="CS870" s="12"/>
      <c r="CT870" s="12"/>
      <c r="CU870" s="12"/>
      <c r="CV870" s="12"/>
      <c r="CW870" s="12"/>
      <c r="CX870" s="12"/>
      <c r="CY870" s="12"/>
      <c r="CZ870" s="12"/>
      <c r="DA870" s="12"/>
      <c r="DB870" s="12"/>
      <c r="DC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c r="CA871" s="12"/>
      <c r="CB871" s="12"/>
      <c r="CC871" s="12"/>
      <c r="CD871" s="12"/>
      <c r="CE871" s="12"/>
      <c r="CF871" s="12"/>
      <c r="CG871" s="12"/>
      <c r="CH871" s="12"/>
      <c r="CI871" s="12"/>
      <c r="CJ871" s="12"/>
      <c r="CK871" s="12"/>
      <c r="CL871" s="12"/>
      <c r="CM871" s="12"/>
      <c r="CN871" s="12"/>
      <c r="CO871" s="12"/>
      <c r="CP871" s="12"/>
      <c r="CQ871" s="12"/>
      <c r="CR871" s="12"/>
      <c r="CS871" s="12"/>
      <c r="CT871" s="12"/>
      <c r="CU871" s="12"/>
      <c r="CV871" s="12"/>
      <c r="CW871" s="12"/>
      <c r="CX871" s="12"/>
      <c r="CY871" s="12"/>
      <c r="CZ871" s="12"/>
      <c r="DA871" s="12"/>
      <c r="DB871" s="12"/>
      <c r="DC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c r="CA872" s="12"/>
      <c r="CB872" s="12"/>
      <c r="CC872" s="12"/>
      <c r="CD872" s="12"/>
      <c r="CE872" s="12"/>
      <c r="CF872" s="12"/>
      <c r="CG872" s="12"/>
      <c r="CH872" s="12"/>
      <c r="CI872" s="12"/>
      <c r="CJ872" s="12"/>
      <c r="CK872" s="12"/>
      <c r="CL872" s="12"/>
      <c r="CM872" s="12"/>
      <c r="CN872" s="12"/>
      <c r="CO872" s="12"/>
      <c r="CP872" s="12"/>
      <c r="CQ872" s="12"/>
      <c r="CR872" s="12"/>
      <c r="CS872" s="12"/>
      <c r="CT872" s="12"/>
      <c r="CU872" s="12"/>
      <c r="CV872" s="12"/>
      <c r="CW872" s="12"/>
      <c r="CX872" s="12"/>
      <c r="CY872" s="12"/>
      <c r="CZ872" s="12"/>
      <c r="DA872" s="12"/>
      <c r="DB872" s="12"/>
      <c r="DC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c r="CA873" s="12"/>
      <c r="CB873" s="12"/>
      <c r="CC873" s="12"/>
      <c r="CD873" s="12"/>
      <c r="CE873" s="12"/>
      <c r="CF873" s="12"/>
      <c r="CG873" s="12"/>
      <c r="CH873" s="12"/>
      <c r="CI873" s="12"/>
      <c r="CJ873" s="12"/>
      <c r="CK873" s="12"/>
      <c r="CL873" s="12"/>
      <c r="CM873" s="12"/>
      <c r="CN873" s="12"/>
      <c r="CO873" s="12"/>
      <c r="CP873" s="12"/>
      <c r="CQ873" s="12"/>
      <c r="CR873" s="12"/>
      <c r="CS873" s="12"/>
      <c r="CT873" s="12"/>
      <c r="CU873" s="12"/>
      <c r="CV873" s="12"/>
      <c r="CW873" s="12"/>
      <c r="CX873" s="12"/>
      <c r="CY873" s="12"/>
      <c r="CZ873" s="12"/>
      <c r="DA873" s="12"/>
      <c r="DB873" s="12"/>
      <c r="DC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c r="CA874" s="12"/>
      <c r="CB874" s="12"/>
      <c r="CC874" s="12"/>
      <c r="CD874" s="12"/>
      <c r="CE874" s="12"/>
      <c r="CF874" s="12"/>
      <c r="CG874" s="12"/>
      <c r="CH874" s="12"/>
      <c r="CI874" s="12"/>
      <c r="CJ874" s="12"/>
      <c r="CK874" s="12"/>
      <c r="CL874" s="12"/>
      <c r="CM874" s="12"/>
      <c r="CN874" s="12"/>
      <c r="CO874" s="12"/>
      <c r="CP874" s="12"/>
      <c r="CQ874" s="12"/>
      <c r="CR874" s="12"/>
      <c r="CS874" s="12"/>
      <c r="CT874" s="12"/>
      <c r="CU874" s="12"/>
      <c r="CV874" s="12"/>
      <c r="CW874" s="12"/>
      <c r="CX874" s="12"/>
      <c r="CY874" s="12"/>
      <c r="CZ874" s="12"/>
      <c r="DA874" s="12"/>
      <c r="DB874" s="12"/>
      <c r="DC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c r="CA875" s="12"/>
      <c r="CB875" s="12"/>
      <c r="CC875" s="12"/>
      <c r="CD875" s="12"/>
      <c r="CE875" s="12"/>
      <c r="CF875" s="12"/>
      <c r="CG875" s="12"/>
      <c r="CH875" s="12"/>
      <c r="CI875" s="12"/>
      <c r="CJ875" s="12"/>
      <c r="CK875" s="12"/>
      <c r="CL875" s="12"/>
      <c r="CM875" s="12"/>
      <c r="CN875" s="12"/>
      <c r="CO875" s="12"/>
      <c r="CP875" s="12"/>
      <c r="CQ875" s="12"/>
      <c r="CR875" s="12"/>
      <c r="CS875" s="12"/>
      <c r="CT875" s="12"/>
      <c r="CU875" s="12"/>
      <c r="CV875" s="12"/>
      <c r="CW875" s="12"/>
      <c r="CX875" s="12"/>
      <c r="CY875" s="12"/>
      <c r="CZ875" s="12"/>
      <c r="DA875" s="12"/>
      <c r="DB875" s="12"/>
      <c r="DC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c r="CA876" s="12"/>
      <c r="CB876" s="12"/>
      <c r="CC876" s="12"/>
      <c r="CD876" s="12"/>
      <c r="CE876" s="12"/>
      <c r="CF876" s="12"/>
      <c r="CG876" s="12"/>
      <c r="CH876" s="12"/>
      <c r="CI876" s="12"/>
      <c r="CJ876" s="12"/>
      <c r="CK876" s="12"/>
      <c r="CL876" s="12"/>
      <c r="CM876" s="12"/>
      <c r="CN876" s="12"/>
      <c r="CO876" s="12"/>
      <c r="CP876" s="12"/>
      <c r="CQ876" s="12"/>
      <c r="CR876" s="12"/>
      <c r="CS876" s="12"/>
      <c r="CT876" s="12"/>
      <c r="CU876" s="12"/>
      <c r="CV876" s="12"/>
      <c r="CW876" s="12"/>
      <c r="CX876" s="12"/>
      <c r="CY876" s="12"/>
      <c r="CZ876" s="12"/>
      <c r="DA876" s="12"/>
      <c r="DB876" s="12"/>
      <c r="DC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c r="CA877" s="12"/>
      <c r="CB877" s="12"/>
      <c r="CC877" s="12"/>
      <c r="CD877" s="12"/>
      <c r="CE877" s="12"/>
      <c r="CF877" s="12"/>
      <c r="CG877" s="12"/>
      <c r="CH877" s="12"/>
      <c r="CI877" s="12"/>
      <c r="CJ877" s="12"/>
      <c r="CK877" s="12"/>
      <c r="CL877" s="12"/>
      <c r="CM877" s="12"/>
      <c r="CN877" s="12"/>
      <c r="CO877" s="12"/>
      <c r="CP877" s="12"/>
      <c r="CQ877" s="12"/>
      <c r="CR877" s="12"/>
      <c r="CS877" s="12"/>
      <c r="CT877" s="12"/>
      <c r="CU877" s="12"/>
      <c r="CV877" s="12"/>
      <c r="CW877" s="12"/>
      <c r="CX877" s="12"/>
      <c r="CY877" s="12"/>
      <c r="CZ877" s="12"/>
      <c r="DA877" s="12"/>
      <c r="DB877" s="12"/>
      <c r="DC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c r="CA878" s="12"/>
      <c r="CB878" s="12"/>
      <c r="CC878" s="12"/>
      <c r="CD878" s="12"/>
      <c r="CE878" s="12"/>
      <c r="CF878" s="12"/>
      <c r="CG878" s="12"/>
      <c r="CH878" s="12"/>
      <c r="CI878" s="12"/>
      <c r="CJ878" s="12"/>
      <c r="CK878" s="12"/>
      <c r="CL878" s="12"/>
      <c r="CM878" s="12"/>
      <c r="CN878" s="12"/>
      <c r="CO878" s="12"/>
      <c r="CP878" s="12"/>
      <c r="CQ878" s="12"/>
      <c r="CR878" s="12"/>
      <c r="CS878" s="12"/>
      <c r="CT878" s="12"/>
      <c r="CU878" s="12"/>
      <c r="CV878" s="12"/>
      <c r="CW878" s="12"/>
      <c r="CX878" s="12"/>
      <c r="CY878" s="12"/>
      <c r="CZ878" s="12"/>
      <c r="DA878" s="12"/>
      <c r="DB878" s="12"/>
      <c r="DC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c r="CA879" s="12"/>
      <c r="CB879" s="12"/>
      <c r="CC879" s="12"/>
      <c r="CD879" s="12"/>
      <c r="CE879" s="12"/>
      <c r="CF879" s="12"/>
      <c r="CG879" s="12"/>
      <c r="CH879" s="12"/>
      <c r="CI879" s="12"/>
      <c r="CJ879" s="12"/>
      <c r="CK879" s="12"/>
      <c r="CL879" s="12"/>
      <c r="CM879" s="12"/>
      <c r="CN879" s="12"/>
      <c r="CO879" s="12"/>
      <c r="CP879" s="12"/>
      <c r="CQ879" s="12"/>
      <c r="CR879" s="12"/>
      <c r="CS879" s="12"/>
      <c r="CT879" s="12"/>
      <c r="CU879" s="12"/>
      <c r="CV879" s="12"/>
      <c r="CW879" s="12"/>
      <c r="CX879" s="12"/>
      <c r="CY879" s="12"/>
      <c r="CZ879" s="12"/>
      <c r="DA879" s="12"/>
      <c r="DB879" s="12"/>
      <c r="DC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c r="CA880" s="12"/>
      <c r="CB880" s="12"/>
      <c r="CC880" s="12"/>
      <c r="CD880" s="12"/>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c r="DB880" s="12"/>
      <c r="DC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c r="CA881" s="12"/>
      <c r="CB881" s="12"/>
      <c r="CC881" s="12"/>
      <c r="CD881" s="12"/>
      <c r="CE881" s="12"/>
      <c r="CF881" s="12"/>
      <c r="CG881" s="12"/>
      <c r="CH881" s="12"/>
      <c r="CI881" s="12"/>
      <c r="CJ881" s="12"/>
      <c r="CK881" s="12"/>
      <c r="CL881" s="12"/>
      <c r="CM881" s="12"/>
      <c r="CN881" s="12"/>
      <c r="CO881" s="12"/>
      <c r="CP881" s="12"/>
      <c r="CQ881" s="12"/>
      <c r="CR881" s="12"/>
      <c r="CS881" s="12"/>
      <c r="CT881" s="12"/>
      <c r="CU881" s="12"/>
      <c r="CV881" s="12"/>
      <c r="CW881" s="12"/>
      <c r="CX881" s="12"/>
      <c r="CY881" s="12"/>
      <c r="CZ881" s="12"/>
      <c r="DA881" s="12"/>
      <c r="DB881" s="12"/>
      <c r="DC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c r="CA882" s="12"/>
      <c r="CB882" s="12"/>
      <c r="CC882" s="12"/>
      <c r="CD882" s="12"/>
      <c r="CE882" s="12"/>
      <c r="CF882" s="12"/>
      <c r="CG882" s="12"/>
      <c r="CH882" s="12"/>
      <c r="CI882" s="12"/>
      <c r="CJ882" s="12"/>
      <c r="CK882" s="12"/>
      <c r="CL882" s="12"/>
      <c r="CM882" s="12"/>
      <c r="CN882" s="12"/>
      <c r="CO882" s="12"/>
      <c r="CP882" s="12"/>
      <c r="CQ882" s="12"/>
      <c r="CR882" s="12"/>
      <c r="CS882" s="12"/>
      <c r="CT882" s="12"/>
      <c r="CU882" s="12"/>
      <c r="CV882" s="12"/>
      <c r="CW882" s="12"/>
      <c r="CX882" s="12"/>
      <c r="CY882" s="12"/>
      <c r="CZ882" s="12"/>
      <c r="DA882" s="12"/>
      <c r="DB882" s="12"/>
      <c r="DC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c r="CA883" s="12"/>
      <c r="CB883" s="12"/>
      <c r="CC883" s="12"/>
      <c r="CD883" s="12"/>
      <c r="CE883" s="12"/>
      <c r="CF883" s="12"/>
      <c r="CG883" s="12"/>
      <c r="CH883" s="12"/>
      <c r="CI883" s="12"/>
      <c r="CJ883" s="12"/>
      <c r="CK883" s="12"/>
      <c r="CL883" s="12"/>
      <c r="CM883" s="12"/>
      <c r="CN883" s="12"/>
      <c r="CO883" s="12"/>
      <c r="CP883" s="12"/>
      <c r="CQ883" s="12"/>
      <c r="CR883" s="12"/>
      <c r="CS883" s="12"/>
      <c r="CT883" s="12"/>
      <c r="CU883" s="12"/>
      <c r="CV883" s="12"/>
      <c r="CW883" s="12"/>
      <c r="CX883" s="12"/>
      <c r="CY883" s="12"/>
      <c r="CZ883" s="12"/>
      <c r="DA883" s="12"/>
      <c r="DB883" s="12"/>
      <c r="DC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c r="CA884" s="12"/>
      <c r="CB884" s="12"/>
      <c r="CC884" s="12"/>
      <c r="CD884" s="12"/>
      <c r="CE884" s="12"/>
      <c r="CF884" s="12"/>
      <c r="CG884" s="12"/>
      <c r="CH884" s="12"/>
      <c r="CI884" s="12"/>
      <c r="CJ884" s="12"/>
      <c r="CK884" s="12"/>
      <c r="CL884" s="12"/>
      <c r="CM884" s="12"/>
      <c r="CN884" s="12"/>
      <c r="CO884" s="12"/>
      <c r="CP884" s="12"/>
      <c r="CQ884" s="12"/>
      <c r="CR884" s="12"/>
      <c r="CS884" s="12"/>
      <c r="CT884" s="12"/>
      <c r="CU884" s="12"/>
      <c r="CV884" s="12"/>
      <c r="CW884" s="12"/>
      <c r="CX884" s="12"/>
      <c r="CY884" s="12"/>
      <c r="CZ884" s="12"/>
      <c r="DA884" s="12"/>
      <c r="DB884" s="12"/>
      <c r="DC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c r="CA885" s="12"/>
      <c r="CB885" s="12"/>
      <c r="CC885" s="12"/>
      <c r="CD885" s="12"/>
      <c r="CE885" s="12"/>
      <c r="CF885" s="12"/>
      <c r="CG885" s="12"/>
      <c r="CH885" s="12"/>
      <c r="CI885" s="12"/>
      <c r="CJ885" s="12"/>
      <c r="CK885" s="12"/>
      <c r="CL885" s="12"/>
      <c r="CM885" s="12"/>
      <c r="CN885" s="12"/>
      <c r="CO885" s="12"/>
      <c r="CP885" s="12"/>
      <c r="CQ885" s="12"/>
      <c r="CR885" s="12"/>
      <c r="CS885" s="12"/>
      <c r="CT885" s="12"/>
      <c r="CU885" s="12"/>
      <c r="CV885" s="12"/>
      <c r="CW885" s="12"/>
      <c r="CX885" s="12"/>
      <c r="CY885" s="12"/>
      <c r="CZ885" s="12"/>
      <c r="DA885" s="12"/>
      <c r="DB885" s="12"/>
      <c r="DC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c r="CA886" s="12"/>
      <c r="CB886" s="12"/>
      <c r="CC886" s="12"/>
      <c r="CD886" s="12"/>
      <c r="CE886" s="12"/>
      <c r="CF886" s="12"/>
      <c r="CG886" s="12"/>
      <c r="CH886" s="12"/>
      <c r="CI886" s="12"/>
      <c r="CJ886" s="12"/>
      <c r="CK886" s="12"/>
      <c r="CL886" s="12"/>
      <c r="CM886" s="12"/>
      <c r="CN886" s="12"/>
      <c r="CO886" s="12"/>
      <c r="CP886" s="12"/>
      <c r="CQ886" s="12"/>
      <c r="CR886" s="12"/>
      <c r="CS886" s="12"/>
      <c r="CT886" s="12"/>
      <c r="CU886" s="12"/>
      <c r="CV886" s="12"/>
      <c r="CW886" s="12"/>
      <c r="CX886" s="12"/>
      <c r="CY886" s="12"/>
      <c r="CZ886" s="12"/>
      <c r="DA886" s="12"/>
      <c r="DB886" s="12"/>
      <c r="DC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c r="CA887" s="12"/>
      <c r="CB887" s="12"/>
      <c r="CC887" s="12"/>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c r="DB887" s="12"/>
      <c r="DC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c r="CA888" s="12"/>
      <c r="CB888" s="12"/>
      <c r="CC888" s="12"/>
      <c r="CD888" s="12"/>
      <c r="CE888" s="12"/>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c r="DB888" s="12"/>
      <c r="DC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c r="CA889" s="12"/>
      <c r="CB889" s="12"/>
      <c r="CC889" s="12"/>
      <c r="CD889" s="12"/>
      <c r="CE889" s="12"/>
      <c r="CF889" s="12"/>
      <c r="CG889" s="12"/>
      <c r="CH889" s="12"/>
      <c r="CI889" s="12"/>
      <c r="CJ889" s="12"/>
      <c r="CK889" s="12"/>
      <c r="CL889" s="12"/>
      <c r="CM889" s="12"/>
      <c r="CN889" s="12"/>
      <c r="CO889" s="12"/>
      <c r="CP889" s="12"/>
      <c r="CQ889" s="12"/>
      <c r="CR889" s="12"/>
      <c r="CS889" s="12"/>
      <c r="CT889" s="12"/>
      <c r="CU889" s="12"/>
      <c r="CV889" s="12"/>
      <c r="CW889" s="12"/>
      <c r="CX889" s="12"/>
      <c r="CY889" s="12"/>
      <c r="CZ889" s="12"/>
      <c r="DA889" s="12"/>
      <c r="DB889" s="12"/>
      <c r="DC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c r="CA890" s="12"/>
      <c r="CB890" s="12"/>
      <c r="CC890" s="12"/>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c r="CZ890" s="12"/>
      <c r="DA890" s="12"/>
      <c r="DB890" s="12"/>
      <c r="DC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c r="CA891" s="12"/>
      <c r="CB891" s="12"/>
      <c r="CC891" s="12"/>
      <c r="CD891" s="12"/>
      <c r="CE891" s="12"/>
      <c r="CF891" s="12"/>
      <c r="CG891" s="12"/>
      <c r="CH891" s="12"/>
      <c r="CI891" s="12"/>
      <c r="CJ891" s="12"/>
      <c r="CK891" s="12"/>
      <c r="CL891" s="12"/>
      <c r="CM891" s="12"/>
      <c r="CN891" s="12"/>
      <c r="CO891" s="12"/>
      <c r="CP891" s="12"/>
      <c r="CQ891" s="12"/>
      <c r="CR891" s="12"/>
      <c r="CS891" s="12"/>
      <c r="CT891" s="12"/>
      <c r="CU891" s="12"/>
      <c r="CV891" s="12"/>
      <c r="CW891" s="12"/>
      <c r="CX891" s="12"/>
      <c r="CY891" s="12"/>
      <c r="CZ891" s="12"/>
      <c r="DA891" s="12"/>
      <c r="DB891" s="12"/>
      <c r="DC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c r="CA892" s="12"/>
      <c r="CB892" s="12"/>
      <c r="CC892" s="12"/>
      <c r="CD892" s="12"/>
      <c r="CE892" s="12"/>
      <c r="CF892" s="12"/>
      <c r="CG892" s="12"/>
      <c r="CH892" s="12"/>
      <c r="CI892" s="12"/>
      <c r="CJ892" s="12"/>
      <c r="CK892" s="12"/>
      <c r="CL892" s="12"/>
      <c r="CM892" s="12"/>
      <c r="CN892" s="12"/>
      <c r="CO892" s="12"/>
      <c r="CP892" s="12"/>
      <c r="CQ892" s="12"/>
      <c r="CR892" s="12"/>
      <c r="CS892" s="12"/>
      <c r="CT892" s="12"/>
      <c r="CU892" s="12"/>
      <c r="CV892" s="12"/>
      <c r="CW892" s="12"/>
      <c r="CX892" s="12"/>
      <c r="CY892" s="12"/>
      <c r="CZ892" s="12"/>
      <c r="DA892" s="12"/>
      <c r="DB892" s="12"/>
      <c r="DC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c r="CA893" s="12"/>
      <c r="CB893" s="12"/>
      <c r="CC893" s="12"/>
      <c r="CD893" s="12"/>
      <c r="CE893" s="12"/>
      <c r="CF893" s="12"/>
      <c r="CG893" s="12"/>
      <c r="CH893" s="12"/>
      <c r="CI893" s="12"/>
      <c r="CJ893" s="12"/>
      <c r="CK893" s="12"/>
      <c r="CL893" s="12"/>
      <c r="CM893" s="12"/>
      <c r="CN893" s="12"/>
      <c r="CO893" s="12"/>
      <c r="CP893" s="12"/>
      <c r="CQ893" s="12"/>
      <c r="CR893" s="12"/>
      <c r="CS893" s="12"/>
      <c r="CT893" s="12"/>
      <c r="CU893" s="12"/>
      <c r="CV893" s="12"/>
      <c r="CW893" s="12"/>
      <c r="CX893" s="12"/>
      <c r="CY893" s="12"/>
      <c r="CZ893" s="12"/>
      <c r="DA893" s="12"/>
      <c r="DB893" s="12"/>
      <c r="DC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c r="CA894" s="12"/>
      <c r="CB894" s="12"/>
      <c r="CC894" s="12"/>
      <c r="CD894" s="12"/>
      <c r="CE894" s="12"/>
      <c r="CF894" s="12"/>
      <c r="CG894" s="12"/>
      <c r="CH894" s="12"/>
      <c r="CI894" s="12"/>
      <c r="CJ894" s="12"/>
      <c r="CK894" s="12"/>
      <c r="CL894" s="12"/>
      <c r="CM894" s="12"/>
      <c r="CN894" s="12"/>
      <c r="CO894" s="12"/>
      <c r="CP894" s="12"/>
      <c r="CQ894" s="12"/>
      <c r="CR894" s="12"/>
      <c r="CS894" s="12"/>
      <c r="CT894" s="12"/>
      <c r="CU894" s="12"/>
      <c r="CV894" s="12"/>
      <c r="CW894" s="12"/>
      <c r="CX894" s="12"/>
      <c r="CY894" s="12"/>
      <c r="CZ894" s="12"/>
      <c r="DA894" s="12"/>
      <c r="DB894" s="12"/>
      <c r="DC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c r="CA895" s="12"/>
      <c r="CB895" s="12"/>
      <c r="CC895" s="12"/>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c r="DB895" s="12"/>
      <c r="DC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c r="CA896" s="12"/>
      <c r="CB896" s="12"/>
      <c r="CC896" s="12"/>
      <c r="CD896" s="12"/>
      <c r="CE896" s="12"/>
      <c r="CF896" s="12"/>
      <c r="CG896" s="12"/>
      <c r="CH896" s="12"/>
      <c r="CI896" s="12"/>
      <c r="CJ896" s="12"/>
      <c r="CK896" s="12"/>
      <c r="CL896" s="12"/>
      <c r="CM896" s="12"/>
      <c r="CN896" s="12"/>
      <c r="CO896" s="12"/>
      <c r="CP896" s="12"/>
      <c r="CQ896" s="12"/>
      <c r="CR896" s="12"/>
      <c r="CS896" s="12"/>
      <c r="CT896" s="12"/>
      <c r="CU896" s="12"/>
      <c r="CV896" s="12"/>
      <c r="CW896" s="12"/>
      <c r="CX896" s="12"/>
      <c r="CY896" s="12"/>
      <c r="CZ896" s="12"/>
      <c r="DA896" s="12"/>
      <c r="DB896" s="12"/>
      <c r="DC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c r="CA897" s="12"/>
      <c r="CB897" s="12"/>
      <c r="CC897" s="12"/>
      <c r="CD897" s="12"/>
      <c r="CE897" s="12"/>
      <c r="CF897" s="12"/>
      <c r="CG897" s="12"/>
      <c r="CH897" s="12"/>
      <c r="CI897" s="12"/>
      <c r="CJ897" s="12"/>
      <c r="CK897" s="12"/>
      <c r="CL897" s="12"/>
      <c r="CM897" s="12"/>
      <c r="CN897" s="12"/>
      <c r="CO897" s="12"/>
      <c r="CP897" s="12"/>
      <c r="CQ897" s="12"/>
      <c r="CR897" s="12"/>
      <c r="CS897" s="12"/>
      <c r="CT897" s="12"/>
      <c r="CU897" s="12"/>
      <c r="CV897" s="12"/>
      <c r="CW897" s="12"/>
      <c r="CX897" s="12"/>
      <c r="CY897" s="12"/>
      <c r="CZ897" s="12"/>
      <c r="DA897" s="12"/>
      <c r="DB897" s="12"/>
      <c r="DC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c r="CA898" s="12"/>
      <c r="CB898" s="12"/>
      <c r="CC898" s="12"/>
      <c r="CD898" s="12"/>
      <c r="CE898" s="12"/>
      <c r="CF898" s="12"/>
      <c r="CG898" s="12"/>
      <c r="CH898" s="12"/>
      <c r="CI898" s="12"/>
      <c r="CJ898" s="12"/>
      <c r="CK898" s="12"/>
      <c r="CL898" s="12"/>
      <c r="CM898" s="12"/>
      <c r="CN898" s="12"/>
      <c r="CO898" s="12"/>
      <c r="CP898" s="12"/>
      <c r="CQ898" s="12"/>
      <c r="CR898" s="12"/>
      <c r="CS898" s="12"/>
      <c r="CT898" s="12"/>
      <c r="CU898" s="12"/>
      <c r="CV898" s="12"/>
      <c r="CW898" s="12"/>
      <c r="CX898" s="12"/>
      <c r="CY898" s="12"/>
      <c r="CZ898" s="12"/>
      <c r="DA898" s="12"/>
      <c r="DB898" s="12"/>
      <c r="DC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c r="CA899" s="12"/>
      <c r="CB899" s="12"/>
      <c r="CC899" s="12"/>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c r="DB899" s="12"/>
      <c r="DC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c r="CA900" s="12"/>
      <c r="CB900" s="12"/>
      <c r="CC900" s="12"/>
      <c r="CD900" s="12"/>
      <c r="CE900" s="12"/>
      <c r="CF900" s="12"/>
      <c r="CG900" s="12"/>
      <c r="CH900" s="12"/>
      <c r="CI900" s="12"/>
      <c r="CJ900" s="12"/>
      <c r="CK900" s="12"/>
      <c r="CL900" s="12"/>
      <c r="CM900" s="12"/>
      <c r="CN900" s="12"/>
      <c r="CO900" s="12"/>
      <c r="CP900" s="12"/>
      <c r="CQ900" s="12"/>
      <c r="CR900" s="12"/>
      <c r="CS900" s="12"/>
      <c r="CT900" s="12"/>
      <c r="CU900" s="12"/>
      <c r="CV900" s="12"/>
      <c r="CW900" s="12"/>
      <c r="CX900" s="12"/>
      <c r="CY900" s="12"/>
      <c r="CZ900" s="12"/>
      <c r="DA900" s="12"/>
      <c r="DB900" s="12"/>
      <c r="DC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c r="CA901" s="12"/>
      <c r="CB901" s="12"/>
      <c r="CC901" s="12"/>
      <c r="CD901" s="12"/>
      <c r="CE901" s="12"/>
      <c r="CF901" s="12"/>
      <c r="CG901" s="12"/>
      <c r="CH901" s="12"/>
      <c r="CI901" s="12"/>
      <c r="CJ901" s="12"/>
      <c r="CK901" s="12"/>
      <c r="CL901" s="12"/>
      <c r="CM901" s="12"/>
      <c r="CN901" s="12"/>
      <c r="CO901" s="12"/>
      <c r="CP901" s="12"/>
      <c r="CQ901" s="12"/>
      <c r="CR901" s="12"/>
      <c r="CS901" s="12"/>
      <c r="CT901" s="12"/>
      <c r="CU901" s="12"/>
      <c r="CV901" s="12"/>
      <c r="CW901" s="12"/>
      <c r="CX901" s="12"/>
      <c r="CY901" s="12"/>
      <c r="CZ901" s="12"/>
      <c r="DA901" s="12"/>
      <c r="DB901" s="12"/>
      <c r="DC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c r="CA902" s="12"/>
      <c r="CB902" s="12"/>
      <c r="CC902" s="12"/>
      <c r="CD902" s="12"/>
      <c r="CE902" s="12"/>
      <c r="CF902" s="12"/>
      <c r="CG902" s="12"/>
      <c r="CH902" s="12"/>
      <c r="CI902" s="12"/>
      <c r="CJ902" s="12"/>
      <c r="CK902" s="12"/>
      <c r="CL902" s="12"/>
      <c r="CM902" s="12"/>
      <c r="CN902" s="12"/>
      <c r="CO902" s="12"/>
      <c r="CP902" s="12"/>
      <c r="CQ902" s="12"/>
      <c r="CR902" s="12"/>
      <c r="CS902" s="12"/>
      <c r="CT902" s="12"/>
      <c r="CU902" s="12"/>
      <c r="CV902" s="12"/>
      <c r="CW902" s="12"/>
      <c r="CX902" s="12"/>
      <c r="CY902" s="12"/>
      <c r="CZ902" s="12"/>
      <c r="DA902" s="12"/>
      <c r="DB902" s="12"/>
      <c r="DC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c r="CA903" s="12"/>
      <c r="CB903" s="12"/>
      <c r="CC903" s="12"/>
      <c r="CD903" s="12"/>
      <c r="CE903" s="12"/>
      <c r="CF903" s="12"/>
      <c r="CG903" s="12"/>
      <c r="CH903" s="12"/>
      <c r="CI903" s="12"/>
      <c r="CJ903" s="12"/>
      <c r="CK903" s="12"/>
      <c r="CL903" s="12"/>
      <c r="CM903" s="12"/>
      <c r="CN903" s="12"/>
      <c r="CO903" s="12"/>
      <c r="CP903" s="12"/>
      <c r="CQ903" s="12"/>
      <c r="CR903" s="12"/>
      <c r="CS903" s="12"/>
      <c r="CT903" s="12"/>
      <c r="CU903" s="12"/>
      <c r="CV903" s="12"/>
      <c r="CW903" s="12"/>
      <c r="CX903" s="12"/>
      <c r="CY903" s="12"/>
      <c r="CZ903" s="12"/>
      <c r="DA903" s="12"/>
      <c r="DB903" s="12"/>
      <c r="DC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c r="CA904" s="12"/>
      <c r="CB904" s="12"/>
      <c r="CC904" s="12"/>
      <c r="CD904" s="12"/>
      <c r="CE904" s="12"/>
      <c r="CF904" s="12"/>
      <c r="CG904" s="12"/>
      <c r="CH904" s="12"/>
      <c r="CI904" s="12"/>
      <c r="CJ904" s="12"/>
      <c r="CK904" s="12"/>
      <c r="CL904" s="12"/>
      <c r="CM904" s="12"/>
      <c r="CN904" s="12"/>
      <c r="CO904" s="12"/>
      <c r="CP904" s="12"/>
      <c r="CQ904" s="12"/>
      <c r="CR904" s="12"/>
      <c r="CS904" s="12"/>
      <c r="CT904" s="12"/>
      <c r="CU904" s="12"/>
      <c r="CV904" s="12"/>
      <c r="CW904" s="12"/>
      <c r="CX904" s="12"/>
      <c r="CY904" s="12"/>
      <c r="CZ904" s="12"/>
      <c r="DA904" s="12"/>
      <c r="DB904" s="12"/>
      <c r="DC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c r="CA905" s="12"/>
      <c r="CB905" s="12"/>
      <c r="CC905" s="12"/>
      <c r="CD905" s="12"/>
      <c r="CE905" s="12"/>
      <c r="CF905" s="12"/>
      <c r="CG905" s="12"/>
      <c r="CH905" s="12"/>
      <c r="CI905" s="12"/>
      <c r="CJ905" s="12"/>
      <c r="CK905" s="12"/>
      <c r="CL905" s="12"/>
      <c r="CM905" s="12"/>
      <c r="CN905" s="12"/>
      <c r="CO905" s="12"/>
      <c r="CP905" s="12"/>
      <c r="CQ905" s="12"/>
      <c r="CR905" s="12"/>
      <c r="CS905" s="12"/>
      <c r="CT905" s="12"/>
      <c r="CU905" s="12"/>
      <c r="CV905" s="12"/>
      <c r="CW905" s="12"/>
      <c r="CX905" s="12"/>
      <c r="CY905" s="12"/>
      <c r="CZ905" s="12"/>
      <c r="DA905" s="12"/>
      <c r="DB905" s="12"/>
      <c r="DC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c r="CA906" s="12"/>
      <c r="CB906" s="12"/>
      <c r="CC906" s="12"/>
      <c r="CD906" s="12"/>
      <c r="CE906" s="12"/>
      <c r="CF906" s="12"/>
      <c r="CG906" s="12"/>
      <c r="CH906" s="12"/>
      <c r="CI906" s="12"/>
      <c r="CJ906" s="12"/>
      <c r="CK906" s="12"/>
      <c r="CL906" s="12"/>
      <c r="CM906" s="12"/>
      <c r="CN906" s="12"/>
      <c r="CO906" s="12"/>
      <c r="CP906" s="12"/>
      <c r="CQ906" s="12"/>
      <c r="CR906" s="12"/>
      <c r="CS906" s="12"/>
      <c r="CT906" s="12"/>
      <c r="CU906" s="12"/>
      <c r="CV906" s="12"/>
      <c r="CW906" s="12"/>
      <c r="CX906" s="12"/>
      <c r="CY906" s="12"/>
      <c r="CZ906" s="12"/>
      <c r="DA906" s="12"/>
      <c r="DB906" s="12"/>
      <c r="DC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c r="CA907" s="12"/>
      <c r="CB907" s="12"/>
      <c r="CC907" s="12"/>
      <c r="CD907" s="12"/>
      <c r="CE907" s="12"/>
      <c r="CF907" s="12"/>
      <c r="CG907" s="12"/>
      <c r="CH907" s="12"/>
      <c r="CI907" s="12"/>
      <c r="CJ907" s="12"/>
      <c r="CK907" s="12"/>
      <c r="CL907" s="12"/>
      <c r="CM907" s="12"/>
      <c r="CN907" s="12"/>
      <c r="CO907" s="12"/>
      <c r="CP907" s="12"/>
      <c r="CQ907" s="12"/>
      <c r="CR907" s="12"/>
      <c r="CS907" s="12"/>
      <c r="CT907" s="12"/>
      <c r="CU907" s="12"/>
      <c r="CV907" s="12"/>
      <c r="CW907" s="12"/>
      <c r="CX907" s="12"/>
      <c r="CY907" s="12"/>
      <c r="CZ907" s="12"/>
      <c r="DA907" s="12"/>
      <c r="DB907" s="12"/>
      <c r="DC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c r="CA908" s="12"/>
      <c r="CB908" s="12"/>
      <c r="CC908" s="12"/>
      <c r="CD908" s="12"/>
      <c r="CE908" s="12"/>
      <c r="CF908" s="12"/>
      <c r="CG908" s="12"/>
      <c r="CH908" s="12"/>
      <c r="CI908" s="12"/>
      <c r="CJ908" s="12"/>
      <c r="CK908" s="12"/>
      <c r="CL908" s="12"/>
      <c r="CM908" s="12"/>
      <c r="CN908" s="12"/>
      <c r="CO908" s="12"/>
      <c r="CP908" s="12"/>
      <c r="CQ908" s="12"/>
      <c r="CR908" s="12"/>
      <c r="CS908" s="12"/>
      <c r="CT908" s="12"/>
      <c r="CU908" s="12"/>
      <c r="CV908" s="12"/>
      <c r="CW908" s="12"/>
      <c r="CX908" s="12"/>
      <c r="CY908" s="12"/>
      <c r="CZ908" s="12"/>
      <c r="DA908" s="12"/>
      <c r="DB908" s="12"/>
      <c r="DC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c r="CA909" s="12"/>
      <c r="CB909" s="12"/>
      <c r="CC909" s="12"/>
      <c r="CD909" s="12"/>
      <c r="CE909" s="12"/>
      <c r="CF909" s="12"/>
      <c r="CG909" s="12"/>
      <c r="CH909" s="12"/>
      <c r="CI909" s="12"/>
      <c r="CJ909" s="12"/>
      <c r="CK909" s="12"/>
      <c r="CL909" s="12"/>
      <c r="CM909" s="12"/>
      <c r="CN909" s="12"/>
      <c r="CO909" s="12"/>
      <c r="CP909" s="12"/>
      <c r="CQ909" s="12"/>
      <c r="CR909" s="12"/>
      <c r="CS909" s="12"/>
      <c r="CT909" s="12"/>
      <c r="CU909" s="12"/>
      <c r="CV909" s="12"/>
      <c r="CW909" s="12"/>
      <c r="CX909" s="12"/>
      <c r="CY909" s="12"/>
      <c r="CZ909" s="12"/>
      <c r="DA909" s="12"/>
      <c r="DB909" s="12"/>
      <c r="DC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c r="CA910" s="12"/>
      <c r="CB910" s="12"/>
      <c r="CC910" s="12"/>
      <c r="CD910" s="12"/>
      <c r="CE910" s="12"/>
      <c r="CF910" s="12"/>
      <c r="CG910" s="12"/>
      <c r="CH910" s="12"/>
      <c r="CI910" s="12"/>
      <c r="CJ910" s="12"/>
      <c r="CK910" s="12"/>
      <c r="CL910" s="12"/>
      <c r="CM910" s="12"/>
      <c r="CN910" s="12"/>
      <c r="CO910" s="12"/>
      <c r="CP910" s="12"/>
      <c r="CQ910" s="12"/>
      <c r="CR910" s="12"/>
      <c r="CS910" s="12"/>
      <c r="CT910" s="12"/>
      <c r="CU910" s="12"/>
      <c r="CV910" s="12"/>
      <c r="CW910" s="12"/>
      <c r="CX910" s="12"/>
      <c r="CY910" s="12"/>
      <c r="CZ910" s="12"/>
      <c r="DA910" s="12"/>
      <c r="DB910" s="12"/>
      <c r="DC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c r="CA911" s="12"/>
      <c r="CB911" s="12"/>
      <c r="CC911" s="12"/>
      <c r="CD911" s="12"/>
      <c r="CE911" s="12"/>
      <c r="CF911" s="12"/>
      <c r="CG911" s="12"/>
      <c r="CH911" s="12"/>
      <c r="CI911" s="12"/>
      <c r="CJ911" s="12"/>
      <c r="CK911" s="12"/>
      <c r="CL911" s="12"/>
      <c r="CM911" s="12"/>
      <c r="CN911" s="12"/>
      <c r="CO911" s="12"/>
      <c r="CP911" s="12"/>
      <c r="CQ911" s="12"/>
      <c r="CR911" s="12"/>
      <c r="CS911" s="12"/>
      <c r="CT911" s="12"/>
      <c r="CU911" s="12"/>
      <c r="CV911" s="12"/>
      <c r="CW911" s="12"/>
      <c r="CX911" s="12"/>
      <c r="CY911" s="12"/>
      <c r="CZ911" s="12"/>
      <c r="DA911" s="12"/>
      <c r="DB911" s="12"/>
      <c r="DC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c r="CA912" s="12"/>
      <c r="CB912" s="12"/>
      <c r="CC912" s="12"/>
      <c r="CD912" s="12"/>
      <c r="CE912" s="12"/>
      <c r="CF912" s="12"/>
      <c r="CG912" s="12"/>
      <c r="CH912" s="12"/>
      <c r="CI912" s="12"/>
      <c r="CJ912" s="12"/>
      <c r="CK912" s="12"/>
      <c r="CL912" s="12"/>
      <c r="CM912" s="12"/>
      <c r="CN912" s="12"/>
      <c r="CO912" s="12"/>
      <c r="CP912" s="12"/>
      <c r="CQ912" s="12"/>
      <c r="CR912" s="12"/>
      <c r="CS912" s="12"/>
      <c r="CT912" s="12"/>
      <c r="CU912" s="12"/>
      <c r="CV912" s="12"/>
      <c r="CW912" s="12"/>
      <c r="CX912" s="12"/>
      <c r="CY912" s="12"/>
      <c r="CZ912" s="12"/>
      <c r="DA912" s="12"/>
      <c r="DB912" s="12"/>
      <c r="DC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c r="CA913" s="12"/>
      <c r="CB913" s="12"/>
      <c r="CC913" s="12"/>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c r="CZ913" s="12"/>
      <c r="DA913" s="12"/>
      <c r="DB913" s="12"/>
      <c r="DC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c r="CX914" s="12"/>
      <c r="CY914" s="12"/>
      <c r="CZ914" s="12"/>
      <c r="DA914" s="12"/>
      <c r="DB914" s="12"/>
      <c r="DC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c r="CA915" s="12"/>
      <c r="CB915" s="12"/>
      <c r="CC915" s="12"/>
      <c r="CD915" s="12"/>
      <c r="CE915" s="12"/>
      <c r="CF915" s="12"/>
      <c r="CG915" s="12"/>
      <c r="CH915" s="12"/>
      <c r="CI915" s="12"/>
      <c r="CJ915" s="12"/>
      <c r="CK915" s="12"/>
      <c r="CL915" s="12"/>
      <c r="CM915" s="12"/>
      <c r="CN915" s="12"/>
      <c r="CO915" s="12"/>
      <c r="CP915" s="12"/>
      <c r="CQ915" s="12"/>
      <c r="CR915" s="12"/>
      <c r="CS915" s="12"/>
      <c r="CT915" s="12"/>
      <c r="CU915" s="12"/>
      <c r="CV915" s="12"/>
      <c r="CW915" s="12"/>
      <c r="CX915" s="12"/>
      <c r="CY915" s="12"/>
      <c r="CZ915" s="12"/>
      <c r="DA915" s="12"/>
      <c r="DB915" s="12"/>
      <c r="DC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c r="CA916" s="12"/>
      <c r="CB916" s="12"/>
      <c r="CC916" s="12"/>
      <c r="CD916" s="12"/>
      <c r="CE916" s="12"/>
      <c r="CF916" s="12"/>
      <c r="CG916" s="12"/>
      <c r="CH916" s="12"/>
      <c r="CI916" s="12"/>
      <c r="CJ916" s="12"/>
      <c r="CK916" s="12"/>
      <c r="CL916" s="12"/>
      <c r="CM916" s="12"/>
      <c r="CN916" s="12"/>
      <c r="CO916" s="12"/>
      <c r="CP916" s="12"/>
      <c r="CQ916" s="12"/>
      <c r="CR916" s="12"/>
      <c r="CS916" s="12"/>
      <c r="CT916" s="12"/>
      <c r="CU916" s="12"/>
      <c r="CV916" s="12"/>
      <c r="CW916" s="12"/>
      <c r="CX916" s="12"/>
      <c r="CY916" s="12"/>
      <c r="CZ916" s="12"/>
      <c r="DA916" s="12"/>
      <c r="DB916" s="12"/>
      <c r="DC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c r="CA917" s="12"/>
      <c r="CB917" s="12"/>
      <c r="CC917" s="12"/>
      <c r="CD917" s="12"/>
      <c r="CE917" s="12"/>
      <c r="CF917" s="12"/>
      <c r="CG917" s="12"/>
      <c r="CH917" s="12"/>
      <c r="CI917" s="12"/>
      <c r="CJ917" s="12"/>
      <c r="CK917" s="12"/>
      <c r="CL917" s="12"/>
      <c r="CM917" s="12"/>
      <c r="CN917" s="12"/>
      <c r="CO917" s="12"/>
      <c r="CP917" s="12"/>
      <c r="CQ917" s="12"/>
      <c r="CR917" s="12"/>
      <c r="CS917" s="12"/>
      <c r="CT917" s="12"/>
      <c r="CU917" s="12"/>
      <c r="CV917" s="12"/>
      <c r="CW917" s="12"/>
      <c r="CX917" s="12"/>
      <c r="CY917" s="12"/>
      <c r="CZ917" s="12"/>
      <c r="DA917" s="12"/>
      <c r="DB917" s="12"/>
      <c r="DC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c r="CA918" s="12"/>
      <c r="CB918" s="12"/>
      <c r="CC918" s="12"/>
      <c r="CD918" s="12"/>
      <c r="CE918" s="12"/>
      <c r="CF918" s="12"/>
      <c r="CG918" s="12"/>
      <c r="CH918" s="12"/>
      <c r="CI918" s="12"/>
      <c r="CJ918" s="12"/>
      <c r="CK918" s="12"/>
      <c r="CL918" s="12"/>
      <c r="CM918" s="12"/>
      <c r="CN918" s="12"/>
      <c r="CO918" s="12"/>
      <c r="CP918" s="12"/>
      <c r="CQ918" s="12"/>
      <c r="CR918" s="12"/>
      <c r="CS918" s="12"/>
      <c r="CT918" s="12"/>
      <c r="CU918" s="12"/>
      <c r="CV918" s="12"/>
      <c r="CW918" s="12"/>
      <c r="CX918" s="12"/>
      <c r="CY918" s="12"/>
      <c r="CZ918" s="12"/>
      <c r="DA918" s="12"/>
      <c r="DB918" s="12"/>
      <c r="DC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c r="CA919" s="12"/>
      <c r="CB919" s="12"/>
      <c r="CC919" s="12"/>
      <c r="CD919" s="12"/>
      <c r="CE919" s="12"/>
      <c r="CF919" s="12"/>
      <c r="CG919" s="12"/>
      <c r="CH919" s="12"/>
      <c r="CI919" s="12"/>
      <c r="CJ919" s="12"/>
      <c r="CK919" s="12"/>
      <c r="CL919" s="12"/>
      <c r="CM919" s="12"/>
      <c r="CN919" s="12"/>
      <c r="CO919" s="12"/>
      <c r="CP919" s="12"/>
      <c r="CQ919" s="12"/>
      <c r="CR919" s="12"/>
      <c r="CS919" s="12"/>
      <c r="CT919" s="12"/>
      <c r="CU919" s="12"/>
      <c r="CV919" s="12"/>
      <c r="CW919" s="12"/>
      <c r="CX919" s="12"/>
      <c r="CY919" s="12"/>
      <c r="CZ919" s="12"/>
      <c r="DA919" s="12"/>
      <c r="DB919" s="12"/>
      <c r="DC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c r="DB920" s="12"/>
      <c r="DC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c r="CA921" s="12"/>
      <c r="CB921" s="12"/>
      <c r="CC921" s="12"/>
      <c r="CD921" s="12"/>
      <c r="CE921" s="12"/>
      <c r="CF921" s="12"/>
      <c r="CG921" s="12"/>
      <c r="CH921" s="12"/>
      <c r="CI921" s="12"/>
      <c r="CJ921" s="12"/>
      <c r="CK921" s="12"/>
      <c r="CL921" s="12"/>
      <c r="CM921" s="12"/>
      <c r="CN921" s="12"/>
      <c r="CO921" s="12"/>
      <c r="CP921" s="12"/>
      <c r="CQ921" s="12"/>
      <c r="CR921" s="12"/>
      <c r="CS921" s="12"/>
      <c r="CT921" s="12"/>
      <c r="CU921" s="12"/>
      <c r="CV921" s="12"/>
      <c r="CW921" s="12"/>
      <c r="CX921" s="12"/>
      <c r="CY921" s="12"/>
      <c r="CZ921" s="12"/>
      <c r="DA921" s="12"/>
      <c r="DB921" s="12"/>
      <c r="DC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c r="CA922" s="12"/>
      <c r="CB922" s="12"/>
      <c r="CC922" s="12"/>
      <c r="CD922" s="12"/>
      <c r="CE922" s="12"/>
      <c r="CF922" s="12"/>
      <c r="CG922" s="12"/>
      <c r="CH922" s="12"/>
      <c r="CI922" s="12"/>
      <c r="CJ922" s="12"/>
      <c r="CK922" s="12"/>
      <c r="CL922" s="12"/>
      <c r="CM922" s="12"/>
      <c r="CN922" s="12"/>
      <c r="CO922" s="12"/>
      <c r="CP922" s="12"/>
      <c r="CQ922" s="12"/>
      <c r="CR922" s="12"/>
      <c r="CS922" s="12"/>
      <c r="CT922" s="12"/>
      <c r="CU922" s="12"/>
      <c r="CV922" s="12"/>
      <c r="CW922" s="12"/>
      <c r="CX922" s="12"/>
      <c r="CY922" s="12"/>
      <c r="CZ922" s="12"/>
      <c r="DA922" s="12"/>
      <c r="DB922" s="12"/>
      <c r="DC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c r="CA923" s="12"/>
      <c r="CB923" s="12"/>
      <c r="CC923" s="12"/>
      <c r="CD923" s="12"/>
      <c r="CE923" s="12"/>
      <c r="CF923" s="12"/>
      <c r="CG923" s="12"/>
      <c r="CH923" s="12"/>
      <c r="CI923" s="12"/>
      <c r="CJ923" s="12"/>
      <c r="CK923" s="12"/>
      <c r="CL923" s="12"/>
      <c r="CM923" s="12"/>
      <c r="CN923" s="12"/>
      <c r="CO923" s="12"/>
      <c r="CP923" s="12"/>
      <c r="CQ923" s="12"/>
      <c r="CR923" s="12"/>
      <c r="CS923" s="12"/>
      <c r="CT923" s="12"/>
      <c r="CU923" s="12"/>
      <c r="CV923" s="12"/>
      <c r="CW923" s="12"/>
      <c r="CX923" s="12"/>
      <c r="CY923" s="12"/>
      <c r="CZ923" s="12"/>
      <c r="DA923" s="12"/>
      <c r="DB923" s="12"/>
      <c r="DC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c r="CA924" s="12"/>
      <c r="CB924" s="12"/>
      <c r="CC924" s="12"/>
      <c r="CD924" s="12"/>
      <c r="CE924" s="12"/>
      <c r="CF924" s="12"/>
      <c r="CG924" s="12"/>
      <c r="CH924" s="12"/>
      <c r="CI924" s="12"/>
      <c r="CJ924" s="12"/>
      <c r="CK924" s="12"/>
      <c r="CL924" s="12"/>
      <c r="CM924" s="12"/>
      <c r="CN924" s="12"/>
      <c r="CO924" s="12"/>
      <c r="CP924" s="12"/>
      <c r="CQ924" s="12"/>
      <c r="CR924" s="12"/>
      <c r="CS924" s="12"/>
      <c r="CT924" s="12"/>
      <c r="CU924" s="12"/>
      <c r="CV924" s="12"/>
      <c r="CW924" s="12"/>
      <c r="CX924" s="12"/>
      <c r="CY924" s="12"/>
      <c r="CZ924" s="12"/>
      <c r="DA924" s="12"/>
      <c r="DB924" s="12"/>
      <c r="DC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c r="CA925" s="12"/>
      <c r="CB925" s="12"/>
      <c r="CC925" s="12"/>
      <c r="CD925" s="12"/>
      <c r="CE925" s="12"/>
      <c r="CF925" s="12"/>
      <c r="CG925" s="12"/>
      <c r="CH925" s="12"/>
      <c r="CI925" s="12"/>
      <c r="CJ925" s="12"/>
      <c r="CK925" s="12"/>
      <c r="CL925" s="12"/>
      <c r="CM925" s="12"/>
      <c r="CN925" s="12"/>
      <c r="CO925" s="12"/>
      <c r="CP925" s="12"/>
      <c r="CQ925" s="12"/>
      <c r="CR925" s="12"/>
      <c r="CS925" s="12"/>
      <c r="CT925" s="12"/>
      <c r="CU925" s="12"/>
      <c r="CV925" s="12"/>
      <c r="CW925" s="12"/>
      <c r="CX925" s="12"/>
      <c r="CY925" s="12"/>
      <c r="CZ925" s="12"/>
      <c r="DA925" s="12"/>
      <c r="DB925" s="12"/>
      <c r="DC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c r="CA926" s="12"/>
      <c r="CB926" s="12"/>
      <c r="CC926" s="12"/>
      <c r="CD926" s="12"/>
      <c r="CE926" s="12"/>
      <c r="CF926" s="12"/>
      <c r="CG926" s="12"/>
      <c r="CH926" s="12"/>
      <c r="CI926" s="12"/>
      <c r="CJ926" s="12"/>
      <c r="CK926" s="12"/>
      <c r="CL926" s="12"/>
      <c r="CM926" s="12"/>
      <c r="CN926" s="12"/>
      <c r="CO926" s="12"/>
      <c r="CP926" s="12"/>
      <c r="CQ926" s="12"/>
      <c r="CR926" s="12"/>
      <c r="CS926" s="12"/>
      <c r="CT926" s="12"/>
      <c r="CU926" s="12"/>
      <c r="CV926" s="12"/>
      <c r="CW926" s="12"/>
      <c r="CX926" s="12"/>
      <c r="CY926" s="12"/>
      <c r="CZ926" s="12"/>
      <c r="DA926" s="12"/>
      <c r="DB926" s="12"/>
      <c r="DC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c r="CA927" s="12"/>
      <c r="CB927" s="12"/>
      <c r="CC927" s="12"/>
      <c r="CD927" s="12"/>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c r="DB927" s="12"/>
      <c r="DC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c r="CA928" s="12"/>
      <c r="CB928" s="12"/>
      <c r="CC928" s="12"/>
      <c r="CD928" s="12"/>
      <c r="CE928" s="12"/>
      <c r="CF928" s="12"/>
      <c r="CG928" s="12"/>
      <c r="CH928" s="12"/>
      <c r="CI928" s="12"/>
      <c r="CJ928" s="12"/>
      <c r="CK928" s="12"/>
      <c r="CL928" s="12"/>
      <c r="CM928" s="12"/>
      <c r="CN928" s="12"/>
      <c r="CO928" s="12"/>
      <c r="CP928" s="12"/>
      <c r="CQ928" s="12"/>
      <c r="CR928" s="12"/>
      <c r="CS928" s="12"/>
      <c r="CT928" s="12"/>
      <c r="CU928" s="12"/>
      <c r="CV928" s="12"/>
      <c r="CW928" s="12"/>
      <c r="CX928" s="12"/>
      <c r="CY928" s="12"/>
      <c r="CZ928" s="12"/>
      <c r="DA928" s="12"/>
      <c r="DB928" s="12"/>
      <c r="DC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c r="CA929" s="12"/>
      <c r="CB929" s="12"/>
      <c r="CC929" s="12"/>
      <c r="CD929" s="12"/>
      <c r="CE929" s="12"/>
      <c r="CF929" s="12"/>
      <c r="CG929" s="12"/>
      <c r="CH929" s="12"/>
      <c r="CI929" s="12"/>
      <c r="CJ929" s="12"/>
      <c r="CK929" s="12"/>
      <c r="CL929" s="12"/>
      <c r="CM929" s="12"/>
      <c r="CN929" s="12"/>
      <c r="CO929" s="12"/>
      <c r="CP929" s="12"/>
      <c r="CQ929" s="12"/>
      <c r="CR929" s="12"/>
      <c r="CS929" s="12"/>
      <c r="CT929" s="12"/>
      <c r="CU929" s="12"/>
      <c r="CV929" s="12"/>
      <c r="CW929" s="12"/>
      <c r="CX929" s="12"/>
      <c r="CY929" s="12"/>
      <c r="CZ929" s="12"/>
      <c r="DA929" s="12"/>
      <c r="DB929" s="12"/>
      <c r="DC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c r="CA930" s="12"/>
      <c r="CB930" s="12"/>
      <c r="CC930" s="12"/>
      <c r="CD930" s="12"/>
      <c r="CE930" s="12"/>
      <c r="CF930" s="12"/>
      <c r="CG930" s="12"/>
      <c r="CH930" s="12"/>
      <c r="CI930" s="12"/>
      <c r="CJ930" s="12"/>
      <c r="CK930" s="12"/>
      <c r="CL930" s="12"/>
      <c r="CM930" s="12"/>
      <c r="CN930" s="12"/>
      <c r="CO930" s="12"/>
      <c r="CP930" s="12"/>
      <c r="CQ930" s="12"/>
      <c r="CR930" s="12"/>
      <c r="CS930" s="12"/>
      <c r="CT930" s="12"/>
      <c r="CU930" s="12"/>
      <c r="CV930" s="12"/>
      <c r="CW930" s="12"/>
      <c r="CX930" s="12"/>
      <c r="CY930" s="12"/>
      <c r="CZ930" s="12"/>
      <c r="DA930" s="12"/>
      <c r="DB930" s="12"/>
      <c r="DC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c r="CA931" s="12"/>
      <c r="CB931" s="12"/>
      <c r="CC931" s="12"/>
      <c r="CD931" s="12"/>
      <c r="CE931" s="12"/>
      <c r="CF931" s="12"/>
      <c r="CG931" s="12"/>
      <c r="CH931" s="12"/>
      <c r="CI931" s="12"/>
      <c r="CJ931" s="12"/>
      <c r="CK931" s="12"/>
      <c r="CL931" s="12"/>
      <c r="CM931" s="12"/>
      <c r="CN931" s="12"/>
      <c r="CO931" s="12"/>
      <c r="CP931" s="12"/>
      <c r="CQ931" s="12"/>
      <c r="CR931" s="12"/>
      <c r="CS931" s="12"/>
      <c r="CT931" s="12"/>
      <c r="CU931" s="12"/>
      <c r="CV931" s="12"/>
      <c r="CW931" s="12"/>
      <c r="CX931" s="12"/>
      <c r="CY931" s="12"/>
      <c r="CZ931" s="12"/>
      <c r="DA931" s="12"/>
      <c r="DB931" s="12"/>
      <c r="DC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c r="CA932" s="12"/>
      <c r="CB932" s="12"/>
      <c r="CC932" s="12"/>
      <c r="CD932" s="12"/>
      <c r="CE932" s="12"/>
      <c r="CF932" s="12"/>
      <c r="CG932" s="12"/>
      <c r="CH932" s="12"/>
      <c r="CI932" s="12"/>
      <c r="CJ932" s="12"/>
      <c r="CK932" s="12"/>
      <c r="CL932" s="12"/>
      <c r="CM932" s="12"/>
      <c r="CN932" s="12"/>
      <c r="CO932" s="12"/>
      <c r="CP932" s="12"/>
      <c r="CQ932" s="12"/>
      <c r="CR932" s="12"/>
      <c r="CS932" s="12"/>
      <c r="CT932" s="12"/>
      <c r="CU932" s="12"/>
      <c r="CV932" s="12"/>
      <c r="CW932" s="12"/>
      <c r="CX932" s="12"/>
      <c r="CY932" s="12"/>
      <c r="CZ932" s="12"/>
      <c r="DA932" s="12"/>
      <c r="DB932" s="12"/>
      <c r="DC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c r="CA933" s="12"/>
      <c r="CB933" s="12"/>
      <c r="CC933" s="12"/>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c r="DB933" s="12"/>
      <c r="DC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c r="CA934" s="12"/>
      <c r="CB934" s="12"/>
      <c r="CC934" s="12"/>
      <c r="CD934" s="12"/>
      <c r="CE934" s="12"/>
      <c r="CF934" s="12"/>
      <c r="CG934" s="12"/>
      <c r="CH934" s="12"/>
      <c r="CI934" s="12"/>
      <c r="CJ934" s="12"/>
      <c r="CK934" s="12"/>
      <c r="CL934" s="12"/>
      <c r="CM934" s="12"/>
      <c r="CN934" s="12"/>
      <c r="CO934" s="12"/>
      <c r="CP934" s="12"/>
      <c r="CQ934" s="12"/>
      <c r="CR934" s="12"/>
      <c r="CS934" s="12"/>
      <c r="CT934" s="12"/>
      <c r="CU934" s="12"/>
      <c r="CV934" s="12"/>
      <c r="CW934" s="12"/>
      <c r="CX934" s="12"/>
      <c r="CY934" s="12"/>
      <c r="CZ934" s="12"/>
      <c r="DA934" s="12"/>
      <c r="DB934" s="12"/>
      <c r="DC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c r="CA936" s="12"/>
      <c r="CB936" s="12"/>
      <c r="CC936" s="12"/>
      <c r="CD936" s="12"/>
      <c r="CE936" s="12"/>
      <c r="CF936" s="12"/>
      <c r="CG936" s="12"/>
      <c r="CH936" s="12"/>
      <c r="CI936" s="12"/>
      <c r="CJ936" s="12"/>
      <c r="CK936" s="12"/>
      <c r="CL936" s="12"/>
      <c r="CM936" s="12"/>
      <c r="CN936" s="12"/>
      <c r="CO936" s="12"/>
      <c r="CP936" s="12"/>
      <c r="CQ936" s="12"/>
      <c r="CR936" s="12"/>
      <c r="CS936" s="12"/>
      <c r="CT936" s="12"/>
      <c r="CU936" s="12"/>
      <c r="CV936" s="12"/>
      <c r="CW936" s="12"/>
      <c r="CX936" s="12"/>
      <c r="CY936" s="12"/>
      <c r="CZ936" s="12"/>
      <c r="DA936" s="12"/>
      <c r="DB936" s="12"/>
      <c r="DC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c r="CA937" s="12"/>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c r="DB937" s="12"/>
      <c r="DC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c r="CA938" s="12"/>
      <c r="CB938" s="12"/>
      <c r="CC938" s="12"/>
      <c r="CD938" s="12"/>
      <c r="CE938" s="12"/>
      <c r="CF938" s="12"/>
      <c r="CG938" s="12"/>
      <c r="CH938" s="12"/>
      <c r="CI938" s="12"/>
      <c r="CJ938" s="12"/>
      <c r="CK938" s="12"/>
      <c r="CL938" s="12"/>
      <c r="CM938" s="12"/>
      <c r="CN938" s="12"/>
      <c r="CO938" s="12"/>
      <c r="CP938" s="12"/>
      <c r="CQ938" s="12"/>
      <c r="CR938" s="12"/>
      <c r="CS938" s="12"/>
      <c r="CT938" s="12"/>
      <c r="CU938" s="12"/>
      <c r="CV938" s="12"/>
      <c r="CW938" s="12"/>
      <c r="CX938" s="12"/>
      <c r="CY938" s="12"/>
      <c r="CZ938" s="12"/>
      <c r="DA938" s="12"/>
      <c r="DB938" s="12"/>
      <c r="DC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c r="CA939" s="12"/>
      <c r="CB939" s="12"/>
      <c r="CC939" s="12"/>
      <c r="CD939" s="12"/>
      <c r="CE939" s="12"/>
      <c r="CF939" s="12"/>
      <c r="CG939" s="12"/>
      <c r="CH939" s="12"/>
      <c r="CI939" s="12"/>
      <c r="CJ939" s="12"/>
      <c r="CK939" s="12"/>
      <c r="CL939" s="12"/>
      <c r="CM939" s="12"/>
      <c r="CN939" s="12"/>
      <c r="CO939" s="12"/>
      <c r="CP939" s="12"/>
      <c r="CQ939" s="12"/>
      <c r="CR939" s="12"/>
      <c r="CS939" s="12"/>
      <c r="CT939" s="12"/>
      <c r="CU939" s="12"/>
      <c r="CV939" s="12"/>
      <c r="CW939" s="12"/>
      <c r="CX939" s="12"/>
      <c r="CY939" s="12"/>
      <c r="CZ939" s="12"/>
      <c r="DA939" s="12"/>
      <c r="DB939" s="12"/>
      <c r="DC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c r="CA940" s="12"/>
      <c r="CB940" s="12"/>
      <c r="CC940" s="12"/>
      <c r="CD940" s="12"/>
      <c r="CE940" s="12"/>
      <c r="CF940" s="12"/>
      <c r="CG940" s="12"/>
      <c r="CH940" s="12"/>
      <c r="CI940" s="12"/>
      <c r="CJ940" s="12"/>
      <c r="CK940" s="12"/>
      <c r="CL940" s="12"/>
      <c r="CM940" s="12"/>
      <c r="CN940" s="12"/>
      <c r="CO940" s="12"/>
      <c r="CP940" s="12"/>
      <c r="CQ940" s="12"/>
      <c r="CR940" s="12"/>
      <c r="CS940" s="12"/>
      <c r="CT940" s="12"/>
      <c r="CU940" s="12"/>
      <c r="CV940" s="12"/>
      <c r="CW940" s="12"/>
      <c r="CX940" s="12"/>
      <c r="CY940" s="12"/>
      <c r="CZ940" s="12"/>
      <c r="DA940" s="12"/>
      <c r="DB940" s="12"/>
      <c r="DC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c r="CA941" s="12"/>
      <c r="CB941" s="12"/>
      <c r="CC941" s="12"/>
      <c r="CD941" s="12"/>
      <c r="CE941" s="12"/>
      <c r="CF941" s="12"/>
      <c r="CG941" s="12"/>
      <c r="CH941" s="12"/>
      <c r="CI941" s="12"/>
      <c r="CJ941" s="12"/>
      <c r="CK941" s="12"/>
      <c r="CL941" s="12"/>
      <c r="CM941" s="12"/>
      <c r="CN941" s="12"/>
      <c r="CO941" s="12"/>
      <c r="CP941" s="12"/>
      <c r="CQ941" s="12"/>
      <c r="CR941" s="12"/>
      <c r="CS941" s="12"/>
      <c r="CT941" s="12"/>
      <c r="CU941" s="12"/>
      <c r="CV941" s="12"/>
      <c r="CW941" s="12"/>
      <c r="CX941" s="12"/>
      <c r="CY941" s="12"/>
      <c r="CZ941" s="12"/>
      <c r="DA941" s="12"/>
      <c r="DB941" s="12"/>
      <c r="DC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c r="CA942" s="12"/>
      <c r="CB942" s="12"/>
      <c r="CC942" s="12"/>
      <c r="CD942" s="12"/>
      <c r="CE942" s="12"/>
      <c r="CF942" s="12"/>
      <c r="CG942" s="12"/>
      <c r="CH942" s="12"/>
      <c r="CI942" s="12"/>
      <c r="CJ942" s="12"/>
      <c r="CK942" s="12"/>
      <c r="CL942" s="12"/>
      <c r="CM942" s="12"/>
      <c r="CN942" s="12"/>
      <c r="CO942" s="12"/>
      <c r="CP942" s="12"/>
      <c r="CQ942" s="12"/>
      <c r="CR942" s="12"/>
      <c r="CS942" s="12"/>
      <c r="CT942" s="12"/>
      <c r="CU942" s="12"/>
      <c r="CV942" s="12"/>
      <c r="CW942" s="12"/>
      <c r="CX942" s="12"/>
      <c r="CY942" s="12"/>
      <c r="CZ942" s="12"/>
      <c r="DA942" s="12"/>
      <c r="DB942" s="12"/>
      <c r="DC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c r="CA943" s="12"/>
      <c r="CB943" s="12"/>
      <c r="CC943" s="12"/>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c r="DB943" s="12"/>
      <c r="DC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c r="DB944" s="12"/>
      <c r="DC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c r="CA945" s="12"/>
      <c r="CB945" s="12"/>
      <c r="CC945" s="12"/>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c r="DB945" s="12"/>
      <c r="DC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c r="CA946" s="12"/>
      <c r="CB946" s="12"/>
      <c r="CC946" s="12"/>
      <c r="CD946" s="12"/>
      <c r="CE946" s="12"/>
      <c r="CF946" s="12"/>
      <c r="CG946" s="12"/>
      <c r="CH946" s="12"/>
      <c r="CI946" s="12"/>
      <c r="CJ946" s="12"/>
      <c r="CK946" s="12"/>
      <c r="CL946" s="12"/>
      <c r="CM946" s="12"/>
      <c r="CN946" s="12"/>
      <c r="CO946" s="12"/>
      <c r="CP946" s="12"/>
      <c r="CQ946" s="12"/>
      <c r="CR946" s="12"/>
      <c r="CS946" s="12"/>
      <c r="CT946" s="12"/>
      <c r="CU946" s="12"/>
      <c r="CV946" s="12"/>
      <c r="CW946" s="12"/>
      <c r="CX946" s="12"/>
      <c r="CY946" s="12"/>
      <c r="CZ946" s="12"/>
      <c r="DA946" s="12"/>
      <c r="DB946" s="12"/>
      <c r="DC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c r="CA947" s="12"/>
      <c r="CB947" s="12"/>
      <c r="CC947" s="12"/>
      <c r="CD947" s="12"/>
      <c r="CE947" s="12"/>
      <c r="CF947" s="12"/>
      <c r="CG947" s="12"/>
      <c r="CH947" s="12"/>
      <c r="CI947" s="12"/>
      <c r="CJ947" s="12"/>
      <c r="CK947" s="12"/>
      <c r="CL947" s="12"/>
      <c r="CM947" s="12"/>
      <c r="CN947" s="12"/>
      <c r="CO947" s="12"/>
      <c r="CP947" s="12"/>
      <c r="CQ947" s="12"/>
      <c r="CR947" s="12"/>
      <c r="CS947" s="12"/>
      <c r="CT947" s="12"/>
      <c r="CU947" s="12"/>
      <c r="CV947" s="12"/>
      <c r="CW947" s="12"/>
      <c r="CX947" s="12"/>
      <c r="CY947" s="12"/>
      <c r="CZ947" s="12"/>
      <c r="DA947" s="12"/>
      <c r="DB947" s="12"/>
      <c r="DC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c r="CA948" s="12"/>
      <c r="CB948" s="12"/>
      <c r="CC948" s="12"/>
      <c r="CD948" s="12"/>
      <c r="CE948" s="12"/>
      <c r="CF948" s="12"/>
      <c r="CG948" s="12"/>
      <c r="CH948" s="12"/>
      <c r="CI948" s="12"/>
      <c r="CJ948" s="12"/>
      <c r="CK948" s="12"/>
      <c r="CL948" s="12"/>
      <c r="CM948" s="12"/>
      <c r="CN948" s="12"/>
      <c r="CO948" s="12"/>
      <c r="CP948" s="12"/>
      <c r="CQ948" s="12"/>
      <c r="CR948" s="12"/>
      <c r="CS948" s="12"/>
      <c r="CT948" s="12"/>
      <c r="CU948" s="12"/>
      <c r="CV948" s="12"/>
      <c r="CW948" s="12"/>
      <c r="CX948" s="12"/>
      <c r="CY948" s="12"/>
      <c r="CZ948" s="12"/>
      <c r="DA948" s="12"/>
      <c r="DB948" s="12"/>
      <c r="DC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c r="CA949" s="12"/>
      <c r="CB949" s="12"/>
      <c r="CC949" s="12"/>
      <c r="CD949" s="12"/>
      <c r="CE949" s="12"/>
      <c r="CF949" s="12"/>
      <c r="CG949" s="12"/>
      <c r="CH949" s="12"/>
      <c r="CI949" s="12"/>
      <c r="CJ949" s="12"/>
      <c r="CK949" s="12"/>
      <c r="CL949" s="12"/>
      <c r="CM949" s="12"/>
      <c r="CN949" s="12"/>
      <c r="CO949" s="12"/>
      <c r="CP949" s="12"/>
      <c r="CQ949" s="12"/>
      <c r="CR949" s="12"/>
      <c r="CS949" s="12"/>
      <c r="CT949" s="12"/>
      <c r="CU949" s="12"/>
      <c r="CV949" s="12"/>
      <c r="CW949" s="12"/>
      <c r="CX949" s="12"/>
      <c r="CY949" s="12"/>
      <c r="CZ949" s="12"/>
      <c r="DA949" s="12"/>
      <c r="DB949" s="12"/>
      <c r="DC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c r="CA950" s="12"/>
      <c r="CB950" s="12"/>
      <c r="CC950" s="12"/>
      <c r="CD950" s="12"/>
      <c r="CE950" s="12"/>
      <c r="CF950" s="12"/>
      <c r="CG950" s="12"/>
      <c r="CH950" s="12"/>
      <c r="CI950" s="12"/>
      <c r="CJ950" s="12"/>
      <c r="CK950" s="12"/>
      <c r="CL950" s="12"/>
      <c r="CM950" s="12"/>
      <c r="CN950" s="12"/>
      <c r="CO950" s="12"/>
      <c r="CP950" s="12"/>
      <c r="CQ950" s="12"/>
      <c r="CR950" s="12"/>
      <c r="CS950" s="12"/>
      <c r="CT950" s="12"/>
      <c r="CU950" s="12"/>
      <c r="CV950" s="12"/>
      <c r="CW950" s="12"/>
      <c r="CX950" s="12"/>
      <c r="CY950" s="12"/>
      <c r="CZ950" s="12"/>
      <c r="DA950" s="12"/>
      <c r="DB950" s="12"/>
      <c r="DC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c r="CA951" s="12"/>
      <c r="CB951" s="12"/>
      <c r="CC951" s="12"/>
      <c r="CD951" s="12"/>
      <c r="CE951" s="12"/>
      <c r="CF951" s="12"/>
      <c r="CG951" s="12"/>
      <c r="CH951" s="12"/>
      <c r="CI951" s="12"/>
      <c r="CJ951" s="12"/>
      <c r="CK951" s="12"/>
      <c r="CL951" s="12"/>
      <c r="CM951" s="12"/>
      <c r="CN951" s="12"/>
      <c r="CO951" s="12"/>
      <c r="CP951" s="12"/>
      <c r="CQ951" s="12"/>
      <c r="CR951" s="12"/>
      <c r="CS951" s="12"/>
      <c r="CT951" s="12"/>
      <c r="CU951" s="12"/>
      <c r="CV951" s="12"/>
      <c r="CW951" s="12"/>
      <c r="CX951" s="12"/>
      <c r="CY951" s="12"/>
      <c r="CZ951" s="12"/>
      <c r="DA951" s="12"/>
      <c r="DB951" s="12"/>
      <c r="DC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c r="CA952" s="12"/>
      <c r="CB952" s="12"/>
      <c r="CC952" s="12"/>
      <c r="CD952" s="12"/>
      <c r="CE952" s="12"/>
      <c r="CF952" s="12"/>
      <c r="CG952" s="12"/>
      <c r="CH952" s="12"/>
      <c r="CI952" s="12"/>
      <c r="CJ952" s="12"/>
      <c r="CK952" s="12"/>
      <c r="CL952" s="12"/>
      <c r="CM952" s="12"/>
      <c r="CN952" s="12"/>
      <c r="CO952" s="12"/>
      <c r="CP952" s="12"/>
      <c r="CQ952" s="12"/>
      <c r="CR952" s="12"/>
      <c r="CS952" s="12"/>
      <c r="CT952" s="12"/>
      <c r="CU952" s="12"/>
      <c r="CV952" s="12"/>
      <c r="CW952" s="12"/>
      <c r="CX952" s="12"/>
      <c r="CY952" s="12"/>
      <c r="CZ952" s="12"/>
      <c r="DA952" s="12"/>
      <c r="DB952" s="12"/>
      <c r="DC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c r="CA953" s="12"/>
      <c r="CB953" s="12"/>
      <c r="CC953" s="12"/>
      <c r="CD953" s="12"/>
      <c r="CE953" s="12"/>
      <c r="CF953" s="12"/>
      <c r="CG953" s="12"/>
      <c r="CH953" s="12"/>
      <c r="CI953" s="12"/>
      <c r="CJ953" s="12"/>
      <c r="CK953" s="12"/>
      <c r="CL953" s="12"/>
      <c r="CM953" s="12"/>
      <c r="CN953" s="12"/>
      <c r="CO953" s="12"/>
      <c r="CP953" s="12"/>
      <c r="CQ953" s="12"/>
      <c r="CR953" s="12"/>
      <c r="CS953" s="12"/>
      <c r="CT953" s="12"/>
      <c r="CU953" s="12"/>
      <c r="CV953" s="12"/>
      <c r="CW953" s="12"/>
      <c r="CX953" s="12"/>
      <c r="CY953" s="12"/>
      <c r="CZ953" s="12"/>
      <c r="DA953" s="12"/>
      <c r="DB953" s="12"/>
      <c r="DC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c r="CA954" s="12"/>
      <c r="CB954" s="12"/>
      <c r="CC954" s="12"/>
      <c r="CD954" s="12"/>
      <c r="CE954" s="12"/>
      <c r="CF954" s="12"/>
      <c r="CG954" s="12"/>
      <c r="CH954" s="12"/>
      <c r="CI954" s="12"/>
      <c r="CJ954" s="12"/>
      <c r="CK954" s="12"/>
      <c r="CL954" s="12"/>
      <c r="CM954" s="12"/>
      <c r="CN954" s="12"/>
      <c r="CO954" s="12"/>
      <c r="CP954" s="12"/>
      <c r="CQ954" s="12"/>
      <c r="CR954" s="12"/>
      <c r="CS954" s="12"/>
      <c r="CT954" s="12"/>
      <c r="CU954" s="12"/>
      <c r="CV954" s="12"/>
      <c r="CW954" s="12"/>
      <c r="CX954" s="12"/>
      <c r="CY954" s="12"/>
      <c r="CZ954" s="12"/>
      <c r="DA954" s="12"/>
      <c r="DB954" s="12"/>
      <c r="DC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c r="CV956" s="12"/>
      <c r="CW956" s="12"/>
      <c r="CX956" s="12"/>
      <c r="CY956" s="12"/>
      <c r="CZ956" s="12"/>
      <c r="DA956" s="12"/>
      <c r="DB956" s="12"/>
      <c r="DC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c r="CA957" s="12"/>
      <c r="CB957" s="12"/>
      <c r="CC957" s="12"/>
      <c r="CD957" s="12"/>
      <c r="CE957" s="12"/>
      <c r="CF957" s="12"/>
      <c r="CG957" s="12"/>
      <c r="CH957" s="12"/>
      <c r="CI957" s="12"/>
      <c r="CJ957" s="12"/>
      <c r="CK957" s="12"/>
      <c r="CL957" s="12"/>
      <c r="CM957" s="12"/>
      <c r="CN957" s="12"/>
      <c r="CO957" s="12"/>
      <c r="CP957" s="12"/>
      <c r="CQ957" s="12"/>
      <c r="CR957" s="12"/>
      <c r="CS957" s="12"/>
      <c r="CT957" s="12"/>
      <c r="CU957" s="12"/>
      <c r="CV957" s="12"/>
      <c r="CW957" s="12"/>
      <c r="CX957" s="12"/>
      <c r="CY957" s="12"/>
      <c r="CZ957" s="12"/>
      <c r="DA957" s="12"/>
      <c r="DB957" s="12"/>
      <c r="DC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c r="CV958" s="12"/>
      <c r="CW958" s="12"/>
      <c r="CX958" s="12"/>
      <c r="CY958" s="12"/>
      <c r="CZ958" s="12"/>
      <c r="DA958" s="12"/>
      <c r="DB958" s="12"/>
      <c r="DC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c r="CA959" s="12"/>
      <c r="CB959" s="12"/>
      <c r="CC959" s="12"/>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c r="CZ959" s="12"/>
      <c r="DA959" s="12"/>
      <c r="DB959" s="12"/>
      <c r="DC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c r="CA961" s="12"/>
      <c r="CB961" s="12"/>
      <c r="CC961" s="12"/>
      <c r="CD961" s="12"/>
      <c r="CE961" s="12"/>
      <c r="CF961" s="12"/>
      <c r="CG961" s="12"/>
      <c r="CH961" s="12"/>
      <c r="CI961" s="12"/>
      <c r="CJ961" s="12"/>
      <c r="CK961" s="12"/>
      <c r="CL961" s="12"/>
      <c r="CM961" s="12"/>
      <c r="CN961" s="12"/>
      <c r="CO961" s="12"/>
      <c r="CP961" s="12"/>
      <c r="CQ961" s="12"/>
      <c r="CR961" s="12"/>
      <c r="CS961" s="12"/>
      <c r="CT961" s="12"/>
      <c r="CU961" s="12"/>
      <c r="CV961" s="12"/>
      <c r="CW961" s="12"/>
      <c r="CX961" s="12"/>
      <c r="CY961" s="12"/>
      <c r="CZ961" s="12"/>
      <c r="DA961" s="12"/>
      <c r="DB961" s="12"/>
      <c r="DC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c r="CA962" s="12"/>
      <c r="CB962" s="12"/>
      <c r="CC962" s="12"/>
      <c r="CD962" s="12"/>
      <c r="CE962" s="12"/>
      <c r="CF962" s="12"/>
      <c r="CG962" s="12"/>
      <c r="CH962" s="12"/>
      <c r="CI962" s="12"/>
      <c r="CJ962" s="12"/>
      <c r="CK962" s="12"/>
      <c r="CL962" s="12"/>
      <c r="CM962" s="12"/>
      <c r="CN962" s="12"/>
      <c r="CO962" s="12"/>
      <c r="CP962" s="12"/>
      <c r="CQ962" s="12"/>
      <c r="CR962" s="12"/>
      <c r="CS962" s="12"/>
      <c r="CT962" s="12"/>
      <c r="CU962" s="12"/>
      <c r="CV962" s="12"/>
      <c r="CW962" s="12"/>
      <c r="CX962" s="12"/>
      <c r="CY962" s="12"/>
      <c r="CZ962" s="12"/>
      <c r="DA962" s="12"/>
      <c r="DB962" s="12"/>
      <c r="DC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c r="DB963" s="12"/>
      <c r="DC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c r="CA964" s="12"/>
      <c r="CB964" s="12"/>
      <c r="CC964" s="12"/>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c r="DB964" s="12"/>
      <c r="DC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c r="CA965" s="12"/>
      <c r="CB965" s="12"/>
      <c r="CC965" s="12"/>
      <c r="CD965" s="12"/>
      <c r="CE965" s="12"/>
      <c r="CF965" s="12"/>
      <c r="CG965" s="12"/>
      <c r="CH965" s="12"/>
      <c r="CI965" s="12"/>
      <c r="CJ965" s="12"/>
      <c r="CK965" s="12"/>
      <c r="CL965" s="12"/>
      <c r="CM965" s="12"/>
      <c r="CN965" s="12"/>
      <c r="CO965" s="12"/>
      <c r="CP965" s="12"/>
      <c r="CQ965" s="12"/>
      <c r="CR965" s="12"/>
      <c r="CS965" s="12"/>
      <c r="CT965" s="12"/>
      <c r="CU965" s="12"/>
      <c r="CV965" s="12"/>
      <c r="CW965" s="12"/>
      <c r="CX965" s="12"/>
      <c r="CY965" s="12"/>
      <c r="CZ965" s="12"/>
      <c r="DA965" s="12"/>
      <c r="DB965" s="12"/>
      <c r="DC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c r="CX966" s="12"/>
      <c r="CY966" s="12"/>
      <c r="CZ966" s="12"/>
      <c r="DA966" s="12"/>
      <c r="DB966" s="12"/>
      <c r="DC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c r="DB967" s="12"/>
      <c r="DC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c r="CA968" s="12"/>
      <c r="CB968" s="12"/>
      <c r="CC968" s="12"/>
      <c r="CD968" s="12"/>
      <c r="CE968" s="12"/>
      <c r="CF968" s="12"/>
      <c r="CG968" s="12"/>
      <c r="CH968" s="12"/>
      <c r="CI968" s="12"/>
      <c r="CJ968" s="12"/>
      <c r="CK968" s="12"/>
      <c r="CL968" s="12"/>
      <c r="CM968" s="12"/>
      <c r="CN968" s="12"/>
      <c r="CO968" s="12"/>
      <c r="CP968" s="12"/>
      <c r="CQ968" s="12"/>
      <c r="CR968" s="12"/>
      <c r="CS968" s="12"/>
      <c r="CT968" s="12"/>
      <c r="CU968" s="12"/>
      <c r="CV968" s="12"/>
      <c r="CW968" s="12"/>
      <c r="CX968" s="12"/>
      <c r="CY968" s="12"/>
      <c r="CZ968" s="12"/>
      <c r="DA968" s="12"/>
      <c r="DB968" s="12"/>
      <c r="DC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c r="CA969" s="12"/>
      <c r="CB969" s="12"/>
      <c r="CC969" s="12"/>
      <c r="CD969" s="12"/>
      <c r="CE969" s="12"/>
      <c r="CF969" s="12"/>
      <c r="CG969" s="12"/>
      <c r="CH969" s="12"/>
      <c r="CI969" s="12"/>
      <c r="CJ969" s="12"/>
      <c r="CK969" s="12"/>
      <c r="CL969" s="12"/>
      <c r="CM969" s="12"/>
      <c r="CN969" s="12"/>
      <c r="CO969" s="12"/>
      <c r="CP969" s="12"/>
      <c r="CQ969" s="12"/>
      <c r="CR969" s="12"/>
      <c r="CS969" s="12"/>
      <c r="CT969" s="12"/>
      <c r="CU969" s="12"/>
      <c r="CV969" s="12"/>
      <c r="CW969" s="12"/>
      <c r="CX969" s="12"/>
      <c r="CY969" s="12"/>
      <c r="CZ969" s="12"/>
      <c r="DA969" s="12"/>
      <c r="DB969" s="12"/>
      <c r="DC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c r="CA970" s="12"/>
      <c r="CB970" s="12"/>
      <c r="CC970" s="12"/>
      <c r="CD970" s="12"/>
      <c r="CE970" s="12"/>
      <c r="CF970" s="12"/>
      <c r="CG970" s="12"/>
      <c r="CH970" s="12"/>
      <c r="CI970" s="12"/>
      <c r="CJ970" s="12"/>
      <c r="CK970" s="12"/>
      <c r="CL970" s="12"/>
      <c r="CM970" s="12"/>
      <c r="CN970" s="12"/>
      <c r="CO970" s="12"/>
      <c r="CP970" s="12"/>
      <c r="CQ970" s="12"/>
      <c r="CR970" s="12"/>
      <c r="CS970" s="12"/>
      <c r="CT970" s="12"/>
      <c r="CU970" s="12"/>
      <c r="CV970" s="12"/>
      <c r="CW970" s="12"/>
      <c r="CX970" s="12"/>
      <c r="CY970" s="12"/>
      <c r="CZ970" s="12"/>
      <c r="DA970" s="12"/>
      <c r="DB970" s="12"/>
      <c r="DC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c r="CA972" s="12"/>
      <c r="CB972" s="12"/>
      <c r="CC972" s="12"/>
      <c r="CD972" s="12"/>
      <c r="CE972" s="12"/>
      <c r="CF972" s="12"/>
      <c r="CG972" s="12"/>
      <c r="CH972" s="12"/>
      <c r="CI972" s="12"/>
      <c r="CJ972" s="12"/>
      <c r="CK972" s="12"/>
      <c r="CL972" s="12"/>
      <c r="CM972" s="12"/>
      <c r="CN972" s="12"/>
      <c r="CO972" s="12"/>
      <c r="CP972" s="12"/>
      <c r="CQ972" s="12"/>
      <c r="CR972" s="12"/>
      <c r="CS972" s="12"/>
      <c r="CT972" s="12"/>
      <c r="CU972" s="12"/>
      <c r="CV972" s="12"/>
      <c r="CW972" s="12"/>
      <c r="CX972" s="12"/>
      <c r="CY972" s="12"/>
      <c r="CZ972" s="12"/>
      <c r="DA972" s="12"/>
      <c r="DB972" s="12"/>
      <c r="DC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c r="CA973" s="12"/>
      <c r="CB973" s="12"/>
      <c r="CC973" s="12"/>
      <c r="CD973" s="12"/>
      <c r="CE973" s="12"/>
      <c r="CF973" s="12"/>
      <c r="CG973" s="12"/>
      <c r="CH973" s="12"/>
      <c r="CI973" s="12"/>
      <c r="CJ973" s="12"/>
      <c r="CK973" s="12"/>
      <c r="CL973" s="12"/>
      <c r="CM973" s="12"/>
      <c r="CN973" s="12"/>
      <c r="CO973" s="12"/>
      <c r="CP973" s="12"/>
      <c r="CQ973" s="12"/>
      <c r="CR973" s="12"/>
      <c r="CS973" s="12"/>
      <c r="CT973" s="12"/>
      <c r="CU973" s="12"/>
      <c r="CV973" s="12"/>
      <c r="CW973" s="12"/>
      <c r="CX973" s="12"/>
      <c r="CY973" s="12"/>
      <c r="CZ973" s="12"/>
      <c r="DA973" s="12"/>
      <c r="DB973" s="12"/>
      <c r="DC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c r="CA974" s="12"/>
      <c r="CB974" s="12"/>
      <c r="CC974" s="12"/>
      <c r="CD974" s="12"/>
      <c r="CE974" s="12"/>
      <c r="CF974" s="12"/>
      <c r="CG974" s="12"/>
      <c r="CH974" s="12"/>
      <c r="CI974" s="12"/>
      <c r="CJ974" s="12"/>
      <c r="CK974" s="12"/>
      <c r="CL974" s="12"/>
      <c r="CM974" s="12"/>
      <c r="CN974" s="12"/>
      <c r="CO974" s="12"/>
      <c r="CP974" s="12"/>
      <c r="CQ974" s="12"/>
      <c r="CR974" s="12"/>
      <c r="CS974" s="12"/>
      <c r="CT974" s="12"/>
      <c r="CU974" s="12"/>
      <c r="CV974" s="12"/>
      <c r="CW974" s="12"/>
      <c r="CX974" s="12"/>
      <c r="CY974" s="12"/>
      <c r="CZ974" s="12"/>
      <c r="DA974" s="12"/>
      <c r="DB974" s="12"/>
      <c r="DC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c r="CA976" s="12"/>
      <c r="CB976" s="12"/>
      <c r="CC976" s="12"/>
      <c r="CD976" s="12"/>
      <c r="CE976" s="12"/>
      <c r="CF976" s="12"/>
      <c r="CG976" s="12"/>
      <c r="CH976" s="12"/>
      <c r="CI976" s="12"/>
      <c r="CJ976" s="12"/>
      <c r="CK976" s="12"/>
      <c r="CL976" s="12"/>
      <c r="CM976" s="12"/>
      <c r="CN976" s="12"/>
      <c r="CO976" s="12"/>
      <c r="CP976" s="12"/>
      <c r="CQ976" s="12"/>
      <c r="CR976" s="12"/>
      <c r="CS976" s="12"/>
      <c r="CT976" s="12"/>
      <c r="CU976" s="12"/>
      <c r="CV976" s="12"/>
      <c r="CW976" s="12"/>
      <c r="CX976" s="12"/>
      <c r="CY976" s="12"/>
      <c r="CZ976" s="12"/>
      <c r="DA976" s="12"/>
      <c r="DB976" s="12"/>
      <c r="DC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c r="CA977" s="12"/>
      <c r="CB977" s="12"/>
      <c r="CC977" s="12"/>
      <c r="CD977" s="12"/>
      <c r="CE977" s="12"/>
      <c r="CF977" s="12"/>
      <c r="CG977" s="12"/>
      <c r="CH977" s="12"/>
      <c r="CI977" s="12"/>
      <c r="CJ977" s="12"/>
      <c r="CK977" s="12"/>
      <c r="CL977" s="12"/>
      <c r="CM977" s="12"/>
      <c r="CN977" s="12"/>
      <c r="CO977" s="12"/>
      <c r="CP977" s="12"/>
      <c r="CQ977" s="12"/>
      <c r="CR977" s="12"/>
      <c r="CS977" s="12"/>
      <c r="CT977" s="12"/>
      <c r="CU977" s="12"/>
      <c r="CV977" s="12"/>
      <c r="CW977" s="12"/>
      <c r="CX977" s="12"/>
      <c r="CY977" s="12"/>
      <c r="CZ977" s="12"/>
      <c r="DA977" s="12"/>
      <c r="DB977" s="12"/>
      <c r="DC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c r="CA978" s="12"/>
      <c r="CB978" s="12"/>
      <c r="CC978" s="12"/>
      <c r="CD978" s="12"/>
      <c r="CE978" s="12"/>
      <c r="CF978" s="12"/>
      <c r="CG978" s="12"/>
      <c r="CH978" s="12"/>
      <c r="CI978" s="12"/>
      <c r="CJ978" s="12"/>
      <c r="CK978" s="12"/>
      <c r="CL978" s="12"/>
      <c r="CM978" s="12"/>
      <c r="CN978" s="12"/>
      <c r="CO978" s="12"/>
      <c r="CP978" s="12"/>
      <c r="CQ978" s="12"/>
      <c r="CR978" s="12"/>
      <c r="CS978" s="12"/>
      <c r="CT978" s="12"/>
      <c r="CU978" s="12"/>
      <c r="CV978" s="12"/>
      <c r="CW978" s="12"/>
      <c r="CX978" s="12"/>
      <c r="CY978" s="12"/>
      <c r="CZ978" s="12"/>
      <c r="DA978" s="12"/>
      <c r="DB978" s="12"/>
      <c r="DC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c r="CA979" s="12"/>
      <c r="CB979" s="12"/>
      <c r="CC979" s="12"/>
      <c r="CD979" s="12"/>
      <c r="CE979" s="12"/>
      <c r="CF979" s="12"/>
      <c r="CG979" s="12"/>
      <c r="CH979" s="12"/>
      <c r="CI979" s="12"/>
      <c r="CJ979" s="12"/>
      <c r="CK979" s="12"/>
      <c r="CL979" s="12"/>
      <c r="CM979" s="12"/>
      <c r="CN979" s="12"/>
      <c r="CO979" s="12"/>
      <c r="CP979" s="12"/>
      <c r="CQ979" s="12"/>
      <c r="CR979" s="12"/>
      <c r="CS979" s="12"/>
      <c r="CT979" s="12"/>
      <c r="CU979" s="12"/>
      <c r="CV979" s="12"/>
      <c r="CW979" s="12"/>
      <c r="CX979" s="12"/>
      <c r="CY979" s="12"/>
      <c r="CZ979" s="12"/>
      <c r="DA979" s="12"/>
      <c r="DB979" s="12"/>
      <c r="DC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c r="CA980" s="12"/>
      <c r="CB980" s="12"/>
      <c r="CC980" s="12"/>
      <c r="CD980" s="12"/>
      <c r="CE980" s="12"/>
      <c r="CF980" s="12"/>
      <c r="CG980" s="12"/>
      <c r="CH980" s="12"/>
      <c r="CI980" s="12"/>
      <c r="CJ980" s="12"/>
      <c r="CK980" s="12"/>
      <c r="CL980" s="12"/>
      <c r="CM980" s="12"/>
      <c r="CN980" s="12"/>
      <c r="CO980" s="12"/>
      <c r="CP980" s="12"/>
      <c r="CQ980" s="12"/>
      <c r="CR980" s="12"/>
      <c r="CS980" s="12"/>
      <c r="CT980" s="12"/>
      <c r="CU980" s="12"/>
      <c r="CV980" s="12"/>
      <c r="CW980" s="12"/>
      <c r="CX980" s="12"/>
      <c r="CY980" s="12"/>
      <c r="CZ980" s="12"/>
      <c r="DA980" s="12"/>
      <c r="DB980" s="12"/>
      <c r="DC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c r="CA981" s="12"/>
      <c r="CB981" s="12"/>
      <c r="CC981" s="12"/>
      <c r="CD981" s="12"/>
      <c r="CE981" s="12"/>
      <c r="CF981" s="12"/>
      <c r="CG981" s="12"/>
      <c r="CH981" s="12"/>
      <c r="CI981" s="12"/>
      <c r="CJ981" s="12"/>
      <c r="CK981" s="12"/>
      <c r="CL981" s="12"/>
      <c r="CM981" s="12"/>
      <c r="CN981" s="12"/>
      <c r="CO981" s="12"/>
      <c r="CP981" s="12"/>
      <c r="CQ981" s="12"/>
      <c r="CR981" s="12"/>
      <c r="CS981" s="12"/>
      <c r="CT981" s="12"/>
      <c r="CU981" s="12"/>
      <c r="CV981" s="12"/>
      <c r="CW981" s="12"/>
      <c r="CX981" s="12"/>
      <c r="CY981" s="12"/>
      <c r="CZ981" s="12"/>
      <c r="DA981" s="12"/>
      <c r="DB981" s="12"/>
      <c r="DC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c r="CA982" s="12"/>
      <c r="CB982" s="12"/>
      <c r="CC982" s="12"/>
      <c r="CD982" s="12"/>
      <c r="CE982" s="12"/>
      <c r="CF982" s="12"/>
      <c r="CG982" s="12"/>
      <c r="CH982" s="12"/>
      <c r="CI982" s="12"/>
      <c r="CJ982" s="12"/>
      <c r="CK982" s="12"/>
      <c r="CL982" s="12"/>
      <c r="CM982" s="12"/>
      <c r="CN982" s="12"/>
      <c r="CO982" s="12"/>
      <c r="CP982" s="12"/>
      <c r="CQ982" s="12"/>
      <c r="CR982" s="12"/>
      <c r="CS982" s="12"/>
      <c r="CT982" s="12"/>
      <c r="CU982" s="12"/>
      <c r="CV982" s="12"/>
      <c r="CW982" s="12"/>
      <c r="CX982" s="12"/>
      <c r="CY982" s="12"/>
      <c r="CZ982" s="12"/>
      <c r="DA982" s="12"/>
      <c r="DB982" s="12"/>
      <c r="DC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c r="CA983" s="12"/>
      <c r="CB983" s="12"/>
      <c r="CC983" s="12"/>
      <c r="CD983" s="12"/>
      <c r="CE983" s="12"/>
      <c r="CF983" s="12"/>
      <c r="CG983" s="12"/>
      <c r="CH983" s="12"/>
      <c r="CI983" s="12"/>
      <c r="CJ983" s="12"/>
      <c r="CK983" s="12"/>
      <c r="CL983" s="12"/>
      <c r="CM983" s="12"/>
      <c r="CN983" s="12"/>
      <c r="CO983" s="12"/>
      <c r="CP983" s="12"/>
      <c r="CQ983" s="12"/>
      <c r="CR983" s="12"/>
      <c r="CS983" s="12"/>
      <c r="CT983" s="12"/>
      <c r="CU983" s="12"/>
      <c r="CV983" s="12"/>
      <c r="CW983" s="12"/>
      <c r="CX983" s="12"/>
      <c r="CY983" s="12"/>
      <c r="CZ983" s="12"/>
      <c r="DA983" s="12"/>
      <c r="DB983" s="12"/>
      <c r="DC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c r="CA984" s="12"/>
      <c r="CB984" s="12"/>
      <c r="CC984" s="12"/>
      <c r="CD984" s="12"/>
      <c r="CE984" s="12"/>
      <c r="CF984" s="12"/>
      <c r="CG984" s="12"/>
      <c r="CH984" s="12"/>
      <c r="CI984" s="12"/>
      <c r="CJ984" s="12"/>
      <c r="CK984" s="12"/>
      <c r="CL984" s="12"/>
      <c r="CM984" s="12"/>
      <c r="CN984" s="12"/>
      <c r="CO984" s="12"/>
      <c r="CP984" s="12"/>
      <c r="CQ984" s="12"/>
      <c r="CR984" s="12"/>
      <c r="CS984" s="12"/>
      <c r="CT984" s="12"/>
      <c r="CU984" s="12"/>
      <c r="CV984" s="12"/>
      <c r="CW984" s="12"/>
      <c r="CX984" s="12"/>
      <c r="CY984" s="12"/>
      <c r="CZ984" s="12"/>
      <c r="DA984" s="12"/>
      <c r="DB984" s="12"/>
      <c r="DC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c r="CA986" s="12"/>
      <c r="CB986" s="12"/>
      <c r="CC986" s="12"/>
      <c r="CD986" s="12"/>
      <c r="CE986" s="12"/>
      <c r="CF986" s="12"/>
      <c r="CG986" s="12"/>
      <c r="CH986" s="12"/>
      <c r="CI986" s="12"/>
      <c r="CJ986" s="12"/>
      <c r="CK986" s="12"/>
      <c r="CL986" s="12"/>
      <c r="CM986" s="12"/>
      <c r="CN986" s="12"/>
      <c r="CO986" s="12"/>
      <c r="CP986" s="12"/>
      <c r="CQ986" s="12"/>
      <c r="CR986" s="12"/>
      <c r="CS986" s="12"/>
      <c r="CT986" s="12"/>
      <c r="CU986" s="12"/>
      <c r="CV986" s="12"/>
      <c r="CW986" s="12"/>
      <c r="CX986" s="12"/>
      <c r="CY986" s="12"/>
      <c r="CZ986" s="12"/>
      <c r="DA986" s="12"/>
      <c r="DB986" s="12"/>
      <c r="DC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c r="CA987" s="12"/>
      <c r="CB987" s="12"/>
      <c r="CC987" s="12"/>
      <c r="CD987" s="12"/>
      <c r="CE987" s="12"/>
      <c r="CF987" s="12"/>
      <c r="CG987" s="12"/>
      <c r="CH987" s="12"/>
      <c r="CI987" s="12"/>
      <c r="CJ987" s="12"/>
      <c r="CK987" s="12"/>
      <c r="CL987" s="12"/>
      <c r="CM987" s="12"/>
      <c r="CN987" s="12"/>
      <c r="CO987" s="12"/>
      <c r="CP987" s="12"/>
      <c r="CQ987" s="12"/>
      <c r="CR987" s="12"/>
      <c r="CS987" s="12"/>
      <c r="CT987" s="12"/>
      <c r="CU987" s="12"/>
      <c r="CV987" s="12"/>
      <c r="CW987" s="12"/>
      <c r="CX987" s="12"/>
      <c r="CY987" s="12"/>
      <c r="CZ987" s="12"/>
      <c r="DA987" s="12"/>
      <c r="DB987" s="12"/>
      <c r="DC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c r="CA988" s="12"/>
      <c r="CB988" s="12"/>
      <c r="CC988" s="12"/>
      <c r="CD988" s="12"/>
      <c r="CE988" s="12"/>
      <c r="CF988" s="12"/>
      <c r="CG988" s="12"/>
      <c r="CH988" s="12"/>
      <c r="CI988" s="12"/>
      <c r="CJ988" s="12"/>
      <c r="CK988" s="12"/>
      <c r="CL988" s="12"/>
      <c r="CM988" s="12"/>
      <c r="CN988" s="12"/>
      <c r="CO988" s="12"/>
      <c r="CP988" s="12"/>
      <c r="CQ988" s="12"/>
      <c r="CR988" s="12"/>
      <c r="CS988" s="12"/>
      <c r="CT988" s="12"/>
      <c r="CU988" s="12"/>
      <c r="CV988" s="12"/>
      <c r="CW988" s="12"/>
      <c r="CX988" s="12"/>
      <c r="CY988" s="12"/>
      <c r="CZ988" s="12"/>
      <c r="DA988" s="12"/>
      <c r="DB988" s="12"/>
      <c r="DC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c r="CA989" s="12"/>
      <c r="CB989" s="12"/>
      <c r="CC989" s="12"/>
      <c r="CD989" s="12"/>
      <c r="CE989" s="12"/>
      <c r="CF989" s="12"/>
      <c r="CG989" s="12"/>
      <c r="CH989" s="12"/>
      <c r="CI989" s="12"/>
      <c r="CJ989" s="12"/>
      <c r="CK989" s="12"/>
      <c r="CL989" s="12"/>
      <c r="CM989" s="12"/>
      <c r="CN989" s="12"/>
      <c r="CO989" s="12"/>
      <c r="CP989" s="12"/>
      <c r="CQ989" s="12"/>
      <c r="CR989" s="12"/>
      <c r="CS989" s="12"/>
      <c r="CT989" s="12"/>
      <c r="CU989" s="12"/>
      <c r="CV989" s="12"/>
      <c r="CW989" s="12"/>
      <c r="CX989" s="12"/>
      <c r="CY989" s="12"/>
      <c r="CZ989" s="12"/>
      <c r="DA989" s="12"/>
      <c r="DB989" s="12"/>
      <c r="DC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c r="CA990" s="12"/>
      <c r="CB990" s="12"/>
      <c r="CC990" s="12"/>
      <c r="CD990" s="12"/>
      <c r="CE990" s="12"/>
      <c r="CF990" s="12"/>
      <c r="CG990" s="12"/>
      <c r="CH990" s="12"/>
      <c r="CI990" s="12"/>
      <c r="CJ990" s="12"/>
      <c r="CK990" s="12"/>
      <c r="CL990" s="12"/>
      <c r="CM990" s="12"/>
      <c r="CN990" s="12"/>
      <c r="CO990" s="12"/>
      <c r="CP990" s="12"/>
      <c r="CQ990" s="12"/>
      <c r="CR990" s="12"/>
      <c r="CS990" s="12"/>
      <c r="CT990" s="12"/>
      <c r="CU990" s="12"/>
      <c r="CV990" s="12"/>
      <c r="CW990" s="12"/>
      <c r="CX990" s="12"/>
      <c r="CY990" s="12"/>
      <c r="CZ990" s="12"/>
      <c r="DA990" s="12"/>
      <c r="DB990" s="12"/>
      <c r="DC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c r="CA991" s="12"/>
      <c r="CB991" s="12"/>
      <c r="CC991" s="12"/>
      <c r="CD991" s="12"/>
      <c r="CE991" s="12"/>
      <c r="CF991" s="12"/>
      <c r="CG991" s="12"/>
      <c r="CH991" s="12"/>
      <c r="CI991" s="12"/>
      <c r="CJ991" s="12"/>
      <c r="CK991" s="12"/>
      <c r="CL991" s="12"/>
      <c r="CM991" s="12"/>
      <c r="CN991" s="12"/>
      <c r="CO991" s="12"/>
      <c r="CP991" s="12"/>
      <c r="CQ991" s="12"/>
      <c r="CR991" s="12"/>
      <c r="CS991" s="12"/>
      <c r="CT991" s="12"/>
      <c r="CU991" s="12"/>
      <c r="CV991" s="12"/>
      <c r="CW991" s="12"/>
      <c r="CX991" s="12"/>
      <c r="CY991" s="12"/>
      <c r="CZ991" s="12"/>
      <c r="DA991" s="12"/>
      <c r="DB991" s="12"/>
      <c r="DC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c r="CA992" s="12"/>
      <c r="CB992" s="12"/>
      <c r="CC992" s="12"/>
      <c r="CD992" s="12"/>
      <c r="CE992" s="12"/>
      <c r="CF992" s="12"/>
      <c r="CG992" s="12"/>
      <c r="CH992" s="12"/>
      <c r="CI992" s="12"/>
      <c r="CJ992" s="12"/>
      <c r="CK992" s="12"/>
      <c r="CL992" s="12"/>
      <c r="CM992" s="12"/>
      <c r="CN992" s="12"/>
      <c r="CO992" s="12"/>
      <c r="CP992" s="12"/>
      <c r="CQ992" s="12"/>
      <c r="CR992" s="12"/>
      <c r="CS992" s="12"/>
      <c r="CT992" s="12"/>
      <c r="CU992" s="12"/>
      <c r="CV992" s="12"/>
      <c r="CW992" s="12"/>
      <c r="CX992" s="12"/>
      <c r="CY992" s="12"/>
      <c r="CZ992" s="12"/>
      <c r="DA992" s="12"/>
      <c r="DB992" s="12"/>
      <c r="DC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c r="CA993" s="12"/>
      <c r="CB993" s="12"/>
      <c r="CC993" s="12"/>
      <c r="CD993" s="12"/>
      <c r="CE993" s="12"/>
      <c r="CF993" s="12"/>
      <c r="CG993" s="12"/>
      <c r="CH993" s="12"/>
      <c r="CI993" s="12"/>
      <c r="CJ993" s="12"/>
      <c r="CK993" s="12"/>
      <c r="CL993" s="12"/>
      <c r="CM993" s="12"/>
      <c r="CN993" s="12"/>
      <c r="CO993" s="12"/>
      <c r="CP993" s="12"/>
      <c r="CQ993" s="12"/>
      <c r="CR993" s="12"/>
      <c r="CS993" s="12"/>
      <c r="CT993" s="12"/>
      <c r="CU993" s="12"/>
      <c r="CV993" s="12"/>
      <c r="CW993" s="12"/>
      <c r="CX993" s="12"/>
      <c r="CY993" s="12"/>
      <c r="CZ993" s="12"/>
      <c r="DA993" s="12"/>
      <c r="DB993" s="12"/>
      <c r="DC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c r="CA994" s="12"/>
      <c r="CB994" s="12"/>
      <c r="CC994" s="12"/>
      <c r="CD994" s="12"/>
      <c r="CE994" s="12"/>
      <c r="CF994" s="12"/>
      <c r="CG994" s="12"/>
      <c r="CH994" s="12"/>
      <c r="CI994" s="12"/>
      <c r="CJ994" s="12"/>
      <c r="CK994" s="12"/>
      <c r="CL994" s="12"/>
      <c r="CM994" s="12"/>
      <c r="CN994" s="12"/>
      <c r="CO994" s="12"/>
      <c r="CP994" s="12"/>
      <c r="CQ994" s="12"/>
      <c r="CR994" s="12"/>
      <c r="CS994" s="12"/>
      <c r="CT994" s="12"/>
      <c r="CU994" s="12"/>
      <c r="CV994" s="12"/>
      <c r="CW994" s="12"/>
      <c r="CX994" s="12"/>
      <c r="CY994" s="12"/>
      <c r="CZ994" s="12"/>
      <c r="DA994" s="12"/>
      <c r="DB994" s="12"/>
      <c r="DC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c r="CA995" s="12"/>
      <c r="CB995" s="12"/>
      <c r="CC995" s="12"/>
      <c r="CD995" s="12"/>
      <c r="CE995" s="12"/>
      <c r="CF995" s="12"/>
      <c r="CG995" s="12"/>
      <c r="CH995" s="12"/>
      <c r="CI995" s="12"/>
      <c r="CJ995" s="12"/>
      <c r="CK995" s="12"/>
      <c r="CL995" s="12"/>
      <c r="CM995" s="12"/>
      <c r="CN995" s="12"/>
      <c r="CO995" s="12"/>
      <c r="CP995" s="12"/>
      <c r="CQ995" s="12"/>
      <c r="CR995" s="12"/>
      <c r="CS995" s="12"/>
      <c r="CT995" s="12"/>
      <c r="CU995" s="12"/>
      <c r="CV995" s="12"/>
      <c r="CW995" s="12"/>
      <c r="CX995" s="12"/>
      <c r="CY995" s="12"/>
      <c r="CZ995" s="12"/>
      <c r="DA995" s="12"/>
      <c r="DB995" s="12"/>
      <c r="DC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c r="CA996" s="12"/>
      <c r="CB996" s="12"/>
      <c r="CC996" s="12"/>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c r="CA997" s="12"/>
      <c r="CB997" s="12"/>
      <c r="CC997" s="12"/>
      <c r="CD997" s="12"/>
      <c r="CE997" s="12"/>
      <c r="CF997" s="12"/>
      <c r="CG997" s="12"/>
      <c r="CH997" s="12"/>
      <c r="CI997" s="12"/>
      <c r="CJ997" s="12"/>
      <c r="CK997" s="12"/>
      <c r="CL997" s="12"/>
      <c r="CM997" s="12"/>
      <c r="CN997" s="12"/>
      <c r="CO997" s="12"/>
      <c r="CP997" s="12"/>
      <c r="CQ997" s="12"/>
      <c r="CR997" s="12"/>
      <c r="CS997" s="12"/>
      <c r="CT997" s="12"/>
      <c r="CU997" s="12"/>
      <c r="CV997" s="12"/>
      <c r="CW997" s="12"/>
      <c r="CX997" s="12"/>
      <c r="CY997" s="12"/>
      <c r="CZ997" s="12"/>
      <c r="DA997" s="12"/>
      <c r="DB997" s="12"/>
      <c r="DC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c r="CA998" s="12"/>
      <c r="CB998" s="12"/>
      <c r="CC998" s="12"/>
      <c r="CD998" s="12"/>
      <c r="CE998" s="12"/>
      <c r="CF998" s="12"/>
      <c r="CG998" s="12"/>
      <c r="CH998" s="12"/>
      <c r="CI998" s="12"/>
      <c r="CJ998" s="12"/>
      <c r="CK998" s="12"/>
      <c r="CL998" s="12"/>
      <c r="CM998" s="12"/>
      <c r="CN998" s="12"/>
      <c r="CO998" s="12"/>
      <c r="CP998" s="12"/>
      <c r="CQ998" s="12"/>
      <c r="CR998" s="12"/>
      <c r="CS998" s="12"/>
      <c r="CT998" s="12"/>
      <c r="CU998" s="12"/>
      <c r="CV998" s="12"/>
      <c r="CW998" s="12"/>
      <c r="CX998" s="12"/>
      <c r="CY998" s="12"/>
      <c r="CZ998" s="12"/>
      <c r="DA998" s="12"/>
      <c r="DB998" s="12"/>
      <c r="DC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c r="CA999" s="12"/>
      <c r="CB999" s="12"/>
      <c r="CC999" s="12"/>
      <c r="CD999" s="12"/>
      <c r="CE999" s="12"/>
      <c r="CF999" s="12"/>
      <c r="CG999" s="12"/>
      <c r="CH999" s="12"/>
      <c r="CI999" s="12"/>
      <c r="CJ999" s="12"/>
      <c r="CK999" s="12"/>
      <c r="CL999" s="12"/>
      <c r="CM999" s="12"/>
      <c r="CN999" s="12"/>
      <c r="CO999" s="12"/>
      <c r="CP999" s="12"/>
      <c r="CQ999" s="12"/>
      <c r="CR999" s="12"/>
      <c r="CS999" s="12"/>
      <c r="CT999" s="12"/>
      <c r="CU999" s="12"/>
      <c r="CV999" s="12"/>
      <c r="CW999" s="12"/>
      <c r="CX999" s="12"/>
      <c r="CY999" s="12"/>
      <c r="CZ999" s="12"/>
      <c r="DA999" s="12"/>
      <c r="DB999" s="12"/>
      <c r="DC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c r="CA1000" s="12"/>
      <c r="CB1000" s="12"/>
      <c r="CC1000" s="12"/>
      <c r="CD1000" s="12"/>
      <c r="CE1000" s="12"/>
      <c r="CF1000" s="12"/>
      <c r="CG1000" s="12"/>
      <c r="CH1000" s="12"/>
      <c r="CI1000" s="12"/>
      <c r="CJ1000" s="12"/>
      <c r="CK1000" s="12"/>
      <c r="CL1000" s="12"/>
      <c r="CM1000" s="12"/>
      <c r="CN1000" s="12"/>
      <c r="CO1000" s="12"/>
      <c r="CP1000" s="12"/>
      <c r="CQ1000" s="12"/>
      <c r="CR1000" s="12"/>
      <c r="CS1000" s="12"/>
      <c r="CT1000" s="12"/>
      <c r="CU1000" s="12"/>
      <c r="CV1000" s="12"/>
      <c r="CW1000" s="12"/>
      <c r="CX1000" s="12"/>
      <c r="CY1000" s="12"/>
      <c r="CZ1000" s="12"/>
      <c r="DA1000" s="12"/>
      <c r="DB1000" s="12"/>
      <c r="DC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c r="CA1001" s="12"/>
      <c r="CB1001" s="12"/>
      <c r="CC1001" s="12"/>
      <c r="CD1001" s="12"/>
      <c r="CE1001" s="12"/>
      <c r="CF1001" s="12"/>
      <c r="CG1001" s="12"/>
      <c r="CH1001" s="12"/>
      <c r="CI1001" s="12"/>
      <c r="CJ1001" s="12"/>
      <c r="CK1001" s="12"/>
      <c r="CL1001" s="12"/>
      <c r="CM1001" s="12"/>
      <c r="CN1001" s="12"/>
      <c r="CO1001" s="12"/>
      <c r="CP1001" s="12"/>
      <c r="CQ1001" s="12"/>
      <c r="CR1001" s="12"/>
      <c r="CS1001" s="12"/>
      <c r="CT1001" s="12"/>
      <c r="CU1001" s="12"/>
      <c r="CV1001" s="12"/>
      <c r="CW1001" s="12"/>
      <c r="CX1001" s="12"/>
      <c r="CY1001" s="12"/>
      <c r="CZ1001" s="12"/>
      <c r="DA1001" s="12"/>
      <c r="DB1001" s="12"/>
      <c r="DC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c r="CA1002" s="12"/>
      <c r="CB1002" s="12"/>
      <c r="CC1002" s="12"/>
      <c r="CD1002" s="12"/>
      <c r="CE1002" s="12"/>
      <c r="CF1002" s="12"/>
      <c r="CG1002" s="12"/>
      <c r="CH1002" s="12"/>
      <c r="CI1002" s="12"/>
      <c r="CJ1002" s="12"/>
      <c r="CK1002" s="12"/>
      <c r="CL1002" s="12"/>
      <c r="CM1002" s="12"/>
      <c r="CN1002" s="12"/>
      <c r="CO1002" s="12"/>
      <c r="CP1002" s="12"/>
      <c r="CQ1002" s="12"/>
      <c r="CR1002" s="12"/>
      <c r="CS1002" s="12"/>
      <c r="CT1002" s="12"/>
      <c r="CU1002" s="12"/>
      <c r="CV1002" s="12"/>
      <c r="CW1002" s="12"/>
      <c r="CX1002" s="12"/>
      <c r="CY1002" s="12"/>
      <c r="CZ1002" s="12"/>
      <c r="DA1002" s="12"/>
      <c r="DB1002" s="12"/>
      <c r="DC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c r="CA1003" s="12"/>
      <c r="CB1003" s="12"/>
      <c r="CC1003" s="12"/>
      <c r="CD1003" s="12"/>
      <c r="CE1003" s="12"/>
      <c r="CF1003" s="12"/>
      <c r="CG1003" s="12"/>
      <c r="CH1003" s="12"/>
      <c r="CI1003" s="12"/>
      <c r="CJ1003" s="12"/>
      <c r="CK1003" s="12"/>
      <c r="CL1003" s="12"/>
      <c r="CM1003" s="12"/>
      <c r="CN1003" s="12"/>
      <c r="CO1003" s="12"/>
      <c r="CP1003" s="12"/>
      <c r="CQ1003" s="12"/>
      <c r="CR1003" s="12"/>
      <c r="CS1003" s="12"/>
      <c r="CT1003" s="12"/>
      <c r="CU1003" s="12"/>
      <c r="CV1003" s="12"/>
      <c r="CW1003" s="12"/>
      <c r="CX1003" s="12"/>
      <c r="CY1003" s="12"/>
      <c r="CZ1003" s="12"/>
      <c r="DA1003" s="12"/>
      <c r="DB1003" s="12"/>
      <c r="DC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c r="CA1004" s="12"/>
      <c r="CB1004" s="12"/>
      <c r="CC1004" s="12"/>
      <c r="CD1004" s="12"/>
      <c r="CE1004" s="12"/>
      <c r="CF1004" s="12"/>
      <c r="CG1004" s="12"/>
      <c r="CH1004" s="12"/>
      <c r="CI1004" s="12"/>
      <c r="CJ1004" s="12"/>
      <c r="CK1004" s="12"/>
      <c r="CL1004" s="12"/>
      <c r="CM1004" s="12"/>
      <c r="CN1004" s="12"/>
      <c r="CO1004" s="12"/>
      <c r="CP1004" s="12"/>
      <c r="CQ1004" s="12"/>
      <c r="CR1004" s="12"/>
      <c r="CS1004" s="12"/>
      <c r="CT1004" s="12"/>
      <c r="CU1004" s="12"/>
      <c r="CV1004" s="12"/>
      <c r="CW1004" s="12"/>
      <c r="CX1004" s="12"/>
      <c r="CY1004" s="12"/>
      <c r="CZ1004" s="12"/>
      <c r="DA1004" s="12"/>
      <c r="DB1004" s="12"/>
      <c r="DC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c r="CA1005" s="12"/>
      <c r="CB1005" s="12"/>
      <c r="CC1005" s="12"/>
      <c r="CD1005" s="12"/>
      <c r="CE1005" s="12"/>
      <c r="CF1005" s="12"/>
      <c r="CG1005" s="12"/>
      <c r="CH1005" s="12"/>
      <c r="CI1005" s="12"/>
      <c r="CJ1005" s="12"/>
      <c r="CK1005" s="12"/>
      <c r="CL1005" s="12"/>
      <c r="CM1005" s="12"/>
      <c r="CN1005" s="12"/>
      <c r="CO1005" s="12"/>
      <c r="CP1005" s="12"/>
      <c r="CQ1005" s="12"/>
      <c r="CR1005" s="12"/>
      <c r="CS1005" s="12"/>
      <c r="CT1005" s="12"/>
      <c r="CU1005" s="12"/>
      <c r="CV1005" s="12"/>
      <c r="CW1005" s="12"/>
      <c r="CX1005" s="12"/>
      <c r="CY1005" s="12"/>
      <c r="CZ1005" s="12"/>
      <c r="DA1005" s="12"/>
      <c r="DB1005" s="12"/>
      <c r="DC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c r="CA1006" s="12"/>
      <c r="CB1006" s="12"/>
      <c r="CC1006" s="12"/>
      <c r="CD1006" s="12"/>
      <c r="CE1006" s="12"/>
      <c r="CF1006" s="12"/>
      <c r="CG1006" s="12"/>
      <c r="CH1006" s="12"/>
      <c r="CI1006" s="12"/>
      <c r="CJ1006" s="12"/>
      <c r="CK1006" s="12"/>
      <c r="CL1006" s="12"/>
      <c r="CM1006" s="12"/>
      <c r="CN1006" s="12"/>
      <c r="CO1006" s="12"/>
      <c r="CP1006" s="12"/>
      <c r="CQ1006" s="12"/>
      <c r="CR1006" s="12"/>
      <c r="CS1006" s="12"/>
      <c r="CT1006" s="12"/>
      <c r="CU1006" s="12"/>
      <c r="CV1006" s="12"/>
      <c r="CW1006" s="12"/>
      <c r="CX1006" s="12"/>
      <c r="CY1006" s="12"/>
      <c r="CZ1006" s="12"/>
      <c r="DA1006" s="12"/>
      <c r="DB1006" s="12"/>
      <c r="DC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c r="CA1007" s="12"/>
      <c r="CB1007" s="12"/>
      <c r="CC1007" s="12"/>
      <c r="CD1007" s="12"/>
      <c r="CE1007" s="12"/>
      <c r="CF1007" s="12"/>
      <c r="CG1007" s="12"/>
      <c r="CH1007" s="12"/>
      <c r="CI1007" s="12"/>
      <c r="CJ1007" s="12"/>
      <c r="CK1007" s="12"/>
      <c r="CL1007" s="12"/>
      <c r="CM1007" s="12"/>
      <c r="CN1007" s="12"/>
      <c r="CO1007" s="12"/>
      <c r="CP1007" s="12"/>
      <c r="CQ1007" s="12"/>
      <c r="CR1007" s="12"/>
      <c r="CS1007" s="12"/>
      <c r="CT1007" s="12"/>
      <c r="CU1007" s="12"/>
      <c r="CV1007" s="12"/>
      <c r="CW1007" s="12"/>
      <c r="CX1007" s="12"/>
      <c r="CY1007" s="12"/>
      <c r="CZ1007" s="12"/>
      <c r="DA1007" s="12"/>
      <c r="DB1007" s="12"/>
      <c r="DC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c r="CA1008" s="12"/>
      <c r="CB1008" s="12"/>
      <c r="CC1008" s="12"/>
      <c r="CD1008" s="12"/>
      <c r="CE1008" s="12"/>
      <c r="CF1008" s="12"/>
      <c r="CG1008" s="12"/>
      <c r="CH1008" s="12"/>
      <c r="CI1008" s="12"/>
      <c r="CJ1008" s="12"/>
      <c r="CK1008" s="12"/>
      <c r="CL1008" s="12"/>
      <c r="CM1008" s="12"/>
      <c r="CN1008" s="12"/>
      <c r="CO1008" s="12"/>
      <c r="CP1008" s="12"/>
      <c r="CQ1008" s="12"/>
      <c r="CR1008" s="12"/>
      <c r="CS1008" s="12"/>
      <c r="CT1008" s="12"/>
      <c r="CU1008" s="12"/>
      <c r="CV1008" s="12"/>
      <c r="CW1008" s="12"/>
      <c r="CX1008" s="12"/>
      <c r="CY1008" s="12"/>
      <c r="CZ1008" s="12"/>
      <c r="DA1008" s="12"/>
      <c r="DB1008" s="12"/>
      <c r="DC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c r="CA1009" s="12"/>
      <c r="CB1009" s="12"/>
      <c r="CC1009" s="12"/>
      <c r="CD1009" s="12"/>
      <c r="CE1009" s="12"/>
      <c r="CF1009" s="12"/>
      <c r="CG1009" s="12"/>
      <c r="CH1009" s="12"/>
      <c r="CI1009" s="12"/>
      <c r="CJ1009" s="12"/>
      <c r="CK1009" s="12"/>
      <c r="CL1009" s="12"/>
      <c r="CM1009" s="12"/>
      <c r="CN1009" s="12"/>
      <c r="CO1009" s="12"/>
      <c r="CP1009" s="12"/>
      <c r="CQ1009" s="12"/>
      <c r="CR1009" s="12"/>
      <c r="CS1009" s="12"/>
      <c r="CT1009" s="12"/>
      <c r="CU1009" s="12"/>
      <c r="CV1009" s="12"/>
      <c r="CW1009" s="12"/>
      <c r="CX1009" s="12"/>
      <c r="CY1009" s="12"/>
      <c r="CZ1009" s="12"/>
      <c r="DA1009" s="12"/>
      <c r="DB1009" s="12"/>
      <c r="DC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c r="CA1010" s="12"/>
      <c r="CB1010" s="12"/>
      <c r="CC1010" s="12"/>
      <c r="CD1010" s="12"/>
      <c r="CE1010" s="12"/>
      <c r="CF1010" s="12"/>
      <c r="CG1010" s="12"/>
      <c r="CH1010" s="12"/>
      <c r="CI1010" s="12"/>
      <c r="CJ1010" s="12"/>
      <c r="CK1010" s="12"/>
      <c r="CL1010" s="12"/>
      <c r="CM1010" s="12"/>
      <c r="CN1010" s="12"/>
      <c r="CO1010" s="12"/>
      <c r="CP1010" s="12"/>
      <c r="CQ1010" s="12"/>
      <c r="CR1010" s="12"/>
      <c r="CS1010" s="12"/>
      <c r="CT1010" s="12"/>
      <c r="CU1010" s="12"/>
      <c r="CV1010" s="12"/>
      <c r="CW1010" s="12"/>
      <c r="CX1010" s="12"/>
      <c r="CY1010" s="12"/>
      <c r="CZ1010" s="12"/>
      <c r="DA1010" s="12"/>
      <c r="DB1010" s="12"/>
      <c r="DC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c r="CA1011" s="12"/>
      <c r="CB1011" s="12"/>
      <c r="CC1011" s="12"/>
      <c r="CD1011" s="12"/>
      <c r="CE1011" s="12"/>
      <c r="CF1011" s="12"/>
      <c r="CG1011" s="12"/>
      <c r="CH1011" s="12"/>
      <c r="CI1011" s="12"/>
      <c r="CJ1011" s="12"/>
      <c r="CK1011" s="12"/>
      <c r="CL1011" s="12"/>
      <c r="CM1011" s="12"/>
      <c r="CN1011" s="12"/>
      <c r="CO1011" s="12"/>
      <c r="CP1011" s="12"/>
      <c r="CQ1011" s="12"/>
      <c r="CR1011" s="12"/>
      <c r="CS1011" s="12"/>
      <c r="CT1011" s="12"/>
      <c r="CU1011" s="12"/>
      <c r="CV1011" s="12"/>
      <c r="CW1011" s="12"/>
      <c r="CX1011" s="12"/>
      <c r="CY1011" s="12"/>
      <c r="CZ1011" s="12"/>
      <c r="DA1011" s="12"/>
      <c r="DB1011" s="12"/>
      <c r="DC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c r="CA1012" s="12"/>
      <c r="CB1012" s="12"/>
      <c r="CC1012" s="12"/>
      <c r="CD1012" s="12"/>
      <c r="CE1012" s="12"/>
      <c r="CF1012" s="12"/>
      <c r="CG1012" s="12"/>
      <c r="CH1012" s="12"/>
      <c r="CI1012" s="12"/>
      <c r="CJ1012" s="12"/>
      <c r="CK1012" s="12"/>
      <c r="CL1012" s="12"/>
      <c r="CM1012" s="12"/>
      <c r="CN1012" s="12"/>
      <c r="CO1012" s="12"/>
      <c r="CP1012" s="12"/>
      <c r="CQ1012" s="12"/>
      <c r="CR1012" s="12"/>
      <c r="CS1012" s="12"/>
      <c r="CT1012" s="12"/>
      <c r="CU1012" s="12"/>
      <c r="CV1012" s="12"/>
      <c r="CW1012" s="12"/>
      <c r="CX1012" s="12"/>
      <c r="CY1012" s="12"/>
      <c r="CZ1012" s="12"/>
      <c r="DA1012" s="12"/>
      <c r="DB1012" s="12"/>
      <c r="DC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c r="CA1013" s="12"/>
      <c r="CB1013" s="12"/>
      <c r="CC1013" s="12"/>
      <c r="CD1013" s="12"/>
      <c r="CE1013" s="12"/>
      <c r="CF1013" s="12"/>
      <c r="CG1013" s="12"/>
      <c r="CH1013" s="12"/>
      <c r="CI1013" s="12"/>
      <c r="CJ1013" s="12"/>
      <c r="CK1013" s="12"/>
      <c r="CL1013" s="12"/>
      <c r="CM1013" s="12"/>
      <c r="CN1013" s="12"/>
      <c r="CO1013" s="12"/>
      <c r="CP1013" s="12"/>
      <c r="CQ1013" s="12"/>
      <c r="CR1013" s="12"/>
      <c r="CS1013" s="12"/>
      <c r="CT1013" s="12"/>
      <c r="CU1013" s="12"/>
      <c r="CV1013" s="12"/>
      <c r="CW1013" s="12"/>
      <c r="CX1013" s="12"/>
      <c r="CY1013" s="12"/>
      <c r="CZ1013" s="12"/>
      <c r="DA1013" s="12"/>
      <c r="DB1013" s="12"/>
      <c r="DC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c r="CA1014" s="12"/>
      <c r="CB1014" s="12"/>
      <c r="CC1014" s="12"/>
      <c r="CD1014" s="12"/>
      <c r="CE1014" s="12"/>
      <c r="CF1014" s="12"/>
      <c r="CG1014" s="12"/>
      <c r="CH1014" s="12"/>
      <c r="CI1014" s="12"/>
      <c r="CJ1014" s="12"/>
      <c r="CK1014" s="12"/>
      <c r="CL1014" s="12"/>
      <c r="CM1014" s="12"/>
      <c r="CN1014" s="12"/>
      <c r="CO1014" s="12"/>
      <c r="CP1014" s="12"/>
      <c r="CQ1014" s="12"/>
      <c r="CR1014" s="12"/>
      <c r="CS1014" s="12"/>
      <c r="CT1014" s="12"/>
      <c r="CU1014" s="12"/>
      <c r="CV1014" s="12"/>
      <c r="CW1014" s="12"/>
      <c r="CX1014" s="12"/>
      <c r="CY1014" s="12"/>
      <c r="CZ1014" s="12"/>
      <c r="DA1014" s="12"/>
      <c r="DB1014" s="12"/>
      <c r="DC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c r="CA1015" s="12"/>
      <c r="CB1015" s="12"/>
      <c r="CC1015" s="12"/>
      <c r="CD1015" s="12"/>
      <c r="CE1015" s="12"/>
      <c r="CF1015" s="12"/>
      <c r="CG1015" s="12"/>
      <c r="CH1015" s="12"/>
      <c r="CI1015" s="12"/>
      <c r="CJ1015" s="12"/>
      <c r="CK1015" s="12"/>
      <c r="CL1015" s="12"/>
      <c r="CM1015" s="12"/>
      <c r="CN1015" s="12"/>
      <c r="CO1015" s="12"/>
      <c r="CP1015" s="12"/>
      <c r="CQ1015" s="12"/>
      <c r="CR1015" s="12"/>
      <c r="CS1015" s="12"/>
      <c r="CT1015" s="12"/>
      <c r="CU1015" s="12"/>
      <c r="CV1015" s="12"/>
      <c r="CW1015" s="12"/>
      <c r="CX1015" s="12"/>
      <c r="CY1015" s="12"/>
      <c r="CZ1015" s="12"/>
      <c r="DA1015" s="12"/>
      <c r="DB1015" s="12"/>
      <c r="DC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c r="CA1016" s="12"/>
      <c r="CB1016" s="12"/>
      <c r="CC1016" s="12"/>
      <c r="CD1016" s="12"/>
      <c r="CE1016" s="12"/>
      <c r="CF1016" s="12"/>
      <c r="CG1016" s="12"/>
      <c r="CH1016" s="12"/>
      <c r="CI1016" s="12"/>
      <c r="CJ1016" s="12"/>
      <c r="CK1016" s="12"/>
      <c r="CL1016" s="12"/>
      <c r="CM1016" s="12"/>
      <c r="CN1016" s="12"/>
      <c r="CO1016" s="12"/>
      <c r="CP1016" s="12"/>
      <c r="CQ1016" s="12"/>
      <c r="CR1016" s="12"/>
      <c r="CS1016" s="12"/>
      <c r="CT1016" s="12"/>
      <c r="CU1016" s="12"/>
      <c r="CV1016" s="12"/>
      <c r="CW1016" s="12"/>
      <c r="CX1016" s="12"/>
      <c r="CY1016" s="12"/>
      <c r="CZ1016" s="12"/>
      <c r="DA1016" s="12"/>
      <c r="DB1016" s="12"/>
      <c r="DC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c r="CA1017" s="12"/>
      <c r="CB1017" s="12"/>
      <c r="CC1017" s="12"/>
      <c r="CD1017" s="12"/>
      <c r="CE1017" s="12"/>
      <c r="CF1017" s="12"/>
      <c r="CG1017" s="12"/>
      <c r="CH1017" s="12"/>
      <c r="CI1017" s="12"/>
      <c r="CJ1017" s="12"/>
      <c r="CK1017" s="12"/>
      <c r="CL1017" s="12"/>
      <c r="CM1017" s="12"/>
      <c r="CN1017" s="12"/>
      <c r="CO1017" s="12"/>
      <c r="CP1017" s="12"/>
      <c r="CQ1017" s="12"/>
      <c r="CR1017" s="12"/>
      <c r="CS1017" s="12"/>
      <c r="CT1017" s="12"/>
      <c r="CU1017" s="12"/>
      <c r="CV1017" s="12"/>
      <c r="CW1017" s="12"/>
      <c r="CX1017" s="12"/>
      <c r="CY1017" s="12"/>
      <c r="CZ1017" s="12"/>
      <c r="DA1017" s="12"/>
      <c r="DB1017" s="12"/>
      <c r="DC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c r="CA1018" s="12"/>
      <c r="CB1018" s="12"/>
      <c r="CC1018" s="12"/>
      <c r="CD1018" s="12"/>
      <c r="CE1018" s="12"/>
      <c r="CF1018" s="12"/>
      <c r="CG1018" s="12"/>
      <c r="CH1018" s="12"/>
      <c r="CI1018" s="12"/>
      <c r="CJ1018" s="12"/>
      <c r="CK1018" s="12"/>
      <c r="CL1018" s="12"/>
      <c r="CM1018" s="12"/>
      <c r="CN1018" s="12"/>
      <c r="CO1018" s="12"/>
      <c r="CP1018" s="12"/>
      <c r="CQ1018" s="12"/>
      <c r="CR1018" s="12"/>
      <c r="CS1018" s="12"/>
      <c r="CT1018" s="12"/>
      <c r="CU1018" s="12"/>
      <c r="CV1018" s="12"/>
      <c r="CW1018" s="12"/>
      <c r="CX1018" s="12"/>
      <c r="CY1018" s="12"/>
      <c r="CZ1018" s="12"/>
      <c r="DA1018" s="12"/>
      <c r="DB1018" s="12"/>
      <c r="DC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c r="CA1019" s="12"/>
      <c r="CB1019" s="12"/>
      <c r="CC1019" s="12"/>
      <c r="CD1019" s="12"/>
      <c r="CE1019" s="12"/>
      <c r="CF1019" s="12"/>
      <c r="CG1019" s="12"/>
      <c r="CH1019" s="12"/>
      <c r="CI1019" s="12"/>
      <c r="CJ1019" s="12"/>
      <c r="CK1019" s="12"/>
      <c r="CL1019" s="12"/>
      <c r="CM1019" s="12"/>
      <c r="CN1019" s="12"/>
      <c r="CO1019" s="12"/>
      <c r="CP1019" s="12"/>
      <c r="CQ1019" s="12"/>
      <c r="CR1019" s="12"/>
      <c r="CS1019" s="12"/>
      <c r="CT1019" s="12"/>
      <c r="CU1019" s="12"/>
      <c r="CV1019" s="12"/>
      <c r="CW1019" s="12"/>
      <c r="CX1019" s="12"/>
      <c r="CY1019" s="12"/>
      <c r="CZ1019" s="12"/>
      <c r="DA1019" s="12"/>
      <c r="DB1019" s="12"/>
      <c r="DC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c r="CA1020" s="12"/>
      <c r="CB1020" s="12"/>
      <c r="CC1020" s="12"/>
      <c r="CD1020" s="12"/>
      <c r="CE1020" s="12"/>
      <c r="CF1020" s="12"/>
      <c r="CG1020" s="12"/>
      <c r="CH1020" s="12"/>
      <c r="CI1020" s="12"/>
      <c r="CJ1020" s="12"/>
      <c r="CK1020" s="12"/>
      <c r="CL1020" s="12"/>
      <c r="CM1020" s="12"/>
      <c r="CN1020" s="12"/>
      <c r="CO1020" s="12"/>
      <c r="CP1020" s="12"/>
      <c r="CQ1020" s="12"/>
      <c r="CR1020" s="12"/>
      <c r="CS1020" s="12"/>
      <c r="CT1020" s="12"/>
      <c r="CU1020" s="12"/>
      <c r="CV1020" s="12"/>
      <c r="CW1020" s="12"/>
      <c r="CX1020" s="12"/>
      <c r="CY1020" s="12"/>
      <c r="CZ1020" s="12"/>
      <c r="DA1020" s="12"/>
      <c r="DB1020" s="12"/>
      <c r="DC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c r="CA1021" s="12"/>
      <c r="CB1021" s="12"/>
      <c r="CC1021" s="12"/>
      <c r="CD1021" s="12"/>
      <c r="CE1021" s="12"/>
      <c r="CF1021" s="12"/>
      <c r="CG1021" s="12"/>
      <c r="CH1021" s="12"/>
      <c r="CI1021" s="12"/>
      <c r="CJ1021" s="12"/>
      <c r="CK1021" s="12"/>
      <c r="CL1021" s="12"/>
      <c r="CM1021" s="12"/>
      <c r="CN1021" s="12"/>
      <c r="CO1021" s="12"/>
      <c r="CP1021" s="12"/>
      <c r="CQ1021" s="12"/>
      <c r="CR1021" s="12"/>
      <c r="CS1021" s="12"/>
      <c r="CT1021" s="12"/>
      <c r="CU1021" s="12"/>
      <c r="CV1021" s="12"/>
      <c r="CW1021" s="12"/>
      <c r="CX1021" s="12"/>
      <c r="CY1021" s="12"/>
      <c r="CZ1021" s="12"/>
      <c r="DA1021" s="12"/>
      <c r="DB1021" s="12"/>
      <c r="DC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c r="CA1022" s="12"/>
      <c r="CB1022" s="12"/>
      <c r="CC1022" s="12"/>
      <c r="CD1022" s="12"/>
      <c r="CE1022" s="12"/>
      <c r="CF1022" s="12"/>
      <c r="CG1022" s="12"/>
      <c r="CH1022" s="12"/>
      <c r="CI1022" s="12"/>
      <c r="CJ1022" s="12"/>
      <c r="CK1022" s="12"/>
      <c r="CL1022" s="12"/>
      <c r="CM1022" s="12"/>
      <c r="CN1022" s="12"/>
      <c r="CO1022" s="12"/>
      <c r="CP1022" s="12"/>
      <c r="CQ1022" s="12"/>
      <c r="CR1022" s="12"/>
      <c r="CS1022" s="12"/>
      <c r="CT1022" s="12"/>
      <c r="CU1022" s="12"/>
      <c r="CV1022" s="12"/>
      <c r="CW1022" s="12"/>
      <c r="CX1022" s="12"/>
      <c r="CY1022" s="12"/>
      <c r="CZ1022" s="12"/>
      <c r="DA1022" s="12"/>
      <c r="DB1022" s="12"/>
      <c r="DC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c r="CA1023" s="12"/>
      <c r="CB1023" s="12"/>
      <c r="CC1023" s="12"/>
      <c r="CD1023" s="12"/>
      <c r="CE1023" s="12"/>
      <c r="CF1023" s="12"/>
      <c r="CG1023" s="12"/>
      <c r="CH1023" s="12"/>
      <c r="CI1023" s="12"/>
      <c r="CJ1023" s="12"/>
      <c r="CK1023" s="12"/>
      <c r="CL1023" s="12"/>
      <c r="CM1023" s="12"/>
      <c r="CN1023" s="12"/>
      <c r="CO1023" s="12"/>
      <c r="CP1023" s="12"/>
      <c r="CQ1023" s="12"/>
      <c r="CR1023" s="12"/>
      <c r="CS1023" s="12"/>
      <c r="CT1023" s="12"/>
      <c r="CU1023" s="12"/>
      <c r="CV1023" s="12"/>
      <c r="CW1023" s="12"/>
      <c r="CX1023" s="12"/>
      <c r="CY1023" s="12"/>
      <c r="CZ1023" s="12"/>
      <c r="DA1023" s="12"/>
      <c r="DB1023" s="12"/>
      <c r="DC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c r="CA1024" s="12"/>
      <c r="CB1024" s="12"/>
      <c r="CC1024" s="12"/>
      <c r="CD1024" s="12"/>
      <c r="CE1024" s="12"/>
      <c r="CF1024" s="12"/>
      <c r="CG1024" s="12"/>
      <c r="CH1024" s="12"/>
      <c r="CI1024" s="12"/>
      <c r="CJ1024" s="12"/>
      <c r="CK1024" s="12"/>
      <c r="CL1024" s="12"/>
      <c r="CM1024" s="12"/>
      <c r="CN1024" s="12"/>
      <c r="CO1024" s="12"/>
      <c r="CP1024" s="12"/>
      <c r="CQ1024" s="12"/>
      <c r="CR1024" s="12"/>
      <c r="CS1024" s="12"/>
      <c r="CT1024" s="12"/>
      <c r="CU1024" s="12"/>
      <c r="CV1024" s="12"/>
      <c r="CW1024" s="12"/>
      <c r="CX1024" s="12"/>
      <c r="CY1024" s="12"/>
      <c r="CZ1024" s="12"/>
      <c r="DA1024" s="12"/>
      <c r="DB1024" s="12"/>
      <c r="DC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c r="CA1025" s="12"/>
      <c r="CB1025" s="12"/>
      <c r="CC1025" s="12"/>
      <c r="CD1025" s="12"/>
      <c r="CE1025" s="12"/>
      <c r="CF1025" s="12"/>
      <c r="CG1025" s="12"/>
      <c r="CH1025" s="12"/>
      <c r="CI1025" s="12"/>
      <c r="CJ1025" s="12"/>
      <c r="CK1025" s="12"/>
      <c r="CL1025" s="12"/>
      <c r="CM1025" s="12"/>
      <c r="CN1025" s="12"/>
      <c r="CO1025" s="12"/>
      <c r="CP1025" s="12"/>
      <c r="CQ1025" s="12"/>
      <c r="CR1025" s="12"/>
      <c r="CS1025" s="12"/>
      <c r="CT1025" s="12"/>
      <c r="CU1025" s="12"/>
      <c r="CV1025" s="12"/>
      <c r="CW1025" s="12"/>
      <c r="CX1025" s="12"/>
      <c r="CY1025" s="12"/>
      <c r="CZ1025" s="12"/>
      <c r="DA1025" s="12"/>
      <c r="DB1025" s="12"/>
      <c r="DC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c r="CA1026" s="12"/>
      <c r="CB1026" s="12"/>
      <c r="CC1026" s="12"/>
      <c r="CD1026" s="12"/>
      <c r="CE1026" s="12"/>
      <c r="CF1026" s="12"/>
      <c r="CG1026" s="12"/>
      <c r="CH1026" s="12"/>
      <c r="CI1026" s="12"/>
      <c r="CJ1026" s="12"/>
      <c r="CK1026" s="12"/>
      <c r="CL1026" s="12"/>
      <c r="CM1026" s="12"/>
      <c r="CN1026" s="12"/>
      <c r="CO1026" s="12"/>
      <c r="CP1026" s="12"/>
      <c r="CQ1026" s="12"/>
      <c r="CR1026" s="12"/>
      <c r="CS1026" s="12"/>
      <c r="CT1026" s="12"/>
      <c r="CU1026" s="12"/>
      <c r="CV1026" s="12"/>
      <c r="CW1026" s="12"/>
      <c r="CX1026" s="12"/>
      <c r="CY1026" s="12"/>
      <c r="CZ1026" s="12"/>
      <c r="DA1026" s="12"/>
      <c r="DB1026" s="12"/>
      <c r="DC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c r="CA1027" s="12"/>
      <c r="CB1027" s="12"/>
      <c r="CC1027" s="12"/>
      <c r="CD1027" s="12"/>
      <c r="CE1027" s="12"/>
      <c r="CF1027" s="12"/>
      <c r="CG1027" s="12"/>
      <c r="CH1027" s="12"/>
      <c r="CI1027" s="12"/>
      <c r="CJ1027" s="12"/>
      <c r="CK1027" s="12"/>
      <c r="CL1027" s="12"/>
      <c r="CM1027" s="12"/>
      <c r="CN1027" s="12"/>
      <c r="CO1027" s="12"/>
      <c r="CP1027" s="12"/>
      <c r="CQ1027" s="12"/>
      <c r="CR1027" s="12"/>
      <c r="CS1027" s="12"/>
      <c r="CT1027" s="12"/>
      <c r="CU1027" s="12"/>
      <c r="CV1027" s="12"/>
      <c r="CW1027" s="12"/>
      <c r="CX1027" s="12"/>
      <c r="CY1027" s="12"/>
      <c r="CZ1027" s="12"/>
      <c r="DA1027" s="12"/>
      <c r="DB1027" s="12"/>
      <c r="DC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c r="CA1028" s="12"/>
      <c r="CB1028" s="12"/>
      <c r="CC1028" s="12"/>
      <c r="CD1028" s="12"/>
      <c r="CE1028" s="12"/>
      <c r="CF1028" s="12"/>
      <c r="CG1028" s="12"/>
      <c r="CH1028" s="12"/>
      <c r="CI1028" s="12"/>
      <c r="CJ1028" s="12"/>
      <c r="CK1028" s="12"/>
      <c r="CL1028" s="12"/>
      <c r="CM1028" s="12"/>
      <c r="CN1028" s="12"/>
      <c r="CO1028" s="12"/>
      <c r="CP1028" s="12"/>
      <c r="CQ1028" s="12"/>
      <c r="CR1028" s="12"/>
      <c r="CS1028" s="12"/>
      <c r="CT1028" s="12"/>
      <c r="CU1028" s="12"/>
      <c r="CV1028" s="12"/>
      <c r="CW1028" s="12"/>
      <c r="CX1028" s="12"/>
      <c r="CY1028" s="12"/>
      <c r="CZ1028" s="12"/>
      <c r="DA1028" s="12"/>
      <c r="DB1028" s="12"/>
      <c r="DC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c r="CA1029" s="12"/>
      <c r="CB1029" s="12"/>
      <c r="CC1029" s="12"/>
      <c r="CD1029" s="12"/>
      <c r="CE1029" s="12"/>
      <c r="CF1029" s="12"/>
      <c r="CG1029" s="12"/>
      <c r="CH1029" s="12"/>
      <c r="CI1029" s="12"/>
      <c r="CJ1029" s="12"/>
      <c r="CK1029" s="12"/>
      <c r="CL1029" s="12"/>
      <c r="CM1029" s="12"/>
      <c r="CN1029" s="12"/>
      <c r="CO1029" s="12"/>
      <c r="CP1029" s="12"/>
      <c r="CQ1029" s="12"/>
      <c r="CR1029" s="12"/>
      <c r="CS1029" s="12"/>
      <c r="CT1029" s="12"/>
      <c r="CU1029" s="12"/>
      <c r="CV1029" s="12"/>
      <c r="CW1029" s="12"/>
      <c r="CX1029" s="12"/>
      <c r="CY1029" s="12"/>
      <c r="CZ1029" s="12"/>
      <c r="DA1029" s="12"/>
      <c r="DB1029" s="12"/>
      <c r="DC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c r="CA1030" s="12"/>
      <c r="CB1030" s="12"/>
      <c r="CC1030" s="12"/>
      <c r="CD1030" s="12"/>
      <c r="CE1030" s="12"/>
      <c r="CF1030" s="12"/>
      <c r="CG1030" s="12"/>
      <c r="CH1030" s="12"/>
      <c r="CI1030" s="12"/>
      <c r="CJ1030" s="12"/>
      <c r="CK1030" s="12"/>
      <c r="CL1030" s="12"/>
      <c r="CM1030" s="12"/>
      <c r="CN1030" s="12"/>
      <c r="CO1030" s="12"/>
      <c r="CP1030" s="12"/>
      <c r="CQ1030" s="12"/>
      <c r="CR1030" s="12"/>
      <c r="CS1030" s="12"/>
      <c r="CT1030" s="12"/>
      <c r="CU1030" s="12"/>
      <c r="CV1030" s="12"/>
      <c r="CW1030" s="12"/>
      <c r="CX1030" s="12"/>
      <c r="CY1030" s="12"/>
      <c r="CZ1030" s="12"/>
      <c r="DA1030" s="12"/>
      <c r="DB1030" s="12"/>
      <c r="DC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c r="CA1031" s="12"/>
      <c r="CB1031" s="12"/>
      <c r="CC1031" s="12"/>
      <c r="CD1031" s="12"/>
      <c r="CE1031" s="12"/>
      <c r="CF1031" s="12"/>
      <c r="CG1031" s="12"/>
      <c r="CH1031" s="12"/>
      <c r="CI1031" s="12"/>
      <c r="CJ1031" s="12"/>
      <c r="CK1031" s="12"/>
      <c r="CL1031" s="12"/>
      <c r="CM1031" s="12"/>
      <c r="CN1031" s="12"/>
      <c r="CO1031" s="12"/>
      <c r="CP1031" s="12"/>
      <c r="CQ1031" s="12"/>
      <c r="CR1031" s="12"/>
      <c r="CS1031" s="12"/>
      <c r="CT1031" s="12"/>
      <c r="CU1031" s="12"/>
      <c r="CV1031" s="12"/>
      <c r="CW1031" s="12"/>
      <c r="CX1031" s="12"/>
      <c r="CY1031" s="12"/>
      <c r="CZ1031" s="12"/>
      <c r="DA1031" s="12"/>
      <c r="DB1031" s="12"/>
      <c r="DC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c r="CA1032" s="12"/>
      <c r="CB1032" s="12"/>
      <c r="CC1032" s="12"/>
      <c r="CD1032" s="12"/>
      <c r="CE1032" s="12"/>
      <c r="CF1032" s="12"/>
      <c r="CG1032" s="12"/>
      <c r="CH1032" s="12"/>
      <c r="CI1032" s="12"/>
      <c r="CJ1032" s="12"/>
      <c r="CK1032" s="12"/>
      <c r="CL1032" s="12"/>
      <c r="CM1032" s="12"/>
      <c r="CN1032" s="12"/>
      <c r="CO1032" s="12"/>
      <c r="CP1032" s="12"/>
      <c r="CQ1032" s="12"/>
      <c r="CR1032" s="12"/>
      <c r="CS1032" s="12"/>
      <c r="CT1032" s="12"/>
      <c r="CU1032" s="12"/>
      <c r="CV1032" s="12"/>
      <c r="CW1032" s="12"/>
      <c r="CX1032" s="12"/>
      <c r="CY1032" s="12"/>
      <c r="CZ1032" s="12"/>
      <c r="DA1032" s="12"/>
      <c r="DB1032" s="12"/>
      <c r="DC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c r="CA1033" s="12"/>
      <c r="CB1033" s="12"/>
      <c r="CC1033" s="12"/>
      <c r="CD1033" s="12"/>
      <c r="CE1033" s="12"/>
      <c r="CF1033" s="12"/>
      <c r="CG1033" s="12"/>
      <c r="CH1033" s="12"/>
      <c r="CI1033" s="12"/>
      <c r="CJ1033" s="12"/>
      <c r="CK1033" s="12"/>
      <c r="CL1033" s="12"/>
      <c r="CM1033" s="12"/>
      <c r="CN1033" s="12"/>
      <c r="CO1033" s="12"/>
      <c r="CP1033" s="12"/>
      <c r="CQ1033" s="12"/>
      <c r="CR1033" s="12"/>
      <c r="CS1033" s="12"/>
      <c r="CT1033" s="12"/>
      <c r="CU1033" s="12"/>
      <c r="CV1033" s="12"/>
      <c r="CW1033" s="12"/>
      <c r="CX1033" s="12"/>
      <c r="CY1033" s="12"/>
      <c r="CZ1033" s="12"/>
      <c r="DA1033" s="12"/>
      <c r="DB1033" s="12"/>
      <c r="DC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c r="CA1034" s="12"/>
      <c r="CB1034" s="12"/>
      <c r="CC1034" s="12"/>
      <c r="CD1034" s="12"/>
      <c r="CE1034" s="12"/>
      <c r="CF1034" s="12"/>
      <c r="CG1034" s="12"/>
      <c r="CH1034" s="12"/>
      <c r="CI1034" s="12"/>
      <c r="CJ1034" s="12"/>
      <c r="CK1034" s="12"/>
      <c r="CL1034" s="12"/>
      <c r="CM1034" s="12"/>
      <c r="CN1034" s="12"/>
      <c r="CO1034" s="12"/>
      <c r="CP1034" s="12"/>
      <c r="CQ1034" s="12"/>
      <c r="CR1034" s="12"/>
      <c r="CS1034" s="12"/>
      <c r="CT1034" s="12"/>
      <c r="CU1034" s="12"/>
      <c r="CV1034" s="12"/>
      <c r="CW1034" s="12"/>
      <c r="CX1034" s="12"/>
      <c r="CY1034" s="12"/>
      <c r="CZ1034" s="12"/>
      <c r="DA1034" s="12"/>
      <c r="DB1034" s="12"/>
      <c r="DC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c r="CA1035" s="12"/>
      <c r="CB1035" s="12"/>
      <c r="CC1035" s="12"/>
      <c r="CD1035" s="12"/>
      <c r="CE1035" s="12"/>
      <c r="CF1035" s="12"/>
      <c r="CG1035" s="12"/>
      <c r="CH1035" s="12"/>
      <c r="CI1035" s="12"/>
      <c r="CJ1035" s="12"/>
      <c r="CK1035" s="12"/>
      <c r="CL1035" s="12"/>
      <c r="CM1035" s="12"/>
      <c r="CN1035" s="12"/>
      <c r="CO1035" s="12"/>
      <c r="CP1035" s="12"/>
      <c r="CQ1035" s="12"/>
      <c r="CR1035" s="12"/>
      <c r="CS1035" s="12"/>
      <c r="CT1035" s="12"/>
      <c r="CU1035" s="12"/>
      <c r="CV1035" s="12"/>
      <c r="CW1035" s="12"/>
      <c r="CX1035" s="12"/>
      <c r="CY1035" s="12"/>
      <c r="CZ1035" s="12"/>
      <c r="DA1035" s="12"/>
      <c r="DB1035" s="12"/>
      <c r="DC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c r="CA1036" s="12"/>
      <c r="CB1036" s="12"/>
      <c r="CC1036" s="12"/>
      <c r="CD1036" s="12"/>
      <c r="CE1036" s="12"/>
      <c r="CF1036" s="12"/>
      <c r="CG1036" s="12"/>
      <c r="CH1036" s="12"/>
      <c r="CI1036" s="12"/>
      <c r="CJ1036" s="12"/>
      <c r="CK1036" s="12"/>
      <c r="CL1036" s="12"/>
      <c r="CM1036" s="12"/>
      <c r="CN1036" s="12"/>
      <c r="CO1036" s="12"/>
      <c r="CP1036" s="12"/>
      <c r="CQ1036" s="12"/>
      <c r="CR1036" s="12"/>
      <c r="CS1036" s="12"/>
      <c r="CT1036" s="12"/>
      <c r="CU1036" s="12"/>
      <c r="CV1036" s="12"/>
      <c r="CW1036" s="12"/>
      <c r="CX1036" s="12"/>
      <c r="CY1036" s="12"/>
      <c r="CZ1036" s="12"/>
      <c r="DA1036" s="12"/>
      <c r="DB1036" s="12"/>
      <c r="DC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c r="CA1037" s="12"/>
      <c r="CB1037" s="12"/>
      <c r="CC1037" s="12"/>
      <c r="CD1037" s="12"/>
      <c r="CE1037" s="12"/>
      <c r="CF1037" s="12"/>
      <c r="CG1037" s="12"/>
      <c r="CH1037" s="12"/>
      <c r="CI1037" s="12"/>
      <c r="CJ1037" s="12"/>
      <c r="CK1037" s="12"/>
      <c r="CL1037" s="12"/>
      <c r="CM1037" s="12"/>
      <c r="CN1037" s="12"/>
      <c r="CO1037" s="12"/>
      <c r="CP1037" s="12"/>
      <c r="CQ1037" s="12"/>
      <c r="CR1037" s="12"/>
      <c r="CS1037" s="12"/>
      <c r="CT1037" s="12"/>
      <c r="CU1037" s="12"/>
      <c r="CV1037" s="12"/>
      <c r="CW1037" s="12"/>
      <c r="CX1037" s="12"/>
      <c r="CY1037" s="12"/>
      <c r="CZ1037" s="12"/>
      <c r="DA1037" s="12"/>
      <c r="DB1037" s="12"/>
      <c r="DC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c r="CA1038" s="12"/>
      <c r="CB1038" s="12"/>
      <c r="CC1038" s="12"/>
      <c r="CD1038" s="12"/>
      <c r="CE1038" s="12"/>
      <c r="CF1038" s="12"/>
      <c r="CG1038" s="12"/>
      <c r="CH1038" s="12"/>
      <c r="CI1038" s="12"/>
      <c r="CJ1038" s="12"/>
      <c r="CK1038" s="12"/>
      <c r="CL1038" s="12"/>
      <c r="CM1038" s="12"/>
      <c r="CN1038" s="12"/>
      <c r="CO1038" s="12"/>
      <c r="CP1038" s="12"/>
      <c r="CQ1038" s="12"/>
      <c r="CR1038" s="12"/>
      <c r="CS1038" s="12"/>
      <c r="CT1038" s="12"/>
      <c r="CU1038" s="12"/>
      <c r="CV1038" s="12"/>
      <c r="CW1038" s="12"/>
      <c r="CX1038" s="12"/>
      <c r="CY1038" s="12"/>
      <c r="CZ1038" s="12"/>
      <c r="DA1038" s="12"/>
      <c r="DB1038" s="12"/>
      <c r="DC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c r="CA1039" s="12"/>
      <c r="CB1039" s="12"/>
      <c r="CC1039" s="12"/>
      <c r="CD1039" s="12"/>
      <c r="CE1039" s="12"/>
      <c r="CF1039" s="12"/>
      <c r="CG1039" s="12"/>
      <c r="CH1039" s="12"/>
      <c r="CI1039" s="12"/>
      <c r="CJ1039" s="12"/>
      <c r="CK1039" s="12"/>
      <c r="CL1039" s="12"/>
      <c r="CM1039" s="12"/>
      <c r="CN1039" s="12"/>
      <c r="CO1039" s="12"/>
      <c r="CP1039" s="12"/>
      <c r="CQ1039" s="12"/>
      <c r="CR1039" s="12"/>
      <c r="CS1039" s="12"/>
      <c r="CT1039" s="12"/>
      <c r="CU1039" s="12"/>
      <c r="CV1039" s="12"/>
      <c r="CW1039" s="12"/>
      <c r="CX1039" s="12"/>
      <c r="CY1039" s="12"/>
      <c r="CZ1039" s="12"/>
      <c r="DA1039" s="12"/>
      <c r="DB1039" s="12"/>
      <c r="DC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c r="CA1040" s="12"/>
      <c r="CB1040" s="12"/>
      <c r="CC1040" s="12"/>
      <c r="CD1040" s="12"/>
      <c r="CE1040" s="12"/>
      <c r="CF1040" s="12"/>
      <c r="CG1040" s="12"/>
      <c r="CH1040" s="12"/>
      <c r="CI1040" s="12"/>
      <c r="CJ1040" s="12"/>
      <c r="CK1040" s="12"/>
      <c r="CL1040" s="12"/>
      <c r="CM1040" s="12"/>
      <c r="CN1040" s="12"/>
      <c r="CO1040" s="12"/>
      <c r="CP1040" s="12"/>
      <c r="CQ1040" s="12"/>
      <c r="CR1040" s="12"/>
      <c r="CS1040" s="12"/>
      <c r="CT1040" s="12"/>
      <c r="CU1040" s="12"/>
      <c r="CV1040" s="12"/>
      <c r="CW1040" s="12"/>
      <c r="CX1040" s="12"/>
      <c r="CY1040" s="12"/>
      <c r="CZ1040" s="12"/>
      <c r="DA1040" s="12"/>
      <c r="DB1040" s="12"/>
      <c r="DC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c r="CA1041" s="12"/>
      <c r="CB1041" s="12"/>
      <c r="CC1041" s="12"/>
      <c r="CD1041" s="12"/>
      <c r="CE1041" s="12"/>
      <c r="CF1041" s="12"/>
      <c r="CG1041" s="12"/>
      <c r="CH1041" s="12"/>
      <c r="CI1041" s="12"/>
      <c r="CJ1041" s="12"/>
      <c r="CK1041" s="12"/>
      <c r="CL1041" s="12"/>
      <c r="CM1041" s="12"/>
      <c r="CN1041" s="12"/>
      <c r="CO1041" s="12"/>
      <c r="CP1041" s="12"/>
      <c r="CQ1041" s="12"/>
      <c r="CR1041" s="12"/>
      <c r="CS1041" s="12"/>
      <c r="CT1041" s="12"/>
      <c r="CU1041" s="12"/>
      <c r="CV1041" s="12"/>
      <c r="CW1041" s="12"/>
      <c r="CX1041" s="12"/>
      <c r="CY1041" s="12"/>
      <c r="CZ1041" s="12"/>
      <c r="DA1041" s="12"/>
      <c r="DB1041" s="12"/>
      <c r="DC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c r="CA1042" s="12"/>
      <c r="CB1042" s="12"/>
      <c r="CC1042" s="12"/>
      <c r="CD1042" s="12"/>
      <c r="CE1042" s="12"/>
      <c r="CF1042" s="12"/>
      <c r="CG1042" s="12"/>
      <c r="CH1042" s="12"/>
      <c r="CI1042" s="12"/>
      <c r="CJ1042" s="12"/>
      <c r="CK1042" s="12"/>
      <c r="CL1042" s="12"/>
      <c r="CM1042" s="12"/>
      <c r="CN1042" s="12"/>
      <c r="CO1042" s="12"/>
      <c r="CP1042" s="12"/>
      <c r="CQ1042" s="12"/>
      <c r="CR1042" s="12"/>
      <c r="CS1042" s="12"/>
      <c r="CT1042" s="12"/>
      <c r="CU1042" s="12"/>
      <c r="CV1042" s="12"/>
      <c r="CW1042" s="12"/>
      <c r="CX1042" s="12"/>
      <c r="CY1042" s="12"/>
      <c r="CZ1042" s="12"/>
      <c r="DA1042" s="12"/>
      <c r="DB1042" s="12"/>
      <c r="DC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c r="CA1043" s="12"/>
      <c r="CB1043" s="12"/>
      <c r="CC1043" s="12"/>
      <c r="CD1043" s="12"/>
      <c r="CE1043" s="12"/>
      <c r="CF1043" s="12"/>
      <c r="CG1043" s="12"/>
      <c r="CH1043" s="12"/>
      <c r="CI1043" s="12"/>
      <c r="CJ1043" s="12"/>
      <c r="CK1043" s="12"/>
      <c r="CL1043" s="12"/>
      <c r="CM1043" s="12"/>
      <c r="CN1043" s="12"/>
      <c r="CO1043" s="12"/>
      <c r="CP1043" s="12"/>
      <c r="CQ1043" s="12"/>
      <c r="CR1043" s="12"/>
      <c r="CS1043" s="12"/>
      <c r="CT1043" s="12"/>
      <c r="CU1043" s="12"/>
      <c r="CV1043" s="12"/>
      <c r="CW1043" s="12"/>
      <c r="CX1043" s="12"/>
      <c r="CY1043" s="12"/>
      <c r="CZ1043" s="12"/>
      <c r="DA1043" s="12"/>
      <c r="DB1043" s="12"/>
      <c r="DC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c r="CA1044" s="12"/>
      <c r="CB1044" s="12"/>
      <c r="CC1044" s="12"/>
      <c r="CD1044" s="12"/>
      <c r="CE1044" s="12"/>
      <c r="CF1044" s="12"/>
      <c r="CG1044" s="12"/>
      <c r="CH1044" s="12"/>
      <c r="CI1044" s="12"/>
      <c r="CJ1044" s="12"/>
      <c r="CK1044" s="12"/>
      <c r="CL1044" s="12"/>
      <c r="CM1044" s="12"/>
      <c r="CN1044" s="12"/>
      <c r="CO1044" s="12"/>
      <c r="CP1044" s="12"/>
      <c r="CQ1044" s="12"/>
      <c r="CR1044" s="12"/>
      <c r="CS1044" s="12"/>
      <c r="CT1044" s="12"/>
      <c r="CU1044" s="12"/>
      <c r="CV1044" s="12"/>
      <c r="CW1044" s="12"/>
      <c r="CX1044" s="12"/>
      <c r="CY1044" s="12"/>
      <c r="CZ1044" s="12"/>
      <c r="DA1044" s="12"/>
      <c r="DB1044" s="12"/>
      <c r="DC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c r="CA1045" s="12"/>
      <c r="CB1045" s="12"/>
      <c r="CC1045" s="12"/>
      <c r="CD1045" s="12"/>
      <c r="CE1045" s="12"/>
      <c r="CF1045" s="12"/>
      <c r="CG1045" s="12"/>
      <c r="CH1045" s="12"/>
      <c r="CI1045" s="12"/>
      <c r="CJ1045" s="12"/>
      <c r="CK1045" s="12"/>
      <c r="CL1045" s="12"/>
      <c r="CM1045" s="12"/>
      <c r="CN1045" s="12"/>
      <c r="CO1045" s="12"/>
      <c r="CP1045" s="12"/>
      <c r="CQ1045" s="12"/>
      <c r="CR1045" s="12"/>
      <c r="CS1045" s="12"/>
      <c r="CT1045" s="12"/>
      <c r="CU1045" s="12"/>
      <c r="CV1045" s="12"/>
      <c r="CW1045" s="12"/>
      <c r="CX1045" s="12"/>
      <c r="CY1045" s="12"/>
      <c r="CZ1045" s="12"/>
      <c r="DA1045" s="12"/>
      <c r="DB1045" s="12"/>
      <c r="DC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c r="CA1046" s="12"/>
      <c r="CB1046" s="12"/>
      <c r="CC1046" s="12"/>
      <c r="CD1046" s="12"/>
      <c r="CE1046" s="12"/>
      <c r="CF1046" s="12"/>
      <c r="CG1046" s="12"/>
      <c r="CH1046" s="12"/>
      <c r="CI1046" s="12"/>
      <c r="CJ1046" s="12"/>
      <c r="CK1046" s="12"/>
      <c r="CL1046" s="12"/>
      <c r="CM1046" s="12"/>
      <c r="CN1046" s="12"/>
      <c r="CO1046" s="12"/>
      <c r="CP1046" s="12"/>
      <c r="CQ1046" s="12"/>
      <c r="CR1046" s="12"/>
      <c r="CS1046" s="12"/>
      <c r="CT1046" s="12"/>
      <c r="CU1046" s="12"/>
      <c r="CV1046" s="12"/>
      <c r="CW1046" s="12"/>
      <c r="CX1046" s="12"/>
      <c r="CY1046" s="12"/>
      <c r="CZ1046" s="12"/>
      <c r="DA1046" s="12"/>
      <c r="DB1046" s="12"/>
      <c r="DC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c r="CA1047" s="12"/>
      <c r="CB1047" s="12"/>
      <c r="CC1047" s="12"/>
      <c r="CD1047" s="12"/>
      <c r="CE1047" s="12"/>
      <c r="CF1047" s="12"/>
      <c r="CG1047" s="12"/>
      <c r="CH1047" s="12"/>
      <c r="CI1047" s="12"/>
      <c r="CJ1047" s="12"/>
      <c r="CK1047" s="12"/>
      <c r="CL1047" s="12"/>
      <c r="CM1047" s="12"/>
      <c r="CN1047" s="12"/>
      <c r="CO1047" s="12"/>
      <c r="CP1047" s="12"/>
      <c r="CQ1047" s="12"/>
      <c r="CR1047" s="12"/>
      <c r="CS1047" s="12"/>
      <c r="CT1047" s="12"/>
      <c r="CU1047" s="12"/>
      <c r="CV1047" s="12"/>
      <c r="CW1047" s="12"/>
      <c r="CX1047" s="12"/>
      <c r="CY1047" s="12"/>
      <c r="CZ1047" s="12"/>
      <c r="DA1047" s="12"/>
      <c r="DB1047" s="12"/>
      <c r="DC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c r="CA1048" s="12"/>
      <c r="CB1048" s="12"/>
      <c r="CC1048" s="12"/>
      <c r="CD1048" s="12"/>
      <c r="CE1048" s="12"/>
      <c r="CF1048" s="12"/>
      <c r="CG1048" s="12"/>
      <c r="CH1048" s="12"/>
      <c r="CI1048" s="12"/>
      <c r="CJ1048" s="12"/>
      <c r="CK1048" s="12"/>
      <c r="CL1048" s="12"/>
      <c r="CM1048" s="12"/>
      <c r="CN1048" s="12"/>
      <c r="CO1048" s="12"/>
      <c r="CP1048" s="12"/>
      <c r="CQ1048" s="12"/>
      <c r="CR1048" s="12"/>
      <c r="CS1048" s="12"/>
      <c r="CT1048" s="12"/>
      <c r="CU1048" s="12"/>
      <c r="CV1048" s="12"/>
      <c r="CW1048" s="12"/>
      <c r="CX1048" s="12"/>
      <c r="CY1048" s="12"/>
      <c r="CZ1048" s="12"/>
      <c r="DA1048" s="12"/>
      <c r="DB1048" s="12"/>
      <c r="DC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c r="CA1049" s="12"/>
      <c r="CB1049" s="12"/>
      <c r="CC1049" s="12"/>
      <c r="CD1049" s="12"/>
      <c r="CE1049" s="12"/>
      <c r="CF1049" s="12"/>
      <c r="CG1049" s="12"/>
      <c r="CH1049" s="12"/>
      <c r="CI1049" s="12"/>
      <c r="CJ1049" s="12"/>
      <c r="CK1049" s="12"/>
      <c r="CL1049" s="12"/>
      <c r="CM1049" s="12"/>
      <c r="CN1049" s="12"/>
      <c r="CO1049" s="12"/>
      <c r="CP1049" s="12"/>
      <c r="CQ1049" s="12"/>
      <c r="CR1049" s="12"/>
      <c r="CS1049" s="12"/>
      <c r="CT1049" s="12"/>
      <c r="CU1049" s="12"/>
      <c r="CV1049" s="12"/>
      <c r="CW1049" s="12"/>
      <c r="CX1049" s="12"/>
      <c r="CY1049" s="12"/>
      <c r="CZ1049" s="12"/>
      <c r="DA1049" s="12"/>
      <c r="DB1049" s="12"/>
      <c r="DC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c r="CA1050" s="12"/>
      <c r="CB1050" s="12"/>
      <c r="CC1050" s="12"/>
      <c r="CD1050" s="12"/>
      <c r="CE1050" s="12"/>
      <c r="CF1050" s="12"/>
      <c r="CG1050" s="12"/>
      <c r="CH1050" s="12"/>
      <c r="CI1050" s="12"/>
      <c r="CJ1050" s="12"/>
      <c r="CK1050" s="12"/>
      <c r="CL1050" s="12"/>
      <c r="CM1050" s="12"/>
      <c r="CN1050" s="12"/>
      <c r="CO1050" s="12"/>
      <c r="CP1050" s="12"/>
      <c r="CQ1050" s="12"/>
      <c r="CR1050" s="12"/>
      <c r="CS1050" s="12"/>
      <c r="CT1050" s="12"/>
      <c r="CU1050" s="12"/>
      <c r="CV1050" s="12"/>
      <c r="CW1050" s="12"/>
      <c r="CX1050" s="12"/>
      <c r="CY1050" s="12"/>
      <c r="CZ1050" s="12"/>
      <c r="DA1050" s="12"/>
      <c r="DB1050" s="12"/>
      <c r="DC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c r="CA1051" s="12"/>
      <c r="CB1051" s="12"/>
      <c r="CC1051" s="12"/>
      <c r="CD1051" s="12"/>
      <c r="CE1051" s="12"/>
      <c r="CF1051" s="12"/>
      <c r="CG1051" s="12"/>
      <c r="CH1051" s="12"/>
      <c r="CI1051" s="12"/>
      <c r="CJ1051" s="12"/>
      <c r="CK1051" s="12"/>
      <c r="CL1051" s="12"/>
      <c r="CM1051" s="12"/>
      <c r="CN1051" s="12"/>
      <c r="CO1051" s="12"/>
      <c r="CP1051" s="12"/>
      <c r="CQ1051" s="12"/>
      <c r="CR1051" s="12"/>
      <c r="CS1051" s="12"/>
      <c r="CT1051" s="12"/>
      <c r="CU1051" s="12"/>
      <c r="CV1051" s="12"/>
      <c r="CW1051" s="12"/>
      <c r="CX1051" s="12"/>
      <c r="CY1051" s="12"/>
      <c r="CZ1051" s="12"/>
      <c r="DA1051" s="12"/>
      <c r="DB1051" s="12"/>
      <c r="DC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c r="CA1052" s="12"/>
      <c r="CB1052" s="12"/>
      <c r="CC1052" s="12"/>
      <c r="CD1052" s="12"/>
      <c r="CE1052" s="12"/>
      <c r="CF1052" s="12"/>
      <c r="CG1052" s="12"/>
      <c r="CH1052" s="12"/>
      <c r="CI1052" s="12"/>
      <c r="CJ1052" s="12"/>
      <c r="CK1052" s="12"/>
      <c r="CL1052" s="12"/>
      <c r="CM1052" s="12"/>
      <c r="CN1052" s="12"/>
      <c r="CO1052" s="12"/>
      <c r="CP1052" s="12"/>
      <c r="CQ1052" s="12"/>
      <c r="CR1052" s="12"/>
      <c r="CS1052" s="12"/>
      <c r="CT1052" s="12"/>
      <c r="CU1052" s="12"/>
      <c r="CV1052" s="12"/>
      <c r="CW1052" s="12"/>
      <c r="CX1052" s="12"/>
      <c r="CY1052" s="12"/>
      <c r="CZ1052" s="12"/>
      <c r="DA1052" s="12"/>
      <c r="DB1052" s="12"/>
      <c r="DC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c r="CA1053" s="12"/>
      <c r="CB1053" s="12"/>
      <c r="CC1053" s="12"/>
      <c r="CD1053" s="12"/>
      <c r="CE1053" s="12"/>
      <c r="CF1053" s="12"/>
      <c r="CG1053" s="12"/>
      <c r="CH1053" s="12"/>
      <c r="CI1053" s="12"/>
      <c r="CJ1053" s="12"/>
      <c r="CK1053" s="12"/>
      <c r="CL1053" s="12"/>
      <c r="CM1053" s="12"/>
      <c r="CN1053" s="12"/>
      <c r="CO1053" s="12"/>
      <c r="CP1053" s="12"/>
      <c r="CQ1053" s="12"/>
      <c r="CR1053" s="12"/>
      <c r="CS1053" s="12"/>
      <c r="CT1053" s="12"/>
      <c r="CU1053" s="12"/>
      <c r="CV1053" s="12"/>
      <c r="CW1053" s="12"/>
      <c r="CX1053" s="12"/>
      <c r="CY1053" s="12"/>
      <c r="CZ1053" s="12"/>
      <c r="DA1053" s="12"/>
      <c r="DB1053" s="12"/>
      <c r="DC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c r="CA1054" s="12"/>
      <c r="CB1054" s="12"/>
      <c r="CC1054" s="12"/>
      <c r="CD1054" s="12"/>
      <c r="CE1054" s="12"/>
      <c r="CF1054" s="12"/>
      <c r="CG1054" s="12"/>
      <c r="CH1054" s="12"/>
      <c r="CI1054" s="12"/>
      <c r="CJ1054" s="12"/>
      <c r="CK1054" s="12"/>
      <c r="CL1054" s="12"/>
      <c r="CM1054" s="12"/>
      <c r="CN1054" s="12"/>
      <c r="CO1054" s="12"/>
      <c r="CP1054" s="12"/>
      <c r="CQ1054" s="12"/>
      <c r="CR1054" s="12"/>
      <c r="CS1054" s="12"/>
      <c r="CT1054" s="12"/>
      <c r="CU1054" s="12"/>
      <c r="CV1054" s="12"/>
      <c r="CW1054" s="12"/>
      <c r="CX1054" s="12"/>
      <c r="CY1054" s="12"/>
      <c r="CZ1054" s="12"/>
      <c r="DA1054" s="12"/>
      <c r="DB1054" s="12"/>
      <c r="DC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c r="CA1055" s="12"/>
      <c r="CB1055" s="12"/>
      <c r="CC1055" s="12"/>
      <c r="CD1055" s="12"/>
      <c r="CE1055" s="12"/>
      <c r="CF1055" s="12"/>
      <c r="CG1055" s="12"/>
      <c r="CH1055" s="12"/>
      <c r="CI1055" s="12"/>
      <c r="CJ1055" s="12"/>
      <c r="CK1055" s="12"/>
      <c r="CL1055" s="12"/>
      <c r="CM1055" s="12"/>
      <c r="CN1055" s="12"/>
      <c r="CO1055" s="12"/>
      <c r="CP1055" s="12"/>
      <c r="CQ1055" s="12"/>
      <c r="CR1055" s="12"/>
      <c r="CS1055" s="12"/>
      <c r="CT1055" s="12"/>
      <c r="CU1055" s="12"/>
      <c r="CV1055" s="12"/>
      <c r="CW1055" s="12"/>
      <c r="CX1055" s="12"/>
      <c r="CY1055" s="12"/>
      <c r="CZ1055" s="12"/>
      <c r="DA1055" s="12"/>
      <c r="DB1055" s="12"/>
      <c r="DC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c r="CA1056" s="12"/>
      <c r="CB1056" s="12"/>
      <c r="CC1056" s="12"/>
      <c r="CD1056" s="12"/>
      <c r="CE1056" s="12"/>
      <c r="CF1056" s="12"/>
      <c r="CG1056" s="12"/>
      <c r="CH1056" s="12"/>
      <c r="CI1056" s="12"/>
      <c r="CJ1056" s="12"/>
      <c r="CK1056" s="12"/>
      <c r="CL1056" s="12"/>
      <c r="CM1056" s="12"/>
      <c r="CN1056" s="12"/>
      <c r="CO1056" s="12"/>
      <c r="CP1056" s="12"/>
      <c r="CQ1056" s="12"/>
      <c r="CR1056" s="12"/>
      <c r="CS1056" s="12"/>
      <c r="CT1056" s="12"/>
      <c r="CU1056" s="12"/>
      <c r="CV1056" s="12"/>
      <c r="CW1056" s="12"/>
      <c r="CX1056" s="12"/>
      <c r="CY1056" s="12"/>
      <c r="CZ1056" s="12"/>
      <c r="DA1056" s="12"/>
      <c r="DB1056" s="12"/>
      <c r="DC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c r="CA1057" s="12"/>
      <c r="CB1057" s="12"/>
      <c r="CC1057" s="12"/>
      <c r="CD1057" s="12"/>
      <c r="CE1057" s="12"/>
      <c r="CF1057" s="12"/>
      <c r="CG1057" s="12"/>
      <c r="CH1057" s="12"/>
      <c r="CI1057" s="12"/>
      <c r="CJ1057" s="12"/>
      <c r="CK1057" s="12"/>
      <c r="CL1057" s="12"/>
      <c r="CM1057" s="12"/>
      <c r="CN1057" s="12"/>
      <c r="CO1057" s="12"/>
      <c r="CP1057" s="12"/>
      <c r="CQ1057" s="12"/>
      <c r="CR1057" s="12"/>
      <c r="CS1057" s="12"/>
      <c r="CT1057" s="12"/>
      <c r="CU1057" s="12"/>
      <c r="CV1057" s="12"/>
      <c r="CW1057" s="12"/>
      <c r="CX1057" s="12"/>
      <c r="CY1057" s="12"/>
      <c r="CZ1057" s="12"/>
      <c r="DA1057" s="12"/>
      <c r="DB1057" s="12"/>
      <c r="DC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c r="CA1058" s="12"/>
      <c r="CB1058" s="12"/>
      <c r="CC1058" s="12"/>
      <c r="CD1058" s="12"/>
      <c r="CE1058" s="12"/>
      <c r="CF1058" s="12"/>
      <c r="CG1058" s="12"/>
      <c r="CH1058" s="12"/>
      <c r="CI1058" s="12"/>
      <c r="CJ1058" s="12"/>
      <c r="CK1058" s="12"/>
      <c r="CL1058" s="12"/>
      <c r="CM1058" s="12"/>
      <c r="CN1058" s="12"/>
      <c r="CO1058" s="12"/>
      <c r="CP1058" s="12"/>
      <c r="CQ1058" s="12"/>
      <c r="CR1058" s="12"/>
      <c r="CS1058" s="12"/>
      <c r="CT1058" s="12"/>
      <c r="CU1058" s="12"/>
      <c r="CV1058" s="12"/>
      <c r="CW1058" s="12"/>
      <c r="CX1058" s="12"/>
      <c r="CY1058" s="12"/>
      <c r="CZ1058" s="12"/>
      <c r="DA1058" s="12"/>
      <c r="DB1058" s="12"/>
      <c r="DC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c r="CA1059" s="12"/>
      <c r="CB1059" s="12"/>
      <c r="CC1059" s="12"/>
      <c r="CD1059" s="12"/>
      <c r="CE1059" s="12"/>
      <c r="CF1059" s="12"/>
      <c r="CG1059" s="12"/>
      <c r="CH1059" s="12"/>
      <c r="CI1059" s="12"/>
      <c r="CJ1059" s="12"/>
      <c r="CK1059" s="12"/>
      <c r="CL1059" s="12"/>
      <c r="CM1059" s="12"/>
      <c r="CN1059" s="12"/>
      <c r="CO1059" s="12"/>
      <c r="CP1059" s="12"/>
      <c r="CQ1059" s="12"/>
      <c r="CR1059" s="12"/>
      <c r="CS1059" s="12"/>
      <c r="CT1059" s="12"/>
      <c r="CU1059" s="12"/>
      <c r="CV1059" s="12"/>
      <c r="CW1059" s="12"/>
      <c r="CX1059" s="12"/>
      <c r="CY1059" s="12"/>
      <c r="CZ1059" s="12"/>
      <c r="DA1059" s="12"/>
      <c r="DB1059" s="12"/>
      <c r="DC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c r="CA1060" s="12"/>
      <c r="CB1060" s="12"/>
      <c r="CC1060" s="12"/>
      <c r="CD1060" s="12"/>
      <c r="CE1060" s="12"/>
      <c r="CF1060" s="12"/>
      <c r="CG1060" s="12"/>
      <c r="CH1060" s="12"/>
      <c r="CI1060" s="12"/>
      <c r="CJ1060" s="12"/>
      <c r="CK1060" s="12"/>
      <c r="CL1060" s="12"/>
      <c r="CM1060" s="12"/>
      <c r="CN1060" s="12"/>
      <c r="CO1060" s="12"/>
      <c r="CP1060" s="12"/>
      <c r="CQ1060" s="12"/>
      <c r="CR1060" s="12"/>
      <c r="CS1060" s="12"/>
      <c r="CT1060" s="12"/>
      <c r="CU1060" s="12"/>
      <c r="CV1060" s="12"/>
      <c r="CW1060" s="12"/>
      <c r="CX1060" s="12"/>
      <c r="CY1060" s="12"/>
      <c r="CZ1060" s="12"/>
      <c r="DA1060" s="12"/>
      <c r="DB1060" s="12"/>
      <c r="DC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c r="CA1061" s="12"/>
      <c r="CB1061" s="12"/>
      <c r="CC1061" s="12"/>
      <c r="CD1061" s="12"/>
      <c r="CE1061" s="12"/>
      <c r="CF1061" s="12"/>
      <c r="CG1061" s="12"/>
      <c r="CH1061" s="12"/>
      <c r="CI1061" s="12"/>
      <c r="CJ1061" s="12"/>
      <c r="CK1061" s="12"/>
      <c r="CL1061" s="12"/>
      <c r="CM1061" s="12"/>
      <c r="CN1061" s="12"/>
      <c r="CO1061" s="12"/>
      <c r="CP1061" s="12"/>
      <c r="CQ1061" s="12"/>
      <c r="CR1061" s="12"/>
      <c r="CS1061" s="12"/>
      <c r="CT1061" s="12"/>
      <c r="CU1061" s="12"/>
      <c r="CV1061" s="12"/>
      <c r="CW1061" s="12"/>
      <c r="CX1061" s="12"/>
      <c r="CY1061" s="12"/>
      <c r="CZ1061" s="12"/>
      <c r="DA1061" s="12"/>
      <c r="DB1061" s="12"/>
      <c r="DC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c r="CA1062" s="12"/>
      <c r="CB1062" s="12"/>
      <c r="CC1062" s="12"/>
      <c r="CD1062" s="12"/>
      <c r="CE1062" s="12"/>
      <c r="CF1062" s="12"/>
      <c r="CG1062" s="12"/>
      <c r="CH1062" s="12"/>
      <c r="CI1062" s="12"/>
      <c r="CJ1062" s="12"/>
      <c r="CK1062" s="12"/>
      <c r="CL1062" s="12"/>
      <c r="CM1062" s="12"/>
      <c r="CN1062" s="12"/>
      <c r="CO1062" s="12"/>
      <c r="CP1062" s="12"/>
      <c r="CQ1062" s="12"/>
      <c r="CR1062" s="12"/>
      <c r="CS1062" s="12"/>
      <c r="CT1062" s="12"/>
      <c r="CU1062" s="12"/>
      <c r="CV1062" s="12"/>
      <c r="CW1062" s="12"/>
      <c r="CX1062" s="12"/>
      <c r="CY1062" s="12"/>
      <c r="CZ1062" s="12"/>
      <c r="DA1062" s="12"/>
      <c r="DB1062" s="12"/>
      <c r="DC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c r="CA1063" s="12"/>
      <c r="CB1063" s="12"/>
      <c r="CC1063" s="12"/>
      <c r="CD1063" s="12"/>
      <c r="CE1063" s="12"/>
      <c r="CF1063" s="12"/>
      <c r="CG1063" s="12"/>
      <c r="CH1063" s="12"/>
      <c r="CI1063" s="12"/>
      <c r="CJ1063" s="12"/>
      <c r="CK1063" s="12"/>
      <c r="CL1063" s="12"/>
      <c r="CM1063" s="12"/>
      <c r="CN1063" s="12"/>
      <c r="CO1063" s="12"/>
      <c r="CP1063" s="12"/>
      <c r="CQ1063" s="12"/>
      <c r="CR1063" s="12"/>
      <c r="CS1063" s="12"/>
      <c r="CT1063" s="12"/>
      <c r="CU1063" s="12"/>
      <c r="CV1063" s="12"/>
      <c r="CW1063" s="12"/>
      <c r="CX1063" s="12"/>
      <c r="CY1063" s="12"/>
      <c r="CZ1063" s="12"/>
      <c r="DA1063" s="12"/>
      <c r="DB1063" s="12"/>
      <c r="DC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c r="CA1064" s="12"/>
      <c r="CB1064" s="12"/>
      <c r="CC1064" s="12"/>
      <c r="CD1064" s="12"/>
      <c r="CE1064" s="12"/>
      <c r="CF1064" s="12"/>
      <c r="CG1064" s="12"/>
      <c r="CH1064" s="12"/>
      <c r="CI1064" s="12"/>
      <c r="CJ1064" s="12"/>
      <c r="CK1064" s="12"/>
      <c r="CL1064" s="12"/>
      <c r="CM1064" s="12"/>
      <c r="CN1064" s="12"/>
      <c r="CO1064" s="12"/>
      <c r="CP1064" s="12"/>
      <c r="CQ1064" s="12"/>
      <c r="CR1064" s="12"/>
      <c r="CS1064" s="12"/>
      <c r="CT1064" s="12"/>
      <c r="CU1064" s="12"/>
      <c r="CV1064" s="12"/>
      <c r="CW1064" s="12"/>
      <c r="CX1064" s="12"/>
      <c r="CY1064" s="12"/>
      <c r="CZ1064" s="12"/>
      <c r="DA1064" s="12"/>
      <c r="DB1064" s="12"/>
      <c r="DC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c r="CA1065" s="12"/>
      <c r="CB1065" s="12"/>
      <c r="CC1065" s="12"/>
      <c r="CD1065" s="12"/>
      <c r="CE1065" s="12"/>
      <c r="CF1065" s="12"/>
      <c r="CG1065" s="12"/>
      <c r="CH1065" s="12"/>
      <c r="CI1065" s="12"/>
      <c r="CJ1065" s="12"/>
      <c r="CK1065" s="12"/>
      <c r="CL1065" s="12"/>
      <c r="CM1065" s="12"/>
      <c r="CN1065" s="12"/>
      <c r="CO1065" s="12"/>
      <c r="CP1065" s="12"/>
      <c r="CQ1065" s="12"/>
      <c r="CR1065" s="12"/>
      <c r="CS1065" s="12"/>
      <c r="CT1065" s="12"/>
      <c r="CU1065" s="12"/>
      <c r="CV1065" s="12"/>
      <c r="CW1065" s="12"/>
      <c r="CX1065" s="12"/>
      <c r="CY1065" s="12"/>
      <c r="CZ1065" s="12"/>
      <c r="DA1065" s="12"/>
      <c r="DB1065" s="12"/>
      <c r="DC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c r="CA1066" s="12"/>
      <c r="CB1066" s="12"/>
      <c r="CC1066" s="12"/>
      <c r="CD1066" s="12"/>
      <c r="CE1066" s="12"/>
      <c r="CF1066" s="12"/>
      <c r="CG1066" s="12"/>
      <c r="CH1066" s="12"/>
      <c r="CI1066" s="12"/>
      <c r="CJ1066" s="12"/>
      <c r="CK1066" s="12"/>
      <c r="CL1066" s="12"/>
      <c r="CM1066" s="12"/>
      <c r="CN1066" s="12"/>
      <c r="CO1066" s="12"/>
      <c r="CP1066" s="12"/>
      <c r="CQ1066" s="12"/>
      <c r="CR1066" s="12"/>
      <c r="CS1066" s="12"/>
      <c r="CT1066" s="12"/>
      <c r="CU1066" s="12"/>
      <c r="CV1066" s="12"/>
      <c r="CW1066" s="12"/>
      <c r="CX1066" s="12"/>
      <c r="CY1066" s="12"/>
      <c r="CZ1066" s="12"/>
      <c r="DA1066" s="12"/>
      <c r="DB1066" s="12"/>
      <c r="DC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c r="CA1067" s="12"/>
      <c r="CB1067" s="12"/>
      <c r="CC1067" s="12"/>
      <c r="CD1067" s="12"/>
      <c r="CE1067" s="12"/>
      <c r="CF1067" s="12"/>
      <c r="CG1067" s="12"/>
      <c r="CH1067" s="12"/>
      <c r="CI1067" s="12"/>
      <c r="CJ1067" s="12"/>
      <c r="CK1067" s="12"/>
      <c r="CL1067" s="12"/>
      <c r="CM1067" s="12"/>
      <c r="CN1067" s="12"/>
      <c r="CO1067" s="12"/>
      <c r="CP1067" s="12"/>
      <c r="CQ1067" s="12"/>
      <c r="CR1067" s="12"/>
      <c r="CS1067" s="12"/>
      <c r="CT1067" s="12"/>
      <c r="CU1067" s="12"/>
      <c r="CV1067" s="12"/>
      <c r="CW1067" s="12"/>
      <c r="CX1067" s="12"/>
      <c r="CY1067" s="12"/>
      <c r="CZ1067" s="12"/>
      <c r="DA1067" s="12"/>
      <c r="DB1067" s="12"/>
      <c r="DC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c r="CA1068" s="12"/>
      <c r="CB1068" s="12"/>
      <c r="CC1068" s="12"/>
      <c r="CD1068" s="12"/>
      <c r="CE1068" s="12"/>
      <c r="CF1068" s="12"/>
      <c r="CG1068" s="12"/>
      <c r="CH1068" s="12"/>
      <c r="CI1068" s="12"/>
      <c r="CJ1068" s="12"/>
      <c r="CK1068" s="12"/>
      <c r="CL1068" s="12"/>
      <c r="CM1068" s="12"/>
      <c r="CN1068" s="12"/>
      <c r="CO1068" s="12"/>
      <c r="CP1068" s="12"/>
      <c r="CQ1068" s="12"/>
      <c r="CR1068" s="12"/>
      <c r="CS1068" s="12"/>
      <c r="CT1068" s="12"/>
      <c r="CU1068" s="12"/>
      <c r="CV1068" s="12"/>
      <c r="CW1068" s="12"/>
      <c r="CX1068" s="12"/>
      <c r="CY1068" s="12"/>
      <c r="CZ1068" s="12"/>
      <c r="DA1068" s="12"/>
      <c r="DB1068" s="12"/>
      <c r="DC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c r="CA1069" s="12"/>
      <c r="CB1069" s="12"/>
      <c r="CC1069" s="12"/>
      <c r="CD1069" s="12"/>
      <c r="CE1069" s="12"/>
      <c r="CF1069" s="12"/>
      <c r="CG1069" s="12"/>
      <c r="CH1069" s="12"/>
      <c r="CI1069" s="12"/>
      <c r="CJ1069" s="12"/>
      <c r="CK1069" s="12"/>
      <c r="CL1069" s="12"/>
      <c r="CM1069" s="12"/>
      <c r="CN1069" s="12"/>
      <c r="CO1069" s="12"/>
      <c r="CP1069" s="12"/>
      <c r="CQ1069" s="12"/>
      <c r="CR1069" s="12"/>
      <c r="CS1069" s="12"/>
      <c r="CT1069" s="12"/>
      <c r="CU1069" s="12"/>
      <c r="CV1069" s="12"/>
      <c r="CW1069" s="12"/>
      <c r="CX1069" s="12"/>
      <c r="CY1069" s="12"/>
      <c r="CZ1069" s="12"/>
      <c r="DA1069" s="12"/>
      <c r="DB1069" s="12"/>
      <c r="DC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c r="CA1070" s="12"/>
      <c r="CB1070" s="12"/>
      <c r="CC1070" s="12"/>
      <c r="CD1070" s="12"/>
      <c r="CE1070" s="12"/>
      <c r="CF1070" s="12"/>
      <c r="CG1070" s="12"/>
      <c r="CH1070" s="12"/>
      <c r="CI1070" s="12"/>
      <c r="CJ1070" s="12"/>
      <c r="CK1070" s="12"/>
      <c r="CL1070" s="12"/>
      <c r="CM1070" s="12"/>
      <c r="CN1070" s="12"/>
      <c r="CO1070" s="12"/>
      <c r="CP1070" s="12"/>
      <c r="CQ1070" s="12"/>
      <c r="CR1070" s="12"/>
      <c r="CS1070" s="12"/>
      <c r="CT1070" s="12"/>
      <c r="CU1070" s="12"/>
      <c r="CV1070" s="12"/>
      <c r="CW1070" s="12"/>
      <c r="CX1070" s="12"/>
      <c r="CY1070" s="12"/>
      <c r="CZ1070" s="12"/>
      <c r="DA1070" s="12"/>
      <c r="DB1070" s="12"/>
      <c r="DC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c r="CA1071" s="12"/>
      <c r="CB1071" s="12"/>
      <c r="CC1071" s="12"/>
      <c r="CD1071" s="12"/>
      <c r="CE1071" s="12"/>
      <c r="CF1071" s="12"/>
      <c r="CG1071" s="12"/>
      <c r="CH1071" s="12"/>
      <c r="CI1071" s="12"/>
      <c r="CJ1071" s="12"/>
      <c r="CK1071" s="12"/>
      <c r="CL1071" s="12"/>
      <c r="CM1071" s="12"/>
      <c r="CN1071" s="12"/>
      <c r="CO1071" s="12"/>
      <c r="CP1071" s="12"/>
      <c r="CQ1071" s="12"/>
      <c r="CR1071" s="12"/>
      <c r="CS1071" s="12"/>
      <c r="CT1071" s="12"/>
      <c r="CU1071" s="12"/>
      <c r="CV1071" s="12"/>
      <c r="CW1071" s="12"/>
      <c r="CX1071" s="12"/>
      <c r="CY1071" s="12"/>
      <c r="CZ1071" s="12"/>
      <c r="DA1071" s="12"/>
      <c r="DB1071" s="12"/>
      <c r="DC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c r="CA1072" s="12"/>
      <c r="CB1072" s="12"/>
      <c r="CC1072" s="12"/>
      <c r="CD1072" s="12"/>
      <c r="CE1072" s="12"/>
      <c r="CF1072" s="12"/>
      <c r="CG1072" s="12"/>
      <c r="CH1072" s="12"/>
      <c r="CI1072" s="12"/>
      <c r="CJ1072" s="12"/>
      <c r="CK1072" s="12"/>
      <c r="CL1072" s="12"/>
      <c r="CM1072" s="12"/>
      <c r="CN1072" s="12"/>
      <c r="CO1072" s="12"/>
      <c r="CP1072" s="12"/>
      <c r="CQ1072" s="12"/>
      <c r="CR1072" s="12"/>
      <c r="CS1072" s="12"/>
      <c r="CT1072" s="12"/>
      <c r="CU1072" s="12"/>
      <c r="CV1072" s="12"/>
      <c r="CW1072" s="12"/>
      <c r="CX1072" s="12"/>
      <c r="CY1072" s="12"/>
      <c r="CZ1072" s="12"/>
      <c r="DA1072" s="12"/>
      <c r="DB1072" s="12"/>
      <c r="DC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c r="CA1073" s="12"/>
      <c r="CB1073" s="12"/>
      <c r="CC1073" s="12"/>
      <c r="CD1073" s="12"/>
      <c r="CE1073" s="12"/>
      <c r="CF1073" s="12"/>
      <c r="CG1073" s="12"/>
      <c r="CH1073" s="12"/>
      <c r="CI1073" s="12"/>
      <c r="CJ1073" s="12"/>
      <c r="CK1073" s="12"/>
      <c r="CL1073" s="12"/>
      <c r="CM1073" s="12"/>
      <c r="CN1073" s="12"/>
      <c r="CO1073" s="12"/>
      <c r="CP1073" s="12"/>
      <c r="CQ1073" s="12"/>
      <c r="CR1073" s="12"/>
      <c r="CS1073" s="12"/>
      <c r="CT1073" s="12"/>
      <c r="CU1073" s="12"/>
      <c r="CV1073" s="12"/>
      <c r="CW1073" s="12"/>
      <c r="CX1073" s="12"/>
      <c r="CY1073" s="12"/>
      <c r="CZ1073" s="12"/>
      <c r="DA1073" s="12"/>
      <c r="DB1073" s="12"/>
      <c r="DC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c r="CA1074" s="12"/>
      <c r="CB1074" s="12"/>
      <c r="CC1074" s="12"/>
      <c r="CD1074" s="12"/>
      <c r="CE1074" s="12"/>
      <c r="CF1074" s="12"/>
      <c r="CG1074" s="12"/>
      <c r="CH1074" s="12"/>
      <c r="CI1074" s="12"/>
      <c r="CJ1074" s="12"/>
      <c r="CK1074" s="12"/>
      <c r="CL1074" s="12"/>
      <c r="CM1074" s="12"/>
      <c r="CN1074" s="12"/>
      <c r="CO1074" s="12"/>
      <c r="CP1074" s="12"/>
      <c r="CQ1074" s="12"/>
      <c r="CR1074" s="12"/>
      <c r="CS1074" s="12"/>
      <c r="CT1074" s="12"/>
      <c r="CU1074" s="12"/>
      <c r="CV1074" s="12"/>
      <c r="CW1074" s="12"/>
      <c r="CX1074" s="12"/>
      <c r="CY1074" s="12"/>
      <c r="CZ1074" s="12"/>
      <c r="DA1074" s="12"/>
      <c r="DB1074" s="12"/>
      <c r="DC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c r="CA1075" s="12"/>
      <c r="CB1075" s="12"/>
      <c r="CC1075" s="12"/>
      <c r="CD1075" s="12"/>
      <c r="CE1075" s="12"/>
      <c r="CF1075" s="12"/>
      <c r="CG1075" s="12"/>
      <c r="CH1075" s="12"/>
      <c r="CI1075" s="12"/>
      <c r="CJ1075" s="12"/>
      <c r="CK1075" s="12"/>
      <c r="CL1075" s="12"/>
      <c r="CM1075" s="12"/>
      <c r="CN1075" s="12"/>
      <c r="CO1075" s="12"/>
      <c r="CP1075" s="12"/>
      <c r="CQ1075" s="12"/>
      <c r="CR1075" s="12"/>
      <c r="CS1075" s="12"/>
      <c r="CT1075" s="12"/>
      <c r="CU1075" s="12"/>
      <c r="CV1075" s="12"/>
      <c r="CW1075" s="12"/>
      <c r="CX1075" s="12"/>
      <c r="CY1075" s="12"/>
      <c r="CZ1075" s="12"/>
      <c r="DA1075" s="12"/>
      <c r="DB1075" s="12"/>
      <c r="DC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c r="CA1076" s="12"/>
      <c r="CB1076" s="12"/>
      <c r="CC1076" s="12"/>
      <c r="CD1076" s="12"/>
      <c r="CE1076" s="12"/>
      <c r="CF1076" s="12"/>
      <c r="CG1076" s="12"/>
      <c r="CH1076" s="12"/>
      <c r="CI1076" s="12"/>
      <c r="CJ1076" s="12"/>
      <c r="CK1076" s="12"/>
      <c r="CL1076" s="12"/>
      <c r="CM1076" s="12"/>
      <c r="CN1076" s="12"/>
      <c r="CO1076" s="12"/>
      <c r="CP1076" s="12"/>
      <c r="CQ1076" s="12"/>
      <c r="CR1076" s="12"/>
      <c r="CS1076" s="12"/>
      <c r="CT1076" s="12"/>
      <c r="CU1076" s="12"/>
      <c r="CV1076" s="12"/>
      <c r="CW1076" s="12"/>
      <c r="CX1076" s="12"/>
      <c r="CY1076" s="12"/>
      <c r="CZ1076" s="12"/>
      <c r="DA1076" s="12"/>
      <c r="DB1076" s="12"/>
      <c r="DC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c r="CA1077" s="12"/>
      <c r="CB1077" s="12"/>
      <c r="CC1077" s="12"/>
      <c r="CD1077" s="12"/>
      <c r="CE1077" s="12"/>
      <c r="CF1077" s="12"/>
      <c r="CG1077" s="12"/>
      <c r="CH1077" s="12"/>
      <c r="CI1077" s="12"/>
      <c r="CJ1077" s="12"/>
      <c r="CK1077" s="12"/>
      <c r="CL1077" s="12"/>
      <c r="CM1077" s="12"/>
      <c r="CN1077" s="12"/>
      <c r="CO1077" s="12"/>
      <c r="CP1077" s="12"/>
      <c r="CQ1077" s="12"/>
      <c r="CR1077" s="12"/>
      <c r="CS1077" s="12"/>
      <c r="CT1077" s="12"/>
      <c r="CU1077" s="12"/>
      <c r="CV1077" s="12"/>
      <c r="CW1077" s="12"/>
      <c r="CX1077" s="12"/>
      <c r="CY1077" s="12"/>
      <c r="CZ1077" s="12"/>
      <c r="DA1077" s="12"/>
      <c r="DB1077" s="12"/>
      <c r="DC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c r="CA1078" s="12"/>
      <c r="CB1078" s="12"/>
      <c r="CC1078" s="12"/>
      <c r="CD1078" s="12"/>
      <c r="CE1078" s="12"/>
      <c r="CF1078" s="12"/>
      <c r="CG1078" s="12"/>
      <c r="CH1078" s="12"/>
      <c r="CI1078" s="12"/>
      <c r="CJ1078" s="12"/>
      <c r="CK1078" s="12"/>
      <c r="CL1078" s="12"/>
      <c r="CM1078" s="12"/>
      <c r="CN1078" s="12"/>
      <c r="CO1078" s="12"/>
      <c r="CP1078" s="12"/>
      <c r="CQ1078" s="12"/>
      <c r="CR1078" s="12"/>
      <c r="CS1078" s="12"/>
      <c r="CT1078" s="12"/>
      <c r="CU1078" s="12"/>
      <c r="CV1078" s="12"/>
      <c r="CW1078" s="12"/>
      <c r="CX1078" s="12"/>
      <c r="CY1078" s="12"/>
      <c r="CZ1078" s="12"/>
      <c r="DA1078" s="12"/>
      <c r="DB1078" s="12"/>
      <c r="DC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c r="CA1079" s="12"/>
      <c r="CB1079" s="12"/>
      <c r="CC1079" s="12"/>
      <c r="CD1079" s="12"/>
      <c r="CE1079" s="12"/>
      <c r="CF1079" s="12"/>
      <c r="CG1079" s="12"/>
      <c r="CH1079" s="12"/>
      <c r="CI1079" s="12"/>
      <c r="CJ1079" s="12"/>
      <c r="CK1079" s="12"/>
      <c r="CL1079" s="12"/>
      <c r="CM1079" s="12"/>
      <c r="CN1079" s="12"/>
      <c r="CO1079" s="12"/>
      <c r="CP1079" s="12"/>
      <c r="CQ1079" s="12"/>
      <c r="CR1079" s="12"/>
      <c r="CS1079" s="12"/>
      <c r="CT1079" s="12"/>
      <c r="CU1079" s="12"/>
      <c r="CV1079" s="12"/>
      <c r="CW1079" s="12"/>
      <c r="CX1079" s="12"/>
      <c r="CY1079" s="12"/>
      <c r="CZ1079" s="12"/>
      <c r="DA1079" s="12"/>
      <c r="DB1079" s="12"/>
      <c r="DC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c r="CA1080" s="12"/>
      <c r="CB1080" s="12"/>
      <c r="CC1080" s="12"/>
      <c r="CD1080" s="12"/>
      <c r="CE1080" s="12"/>
      <c r="CF1080" s="12"/>
      <c r="CG1080" s="12"/>
      <c r="CH1080" s="12"/>
      <c r="CI1080" s="12"/>
      <c r="CJ1080" s="12"/>
      <c r="CK1080" s="12"/>
      <c r="CL1080" s="12"/>
      <c r="CM1080" s="12"/>
      <c r="CN1080" s="12"/>
      <c r="CO1080" s="12"/>
      <c r="CP1080" s="12"/>
      <c r="CQ1080" s="12"/>
      <c r="CR1080" s="12"/>
      <c r="CS1080" s="12"/>
      <c r="CT1080" s="12"/>
      <c r="CU1080" s="12"/>
      <c r="CV1080" s="12"/>
      <c r="CW1080" s="12"/>
      <c r="CX1080" s="12"/>
      <c r="CY1080" s="12"/>
      <c r="CZ1080" s="12"/>
      <c r="DA1080" s="12"/>
      <c r="DB1080" s="12"/>
      <c r="DC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c r="CA1081" s="12"/>
      <c r="CB1081" s="12"/>
      <c r="CC1081" s="12"/>
      <c r="CD1081" s="12"/>
      <c r="CE1081" s="12"/>
      <c r="CF1081" s="12"/>
      <c r="CG1081" s="12"/>
      <c r="CH1081" s="12"/>
      <c r="CI1081" s="12"/>
      <c r="CJ1081" s="12"/>
      <c r="CK1081" s="12"/>
      <c r="CL1081" s="12"/>
      <c r="CM1081" s="12"/>
      <c r="CN1081" s="12"/>
      <c r="CO1081" s="12"/>
      <c r="CP1081" s="12"/>
      <c r="CQ1081" s="12"/>
      <c r="CR1081" s="12"/>
      <c r="CS1081" s="12"/>
      <c r="CT1081" s="12"/>
      <c r="CU1081" s="12"/>
      <c r="CV1081" s="12"/>
      <c r="CW1081" s="12"/>
      <c r="CX1081" s="12"/>
      <c r="CY1081" s="12"/>
      <c r="CZ1081" s="12"/>
      <c r="DA1081" s="12"/>
      <c r="DB1081" s="12"/>
      <c r="DC1081" s="12"/>
    </row>
  </sheetData>
  <drawing r:id="rId1"/>
</worksheet>
</file>